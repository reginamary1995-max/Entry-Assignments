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ECDC936-0439-40B2-AA14-34DDACF18872}" xr6:coauthVersionLast="47" xr6:coauthVersionMax="47" xr10:uidLastSave="{00000000-0000-0000-0000-000000000000}"/>
  <bookViews>
    <workbookView xWindow="-108" yWindow="-108" windowWidth="23256" windowHeight="12456" xr2:uid="{1BF4C80B-F899-4E7C-98F6-B8E24CF802BA}"/>
  </bookViews>
  <sheets>
    <sheet name="Data Pre-processing using Excel" sheetId="1" r:id="rId1"/>
    <sheet name="Sales by Customer Type" sheetId="3" r:id="rId2"/>
    <sheet name="Order Type Analysis" sheetId="4" r:id="rId3"/>
    <sheet name="Weekend vs Weekday" sheetId="5" r:id="rId4"/>
    <sheet name="Sales by Month" sheetId="2" r:id="rId5"/>
  </sheets>
  <calcPr calcId="0"/>
  <pivotCaches>
    <pivotCache cacheId="9" r:id="rId6"/>
  </pivotCaches>
</workbook>
</file>

<file path=xl/calcChain.xml><?xml version="1.0" encoding="utf-8"?>
<calcChain xmlns="http://schemas.openxmlformats.org/spreadsheetml/2006/main">
  <c r="S1981" i="1" l="1"/>
  <c r="S1982" i="1"/>
  <c r="S1983" i="1"/>
  <c r="L18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2" i="1"/>
  <c r="K3" i="1"/>
  <c r="S3" i="1" s="1"/>
  <c r="K4" i="1"/>
  <c r="S4" i="1" s="1"/>
  <c r="K5" i="1"/>
  <c r="S5" i="1" s="1"/>
  <c r="K6" i="1"/>
  <c r="S6" i="1" s="1"/>
  <c r="K7" i="1"/>
  <c r="S7" i="1" s="1"/>
  <c r="K8" i="1"/>
  <c r="S8" i="1" s="1"/>
  <c r="K9" i="1"/>
  <c r="S9" i="1" s="1"/>
  <c r="K10" i="1"/>
  <c r="S10" i="1" s="1"/>
  <c r="K11" i="1"/>
  <c r="S11" i="1" s="1"/>
  <c r="K12" i="1"/>
  <c r="S12" i="1" s="1"/>
  <c r="K13" i="1"/>
  <c r="S13" i="1" s="1"/>
  <c r="K14" i="1"/>
  <c r="S14" i="1" s="1"/>
  <c r="K15" i="1"/>
  <c r="S15" i="1" s="1"/>
  <c r="K16" i="1"/>
  <c r="S16" i="1" s="1"/>
  <c r="K17" i="1"/>
  <c r="S17" i="1" s="1"/>
  <c r="K18" i="1"/>
  <c r="S18" i="1" s="1"/>
  <c r="K19" i="1"/>
  <c r="S19" i="1" s="1"/>
  <c r="K20" i="1"/>
  <c r="S20" i="1" s="1"/>
  <c r="K21" i="1"/>
  <c r="S21" i="1" s="1"/>
  <c r="K22" i="1"/>
  <c r="S22" i="1" s="1"/>
  <c r="K23" i="1"/>
  <c r="S23" i="1" s="1"/>
  <c r="K24" i="1"/>
  <c r="S24" i="1" s="1"/>
  <c r="K25" i="1"/>
  <c r="S25" i="1" s="1"/>
  <c r="K26" i="1"/>
  <c r="S26" i="1" s="1"/>
  <c r="K27" i="1"/>
  <c r="S27" i="1" s="1"/>
  <c r="K28" i="1"/>
  <c r="S28" i="1" s="1"/>
  <c r="K29" i="1"/>
  <c r="S29" i="1" s="1"/>
  <c r="K30" i="1"/>
  <c r="S30" i="1" s="1"/>
  <c r="K31" i="1"/>
  <c r="S31" i="1" s="1"/>
  <c r="K32" i="1"/>
  <c r="S32" i="1" s="1"/>
  <c r="K33" i="1"/>
  <c r="S33" i="1" s="1"/>
  <c r="K34" i="1"/>
  <c r="S34" i="1" s="1"/>
  <c r="K35" i="1"/>
  <c r="S35" i="1" s="1"/>
  <c r="K36" i="1"/>
  <c r="S36" i="1" s="1"/>
  <c r="K37" i="1"/>
  <c r="S37" i="1" s="1"/>
  <c r="K38" i="1"/>
  <c r="S38" i="1" s="1"/>
  <c r="K39" i="1"/>
  <c r="S39" i="1" s="1"/>
  <c r="K40" i="1"/>
  <c r="S40" i="1" s="1"/>
  <c r="K41" i="1"/>
  <c r="S41" i="1" s="1"/>
  <c r="K42" i="1"/>
  <c r="S42" i="1" s="1"/>
  <c r="K43" i="1"/>
  <c r="S43" i="1" s="1"/>
  <c r="K44" i="1"/>
  <c r="S44" i="1" s="1"/>
  <c r="K45" i="1"/>
  <c r="S45" i="1" s="1"/>
  <c r="K46" i="1"/>
  <c r="S46" i="1" s="1"/>
  <c r="K47" i="1"/>
  <c r="S47" i="1" s="1"/>
  <c r="K48" i="1"/>
  <c r="S48" i="1" s="1"/>
  <c r="K49" i="1"/>
  <c r="S49" i="1" s="1"/>
  <c r="K50" i="1"/>
  <c r="S50" i="1" s="1"/>
  <c r="K51" i="1"/>
  <c r="S51" i="1" s="1"/>
  <c r="K52" i="1"/>
  <c r="S52" i="1" s="1"/>
  <c r="K53" i="1"/>
  <c r="S53" i="1" s="1"/>
  <c r="K54" i="1"/>
  <c r="S54" i="1" s="1"/>
  <c r="K55" i="1"/>
  <c r="S55" i="1" s="1"/>
  <c r="K56" i="1"/>
  <c r="S56" i="1" s="1"/>
  <c r="K57" i="1"/>
  <c r="S57" i="1" s="1"/>
  <c r="K58" i="1"/>
  <c r="S58" i="1" s="1"/>
  <c r="K59" i="1"/>
  <c r="S59" i="1" s="1"/>
  <c r="K60" i="1"/>
  <c r="S60" i="1" s="1"/>
  <c r="K61" i="1"/>
  <c r="S61" i="1" s="1"/>
  <c r="K62" i="1"/>
  <c r="S62" i="1" s="1"/>
  <c r="K63" i="1"/>
  <c r="S63" i="1" s="1"/>
  <c r="K64" i="1"/>
  <c r="S64" i="1" s="1"/>
  <c r="K65" i="1"/>
  <c r="S65" i="1" s="1"/>
  <c r="K66" i="1"/>
  <c r="S66" i="1" s="1"/>
  <c r="K67" i="1"/>
  <c r="S67" i="1" s="1"/>
  <c r="K68" i="1"/>
  <c r="S68" i="1" s="1"/>
  <c r="K69" i="1"/>
  <c r="S69" i="1" s="1"/>
  <c r="K70" i="1"/>
  <c r="S70" i="1" s="1"/>
  <c r="K71" i="1"/>
  <c r="S71" i="1" s="1"/>
  <c r="K72" i="1"/>
  <c r="S72" i="1" s="1"/>
  <c r="K73" i="1"/>
  <c r="S73" i="1" s="1"/>
  <c r="K74" i="1"/>
  <c r="S74" i="1" s="1"/>
  <c r="K75" i="1"/>
  <c r="S75" i="1" s="1"/>
  <c r="K76" i="1"/>
  <c r="S76" i="1" s="1"/>
  <c r="K77" i="1"/>
  <c r="S77" i="1" s="1"/>
  <c r="K78" i="1"/>
  <c r="S78" i="1" s="1"/>
  <c r="K79" i="1"/>
  <c r="S79" i="1" s="1"/>
  <c r="K80" i="1"/>
  <c r="S80" i="1" s="1"/>
  <c r="K81" i="1"/>
  <c r="S81" i="1" s="1"/>
  <c r="K82" i="1"/>
  <c r="S82" i="1" s="1"/>
  <c r="K83" i="1"/>
  <c r="S83" i="1" s="1"/>
  <c r="K84" i="1"/>
  <c r="S84" i="1" s="1"/>
  <c r="K85" i="1"/>
  <c r="S85" i="1" s="1"/>
  <c r="K86" i="1"/>
  <c r="S86" i="1" s="1"/>
  <c r="K87" i="1"/>
  <c r="S87" i="1" s="1"/>
  <c r="K88" i="1"/>
  <c r="S88" i="1" s="1"/>
  <c r="K89" i="1"/>
  <c r="S89" i="1" s="1"/>
  <c r="K90" i="1"/>
  <c r="S90" i="1" s="1"/>
  <c r="K91" i="1"/>
  <c r="S91" i="1" s="1"/>
  <c r="K92" i="1"/>
  <c r="S92" i="1" s="1"/>
  <c r="K93" i="1"/>
  <c r="S93" i="1" s="1"/>
  <c r="K94" i="1"/>
  <c r="S94" i="1" s="1"/>
  <c r="K95" i="1"/>
  <c r="S95" i="1" s="1"/>
  <c r="K96" i="1"/>
  <c r="S96" i="1" s="1"/>
  <c r="K97" i="1"/>
  <c r="S97" i="1" s="1"/>
  <c r="K98" i="1"/>
  <c r="S98" i="1" s="1"/>
  <c r="K99" i="1"/>
  <c r="S99" i="1" s="1"/>
  <c r="K100" i="1"/>
  <c r="S100" i="1" s="1"/>
  <c r="K101" i="1"/>
  <c r="S101" i="1" s="1"/>
  <c r="K102" i="1"/>
  <c r="S102" i="1" s="1"/>
  <c r="K103" i="1"/>
  <c r="S103" i="1" s="1"/>
  <c r="K104" i="1"/>
  <c r="S104" i="1" s="1"/>
  <c r="K105" i="1"/>
  <c r="S105" i="1" s="1"/>
  <c r="K106" i="1"/>
  <c r="S106" i="1" s="1"/>
  <c r="K107" i="1"/>
  <c r="S107" i="1" s="1"/>
  <c r="K108" i="1"/>
  <c r="S108" i="1" s="1"/>
  <c r="K109" i="1"/>
  <c r="S109" i="1" s="1"/>
  <c r="K110" i="1"/>
  <c r="S110" i="1" s="1"/>
  <c r="K111" i="1"/>
  <c r="S111" i="1" s="1"/>
  <c r="K112" i="1"/>
  <c r="S112" i="1" s="1"/>
  <c r="K113" i="1"/>
  <c r="S113" i="1" s="1"/>
  <c r="K114" i="1"/>
  <c r="S114" i="1" s="1"/>
  <c r="K115" i="1"/>
  <c r="S115" i="1" s="1"/>
  <c r="K116" i="1"/>
  <c r="S116" i="1" s="1"/>
  <c r="K117" i="1"/>
  <c r="S117" i="1" s="1"/>
  <c r="K118" i="1"/>
  <c r="S118" i="1" s="1"/>
  <c r="K119" i="1"/>
  <c r="S119" i="1" s="1"/>
  <c r="K120" i="1"/>
  <c r="S120" i="1" s="1"/>
  <c r="K121" i="1"/>
  <c r="S121" i="1" s="1"/>
  <c r="K122" i="1"/>
  <c r="S122" i="1" s="1"/>
  <c r="K123" i="1"/>
  <c r="S123" i="1" s="1"/>
  <c r="K124" i="1"/>
  <c r="S124" i="1" s="1"/>
  <c r="K125" i="1"/>
  <c r="S125" i="1" s="1"/>
  <c r="K126" i="1"/>
  <c r="S126" i="1" s="1"/>
  <c r="K127" i="1"/>
  <c r="S127" i="1" s="1"/>
  <c r="K128" i="1"/>
  <c r="S128" i="1" s="1"/>
  <c r="K129" i="1"/>
  <c r="S129" i="1" s="1"/>
  <c r="K130" i="1"/>
  <c r="S130" i="1" s="1"/>
  <c r="K131" i="1"/>
  <c r="S131" i="1" s="1"/>
  <c r="K132" i="1"/>
  <c r="S132" i="1" s="1"/>
  <c r="K133" i="1"/>
  <c r="S133" i="1" s="1"/>
  <c r="K134" i="1"/>
  <c r="S134" i="1" s="1"/>
  <c r="K135" i="1"/>
  <c r="S135" i="1" s="1"/>
  <c r="K136" i="1"/>
  <c r="S136" i="1" s="1"/>
  <c r="K137" i="1"/>
  <c r="S137" i="1" s="1"/>
  <c r="K138" i="1"/>
  <c r="S138" i="1" s="1"/>
  <c r="K139" i="1"/>
  <c r="S139" i="1" s="1"/>
  <c r="K140" i="1"/>
  <c r="S140" i="1" s="1"/>
  <c r="K141" i="1"/>
  <c r="S141" i="1" s="1"/>
  <c r="K142" i="1"/>
  <c r="S142" i="1" s="1"/>
  <c r="K143" i="1"/>
  <c r="S143" i="1" s="1"/>
  <c r="K144" i="1"/>
  <c r="S144" i="1" s="1"/>
  <c r="K145" i="1"/>
  <c r="S145" i="1" s="1"/>
  <c r="K146" i="1"/>
  <c r="S146" i="1" s="1"/>
  <c r="K147" i="1"/>
  <c r="S147" i="1" s="1"/>
  <c r="K148" i="1"/>
  <c r="S148" i="1" s="1"/>
  <c r="K149" i="1"/>
  <c r="S149" i="1" s="1"/>
  <c r="K150" i="1"/>
  <c r="S150" i="1" s="1"/>
  <c r="K151" i="1"/>
  <c r="S151" i="1" s="1"/>
  <c r="K152" i="1"/>
  <c r="S152" i="1" s="1"/>
  <c r="K153" i="1"/>
  <c r="S153" i="1" s="1"/>
  <c r="K154" i="1"/>
  <c r="S154" i="1" s="1"/>
  <c r="K155" i="1"/>
  <c r="S155" i="1" s="1"/>
  <c r="K156" i="1"/>
  <c r="S156" i="1" s="1"/>
  <c r="K157" i="1"/>
  <c r="S157" i="1" s="1"/>
  <c r="K158" i="1"/>
  <c r="S158" i="1" s="1"/>
  <c r="K159" i="1"/>
  <c r="S159" i="1" s="1"/>
  <c r="K160" i="1"/>
  <c r="S160" i="1" s="1"/>
  <c r="K161" i="1"/>
  <c r="S161" i="1" s="1"/>
  <c r="K162" i="1"/>
  <c r="S162" i="1" s="1"/>
  <c r="K163" i="1"/>
  <c r="S163" i="1" s="1"/>
  <c r="K164" i="1"/>
  <c r="S164" i="1" s="1"/>
  <c r="K165" i="1"/>
  <c r="S165" i="1" s="1"/>
  <c r="K166" i="1"/>
  <c r="S166" i="1" s="1"/>
  <c r="K167" i="1"/>
  <c r="S167" i="1" s="1"/>
  <c r="K168" i="1"/>
  <c r="S168" i="1" s="1"/>
  <c r="K169" i="1"/>
  <c r="S169" i="1" s="1"/>
  <c r="K170" i="1"/>
  <c r="S170" i="1" s="1"/>
  <c r="K171" i="1"/>
  <c r="S171" i="1" s="1"/>
  <c r="K172" i="1"/>
  <c r="S172" i="1" s="1"/>
  <c r="K173" i="1"/>
  <c r="S173" i="1" s="1"/>
  <c r="K174" i="1"/>
  <c r="S174" i="1" s="1"/>
  <c r="K175" i="1"/>
  <c r="S175" i="1" s="1"/>
  <c r="K176" i="1"/>
  <c r="S176" i="1" s="1"/>
  <c r="K177" i="1"/>
  <c r="S177" i="1" s="1"/>
  <c r="K178" i="1"/>
  <c r="S178" i="1" s="1"/>
  <c r="K179" i="1"/>
  <c r="S179" i="1" s="1"/>
  <c r="K180" i="1"/>
  <c r="S180" i="1" s="1"/>
  <c r="K181" i="1"/>
  <c r="S181" i="1" s="1"/>
  <c r="K182" i="1"/>
  <c r="S182" i="1" s="1"/>
  <c r="K183" i="1"/>
  <c r="S183" i="1" s="1"/>
  <c r="K184" i="1"/>
  <c r="S184" i="1" s="1"/>
  <c r="K185" i="1"/>
  <c r="S185" i="1" s="1"/>
  <c r="K186" i="1"/>
  <c r="S186" i="1" s="1"/>
  <c r="K187" i="1"/>
  <c r="S187" i="1" s="1"/>
  <c r="K188" i="1"/>
  <c r="S188" i="1" s="1"/>
  <c r="K189" i="1"/>
  <c r="S189" i="1" s="1"/>
  <c r="K190" i="1"/>
  <c r="S190" i="1" s="1"/>
  <c r="K191" i="1"/>
  <c r="S191" i="1" s="1"/>
  <c r="K192" i="1"/>
  <c r="S192" i="1" s="1"/>
  <c r="K193" i="1"/>
  <c r="S193" i="1" s="1"/>
  <c r="K194" i="1"/>
  <c r="S194" i="1" s="1"/>
  <c r="K195" i="1"/>
  <c r="S195" i="1" s="1"/>
  <c r="K196" i="1"/>
  <c r="S196" i="1" s="1"/>
  <c r="K197" i="1"/>
  <c r="S197" i="1" s="1"/>
  <c r="K198" i="1"/>
  <c r="S198" i="1" s="1"/>
  <c r="K199" i="1"/>
  <c r="S199" i="1" s="1"/>
  <c r="K200" i="1"/>
  <c r="S200" i="1" s="1"/>
  <c r="K201" i="1"/>
  <c r="S201" i="1" s="1"/>
  <c r="K202" i="1"/>
  <c r="S202" i="1" s="1"/>
  <c r="K203" i="1"/>
  <c r="S203" i="1" s="1"/>
  <c r="K204" i="1"/>
  <c r="S204" i="1" s="1"/>
  <c r="K205" i="1"/>
  <c r="S205" i="1" s="1"/>
  <c r="K206" i="1"/>
  <c r="S206" i="1" s="1"/>
  <c r="K207" i="1"/>
  <c r="S207" i="1" s="1"/>
  <c r="K208" i="1"/>
  <c r="S208" i="1" s="1"/>
  <c r="K209" i="1"/>
  <c r="S209" i="1" s="1"/>
  <c r="K210" i="1"/>
  <c r="S210" i="1" s="1"/>
  <c r="K211" i="1"/>
  <c r="S211" i="1" s="1"/>
  <c r="K212" i="1"/>
  <c r="S212" i="1" s="1"/>
  <c r="K213" i="1"/>
  <c r="S213" i="1" s="1"/>
  <c r="K214" i="1"/>
  <c r="S214" i="1" s="1"/>
  <c r="K215" i="1"/>
  <c r="S215" i="1" s="1"/>
  <c r="K216" i="1"/>
  <c r="S216" i="1" s="1"/>
  <c r="K217" i="1"/>
  <c r="S217" i="1" s="1"/>
  <c r="K218" i="1"/>
  <c r="S218" i="1" s="1"/>
  <c r="K219" i="1"/>
  <c r="S219" i="1" s="1"/>
  <c r="K220" i="1"/>
  <c r="S220" i="1" s="1"/>
  <c r="K221" i="1"/>
  <c r="S221" i="1" s="1"/>
  <c r="K222" i="1"/>
  <c r="S222" i="1" s="1"/>
  <c r="K223" i="1"/>
  <c r="S223" i="1" s="1"/>
  <c r="K224" i="1"/>
  <c r="S224" i="1" s="1"/>
  <c r="K225" i="1"/>
  <c r="S225" i="1" s="1"/>
  <c r="K226" i="1"/>
  <c r="S226" i="1" s="1"/>
  <c r="K227" i="1"/>
  <c r="S227" i="1" s="1"/>
  <c r="K228" i="1"/>
  <c r="S228" i="1" s="1"/>
  <c r="K229" i="1"/>
  <c r="S229" i="1" s="1"/>
  <c r="K230" i="1"/>
  <c r="S230" i="1" s="1"/>
  <c r="K231" i="1"/>
  <c r="S231" i="1" s="1"/>
  <c r="K232" i="1"/>
  <c r="S232" i="1" s="1"/>
  <c r="K233" i="1"/>
  <c r="S233" i="1" s="1"/>
  <c r="K234" i="1"/>
  <c r="S234" i="1" s="1"/>
  <c r="K235" i="1"/>
  <c r="S235" i="1" s="1"/>
  <c r="K236" i="1"/>
  <c r="S236" i="1" s="1"/>
  <c r="K237" i="1"/>
  <c r="S237" i="1" s="1"/>
  <c r="K238" i="1"/>
  <c r="S238" i="1" s="1"/>
  <c r="K239" i="1"/>
  <c r="S239" i="1" s="1"/>
  <c r="K240" i="1"/>
  <c r="S240" i="1" s="1"/>
  <c r="K241" i="1"/>
  <c r="S241" i="1" s="1"/>
  <c r="K242" i="1"/>
  <c r="S242" i="1" s="1"/>
  <c r="K243" i="1"/>
  <c r="S243" i="1" s="1"/>
  <c r="K244" i="1"/>
  <c r="S244" i="1" s="1"/>
  <c r="K245" i="1"/>
  <c r="S245" i="1" s="1"/>
  <c r="K246" i="1"/>
  <c r="S246" i="1" s="1"/>
  <c r="K247" i="1"/>
  <c r="S247" i="1" s="1"/>
  <c r="K248" i="1"/>
  <c r="S248" i="1" s="1"/>
  <c r="K249" i="1"/>
  <c r="S249" i="1" s="1"/>
  <c r="K250" i="1"/>
  <c r="S250" i="1" s="1"/>
  <c r="K251" i="1"/>
  <c r="S251" i="1" s="1"/>
  <c r="K252" i="1"/>
  <c r="S252" i="1" s="1"/>
  <c r="K253" i="1"/>
  <c r="S253" i="1" s="1"/>
  <c r="K254" i="1"/>
  <c r="S254" i="1" s="1"/>
  <c r="K255" i="1"/>
  <c r="S255" i="1" s="1"/>
  <c r="K256" i="1"/>
  <c r="S256" i="1" s="1"/>
  <c r="K257" i="1"/>
  <c r="S257" i="1" s="1"/>
  <c r="K258" i="1"/>
  <c r="S258" i="1" s="1"/>
  <c r="K259" i="1"/>
  <c r="S259" i="1" s="1"/>
  <c r="K260" i="1"/>
  <c r="S260" i="1" s="1"/>
  <c r="K261" i="1"/>
  <c r="S261" i="1" s="1"/>
  <c r="K262" i="1"/>
  <c r="S262" i="1" s="1"/>
  <c r="K263" i="1"/>
  <c r="S263" i="1" s="1"/>
  <c r="K264" i="1"/>
  <c r="S264" i="1" s="1"/>
  <c r="K265" i="1"/>
  <c r="S265" i="1" s="1"/>
  <c r="K266" i="1"/>
  <c r="S266" i="1" s="1"/>
  <c r="K267" i="1"/>
  <c r="S267" i="1" s="1"/>
  <c r="K268" i="1"/>
  <c r="S268" i="1" s="1"/>
  <c r="K269" i="1"/>
  <c r="S269" i="1" s="1"/>
  <c r="K270" i="1"/>
  <c r="S270" i="1" s="1"/>
  <c r="K271" i="1"/>
  <c r="S271" i="1" s="1"/>
  <c r="K272" i="1"/>
  <c r="S272" i="1" s="1"/>
  <c r="K273" i="1"/>
  <c r="S273" i="1" s="1"/>
  <c r="K274" i="1"/>
  <c r="S274" i="1" s="1"/>
  <c r="K275" i="1"/>
  <c r="S275" i="1" s="1"/>
  <c r="K276" i="1"/>
  <c r="S276" i="1" s="1"/>
  <c r="K277" i="1"/>
  <c r="S277" i="1" s="1"/>
  <c r="K278" i="1"/>
  <c r="S278" i="1" s="1"/>
  <c r="K279" i="1"/>
  <c r="S279" i="1" s="1"/>
  <c r="K280" i="1"/>
  <c r="S280" i="1" s="1"/>
  <c r="K281" i="1"/>
  <c r="S281" i="1" s="1"/>
  <c r="K282" i="1"/>
  <c r="S282" i="1" s="1"/>
  <c r="K283" i="1"/>
  <c r="S283" i="1" s="1"/>
  <c r="K284" i="1"/>
  <c r="S284" i="1" s="1"/>
  <c r="K285" i="1"/>
  <c r="S285" i="1" s="1"/>
  <c r="K286" i="1"/>
  <c r="S286" i="1" s="1"/>
  <c r="K287" i="1"/>
  <c r="S287" i="1" s="1"/>
  <c r="K288" i="1"/>
  <c r="S288" i="1" s="1"/>
  <c r="K289" i="1"/>
  <c r="S289" i="1" s="1"/>
  <c r="K290" i="1"/>
  <c r="S290" i="1" s="1"/>
  <c r="K291" i="1"/>
  <c r="S291" i="1" s="1"/>
  <c r="K292" i="1"/>
  <c r="S292" i="1" s="1"/>
  <c r="K293" i="1"/>
  <c r="S293" i="1" s="1"/>
  <c r="K294" i="1"/>
  <c r="S294" i="1" s="1"/>
  <c r="K295" i="1"/>
  <c r="S295" i="1" s="1"/>
  <c r="K296" i="1"/>
  <c r="S296" i="1" s="1"/>
  <c r="K297" i="1"/>
  <c r="S297" i="1" s="1"/>
  <c r="K298" i="1"/>
  <c r="S298" i="1" s="1"/>
  <c r="K299" i="1"/>
  <c r="S299" i="1" s="1"/>
  <c r="K300" i="1"/>
  <c r="S300" i="1" s="1"/>
  <c r="K301" i="1"/>
  <c r="S301" i="1" s="1"/>
  <c r="K302" i="1"/>
  <c r="S302" i="1" s="1"/>
  <c r="K303" i="1"/>
  <c r="S303" i="1" s="1"/>
  <c r="K304" i="1"/>
  <c r="S304" i="1" s="1"/>
  <c r="K305" i="1"/>
  <c r="S305" i="1" s="1"/>
  <c r="K306" i="1"/>
  <c r="S306" i="1" s="1"/>
  <c r="K307" i="1"/>
  <c r="S307" i="1" s="1"/>
  <c r="K308" i="1"/>
  <c r="S308" i="1" s="1"/>
  <c r="K309" i="1"/>
  <c r="S309" i="1" s="1"/>
  <c r="K310" i="1"/>
  <c r="S310" i="1" s="1"/>
  <c r="K311" i="1"/>
  <c r="S311" i="1" s="1"/>
  <c r="K312" i="1"/>
  <c r="S312" i="1" s="1"/>
  <c r="K313" i="1"/>
  <c r="S313" i="1" s="1"/>
  <c r="K314" i="1"/>
  <c r="S314" i="1" s="1"/>
  <c r="K315" i="1"/>
  <c r="S315" i="1" s="1"/>
  <c r="K316" i="1"/>
  <c r="S316" i="1" s="1"/>
  <c r="K317" i="1"/>
  <c r="S317" i="1" s="1"/>
  <c r="K318" i="1"/>
  <c r="S318" i="1" s="1"/>
  <c r="K319" i="1"/>
  <c r="S319" i="1" s="1"/>
  <c r="K320" i="1"/>
  <c r="S320" i="1" s="1"/>
  <c r="K321" i="1"/>
  <c r="S321" i="1" s="1"/>
  <c r="K322" i="1"/>
  <c r="S322" i="1" s="1"/>
  <c r="K323" i="1"/>
  <c r="S323" i="1" s="1"/>
  <c r="K324" i="1"/>
  <c r="S324" i="1" s="1"/>
  <c r="K325" i="1"/>
  <c r="S325" i="1" s="1"/>
  <c r="K326" i="1"/>
  <c r="S326" i="1" s="1"/>
  <c r="K327" i="1"/>
  <c r="S327" i="1" s="1"/>
  <c r="K328" i="1"/>
  <c r="S328" i="1" s="1"/>
  <c r="K329" i="1"/>
  <c r="S329" i="1" s="1"/>
  <c r="K330" i="1"/>
  <c r="S330" i="1" s="1"/>
  <c r="K331" i="1"/>
  <c r="S331" i="1" s="1"/>
  <c r="K332" i="1"/>
  <c r="S332" i="1" s="1"/>
  <c r="K333" i="1"/>
  <c r="S333" i="1" s="1"/>
  <c r="K334" i="1"/>
  <c r="S334" i="1" s="1"/>
  <c r="K335" i="1"/>
  <c r="S335" i="1" s="1"/>
  <c r="K336" i="1"/>
  <c r="S336" i="1" s="1"/>
  <c r="K337" i="1"/>
  <c r="S337" i="1" s="1"/>
  <c r="K338" i="1"/>
  <c r="S338" i="1" s="1"/>
  <c r="K339" i="1"/>
  <c r="S339" i="1" s="1"/>
  <c r="K340" i="1"/>
  <c r="S340" i="1" s="1"/>
  <c r="K341" i="1"/>
  <c r="S341" i="1" s="1"/>
  <c r="K342" i="1"/>
  <c r="S342" i="1" s="1"/>
  <c r="K343" i="1"/>
  <c r="S343" i="1" s="1"/>
  <c r="K344" i="1"/>
  <c r="S344" i="1" s="1"/>
  <c r="K345" i="1"/>
  <c r="S345" i="1" s="1"/>
  <c r="K346" i="1"/>
  <c r="S346" i="1" s="1"/>
  <c r="K347" i="1"/>
  <c r="S347" i="1" s="1"/>
  <c r="K348" i="1"/>
  <c r="S348" i="1" s="1"/>
  <c r="K349" i="1"/>
  <c r="S349" i="1" s="1"/>
  <c r="K350" i="1"/>
  <c r="S350" i="1" s="1"/>
  <c r="K351" i="1"/>
  <c r="S351" i="1" s="1"/>
  <c r="K352" i="1"/>
  <c r="S352" i="1" s="1"/>
  <c r="K353" i="1"/>
  <c r="S353" i="1" s="1"/>
  <c r="K354" i="1"/>
  <c r="S354" i="1" s="1"/>
  <c r="K355" i="1"/>
  <c r="S355" i="1" s="1"/>
  <c r="K356" i="1"/>
  <c r="S356" i="1" s="1"/>
  <c r="K357" i="1"/>
  <c r="S357" i="1" s="1"/>
  <c r="K358" i="1"/>
  <c r="S358" i="1" s="1"/>
  <c r="K359" i="1"/>
  <c r="S359" i="1" s="1"/>
  <c r="K360" i="1"/>
  <c r="S360" i="1" s="1"/>
  <c r="K361" i="1"/>
  <c r="S361" i="1" s="1"/>
  <c r="K362" i="1"/>
  <c r="S362" i="1" s="1"/>
  <c r="K363" i="1"/>
  <c r="S363" i="1" s="1"/>
  <c r="K364" i="1"/>
  <c r="S364" i="1" s="1"/>
  <c r="K365" i="1"/>
  <c r="S365" i="1" s="1"/>
  <c r="K366" i="1"/>
  <c r="S366" i="1" s="1"/>
  <c r="K367" i="1"/>
  <c r="S367" i="1" s="1"/>
  <c r="K368" i="1"/>
  <c r="S368" i="1" s="1"/>
  <c r="K369" i="1"/>
  <c r="S369" i="1" s="1"/>
  <c r="K370" i="1"/>
  <c r="S370" i="1" s="1"/>
  <c r="K371" i="1"/>
  <c r="S371" i="1" s="1"/>
  <c r="K372" i="1"/>
  <c r="S372" i="1" s="1"/>
  <c r="K373" i="1"/>
  <c r="S373" i="1" s="1"/>
  <c r="K374" i="1"/>
  <c r="S374" i="1" s="1"/>
  <c r="K375" i="1"/>
  <c r="S375" i="1" s="1"/>
  <c r="K376" i="1"/>
  <c r="S376" i="1" s="1"/>
  <c r="K377" i="1"/>
  <c r="S377" i="1" s="1"/>
  <c r="K378" i="1"/>
  <c r="S378" i="1" s="1"/>
  <c r="K379" i="1"/>
  <c r="S379" i="1" s="1"/>
  <c r="K380" i="1"/>
  <c r="S380" i="1" s="1"/>
  <c r="K381" i="1"/>
  <c r="S381" i="1" s="1"/>
  <c r="K382" i="1"/>
  <c r="S382" i="1" s="1"/>
  <c r="K383" i="1"/>
  <c r="S383" i="1" s="1"/>
  <c r="K384" i="1"/>
  <c r="S384" i="1" s="1"/>
  <c r="K385" i="1"/>
  <c r="S385" i="1" s="1"/>
  <c r="K386" i="1"/>
  <c r="S386" i="1" s="1"/>
  <c r="K387" i="1"/>
  <c r="S387" i="1" s="1"/>
  <c r="K388" i="1"/>
  <c r="S388" i="1" s="1"/>
  <c r="K389" i="1"/>
  <c r="S389" i="1" s="1"/>
  <c r="K390" i="1"/>
  <c r="S390" i="1" s="1"/>
  <c r="K391" i="1"/>
  <c r="S391" i="1" s="1"/>
  <c r="K392" i="1"/>
  <c r="S392" i="1" s="1"/>
  <c r="K393" i="1"/>
  <c r="S393" i="1" s="1"/>
  <c r="K394" i="1"/>
  <c r="S394" i="1" s="1"/>
  <c r="K395" i="1"/>
  <c r="S395" i="1" s="1"/>
  <c r="K396" i="1"/>
  <c r="S396" i="1" s="1"/>
  <c r="K397" i="1"/>
  <c r="S397" i="1" s="1"/>
  <c r="K398" i="1"/>
  <c r="S398" i="1" s="1"/>
  <c r="K399" i="1"/>
  <c r="S399" i="1" s="1"/>
  <c r="K400" i="1"/>
  <c r="S400" i="1" s="1"/>
  <c r="K401" i="1"/>
  <c r="S401" i="1" s="1"/>
  <c r="K402" i="1"/>
  <c r="S402" i="1" s="1"/>
  <c r="K403" i="1"/>
  <c r="S403" i="1" s="1"/>
  <c r="K404" i="1"/>
  <c r="S404" i="1" s="1"/>
  <c r="K405" i="1"/>
  <c r="S405" i="1" s="1"/>
  <c r="K406" i="1"/>
  <c r="S406" i="1" s="1"/>
  <c r="K407" i="1"/>
  <c r="S407" i="1" s="1"/>
  <c r="K408" i="1"/>
  <c r="S408" i="1" s="1"/>
  <c r="K409" i="1"/>
  <c r="S409" i="1" s="1"/>
  <c r="K410" i="1"/>
  <c r="S410" i="1" s="1"/>
  <c r="K411" i="1"/>
  <c r="S411" i="1" s="1"/>
  <c r="K412" i="1"/>
  <c r="S412" i="1" s="1"/>
  <c r="K413" i="1"/>
  <c r="S413" i="1" s="1"/>
  <c r="K414" i="1"/>
  <c r="S414" i="1" s="1"/>
  <c r="K415" i="1"/>
  <c r="S415" i="1" s="1"/>
  <c r="K416" i="1"/>
  <c r="S416" i="1" s="1"/>
  <c r="K417" i="1"/>
  <c r="S417" i="1" s="1"/>
  <c r="K418" i="1"/>
  <c r="S418" i="1" s="1"/>
  <c r="K419" i="1"/>
  <c r="S419" i="1" s="1"/>
  <c r="K420" i="1"/>
  <c r="S420" i="1" s="1"/>
  <c r="K421" i="1"/>
  <c r="S421" i="1" s="1"/>
  <c r="K422" i="1"/>
  <c r="S422" i="1" s="1"/>
  <c r="K423" i="1"/>
  <c r="S423" i="1" s="1"/>
  <c r="K424" i="1"/>
  <c r="S424" i="1" s="1"/>
  <c r="K425" i="1"/>
  <c r="S425" i="1" s="1"/>
  <c r="K426" i="1"/>
  <c r="S426" i="1" s="1"/>
  <c r="K427" i="1"/>
  <c r="S427" i="1" s="1"/>
  <c r="K428" i="1"/>
  <c r="S428" i="1" s="1"/>
  <c r="K429" i="1"/>
  <c r="S429" i="1" s="1"/>
  <c r="K430" i="1"/>
  <c r="S430" i="1" s="1"/>
  <c r="K431" i="1"/>
  <c r="S431" i="1" s="1"/>
  <c r="K432" i="1"/>
  <c r="S432" i="1" s="1"/>
  <c r="K433" i="1"/>
  <c r="S433" i="1" s="1"/>
  <c r="K434" i="1"/>
  <c r="S434" i="1" s="1"/>
  <c r="K435" i="1"/>
  <c r="S435" i="1" s="1"/>
  <c r="K436" i="1"/>
  <c r="S436" i="1" s="1"/>
  <c r="K437" i="1"/>
  <c r="S437" i="1" s="1"/>
  <c r="K438" i="1"/>
  <c r="S438" i="1" s="1"/>
  <c r="K439" i="1"/>
  <c r="S439" i="1" s="1"/>
  <c r="K440" i="1"/>
  <c r="S440" i="1" s="1"/>
  <c r="K441" i="1"/>
  <c r="S441" i="1" s="1"/>
  <c r="K442" i="1"/>
  <c r="S442" i="1" s="1"/>
  <c r="K443" i="1"/>
  <c r="S443" i="1" s="1"/>
  <c r="K444" i="1"/>
  <c r="S444" i="1" s="1"/>
  <c r="K445" i="1"/>
  <c r="S445" i="1" s="1"/>
  <c r="K446" i="1"/>
  <c r="S446" i="1" s="1"/>
  <c r="K447" i="1"/>
  <c r="S447" i="1" s="1"/>
  <c r="K448" i="1"/>
  <c r="S448" i="1" s="1"/>
  <c r="K449" i="1"/>
  <c r="S449" i="1" s="1"/>
  <c r="K450" i="1"/>
  <c r="S450" i="1" s="1"/>
  <c r="K451" i="1"/>
  <c r="S451" i="1" s="1"/>
  <c r="K452" i="1"/>
  <c r="S452" i="1" s="1"/>
  <c r="K453" i="1"/>
  <c r="S453" i="1" s="1"/>
  <c r="K454" i="1"/>
  <c r="S454" i="1" s="1"/>
  <c r="K455" i="1"/>
  <c r="S455" i="1" s="1"/>
  <c r="K456" i="1"/>
  <c r="S456" i="1" s="1"/>
  <c r="K457" i="1"/>
  <c r="S457" i="1" s="1"/>
  <c r="K458" i="1"/>
  <c r="S458" i="1" s="1"/>
  <c r="K459" i="1"/>
  <c r="S459" i="1" s="1"/>
  <c r="K460" i="1"/>
  <c r="S460" i="1" s="1"/>
  <c r="K461" i="1"/>
  <c r="S461" i="1" s="1"/>
  <c r="K462" i="1"/>
  <c r="S462" i="1" s="1"/>
  <c r="K463" i="1"/>
  <c r="S463" i="1" s="1"/>
  <c r="K464" i="1"/>
  <c r="S464" i="1" s="1"/>
  <c r="K465" i="1"/>
  <c r="S465" i="1" s="1"/>
  <c r="K466" i="1"/>
  <c r="S466" i="1" s="1"/>
  <c r="K467" i="1"/>
  <c r="S467" i="1" s="1"/>
  <c r="K468" i="1"/>
  <c r="S468" i="1" s="1"/>
  <c r="K469" i="1"/>
  <c r="S469" i="1" s="1"/>
  <c r="K470" i="1"/>
  <c r="S470" i="1" s="1"/>
  <c r="K471" i="1"/>
  <c r="S471" i="1" s="1"/>
  <c r="K472" i="1"/>
  <c r="S472" i="1" s="1"/>
  <c r="K473" i="1"/>
  <c r="S473" i="1" s="1"/>
  <c r="K474" i="1"/>
  <c r="S474" i="1" s="1"/>
  <c r="K475" i="1"/>
  <c r="S475" i="1" s="1"/>
  <c r="K476" i="1"/>
  <c r="S476" i="1" s="1"/>
  <c r="K477" i="1"/>
  <c r="S477" i="1" s="1"/>
  <c r="K478" i="1"/>
  <c r="S478" i="1" s="1"/>
  <c r="K479" i="1"/>
  <c r="S479" i="1" s="1"/>
  <c r="K480" i="1"/>
  <c r="S480" i="1" s="1"/>
  <c r="K481" i="1"/>
  <c r="S481" i="1" s="1"/>
  <c r="K482" i="1"/>
  <c r="S482" i="1" s="1"/>
  <c r="K483" i="1"/>
  <c r="S483" i="1" s="1"/>
  <c r="K484" i="1"/>
  <c r="S484" i="1" s="1"/>
  <c r="K485" i="1"/>
  <c r="S485" i="1" s="1"/>
  <c r="K486" i="1"/>
  <c r="S486" i="1" s="1"/>
  <c r="K487" i="1"/>
  <c r="S487" i="1" s="1"/>
  <c r="K488" i="1"/>
  <c r="S488" i="1" s="1"/>
  <c r="K489" i="1"/>
  <c r="S489" i="1" s="1"/>
  <c r="K490" i="1"/>
  <c r="S490" i="1" s="1"/>
  <c r="K491" i="1"/>
  <c r="S491" i="1" s="1"/>
  <c r="K492" i="1"/>
  <c r="S492" i="1" s="1"/>
  <c r="K493" i="1"/>
  <c r="S493" i="1" s="1"/>
  <c r="K494" i="1"/>
  <c r="S494" i="1" s="1"/>
  <c r="K495" i="1"/>
  <c r="S495" i="1" s="1"/>
  <c r="K496" i="1"/>
  <c r="S496" i="1" s="1"/>
  <c r="K497" i="1"/>
  <c r="S497" i="1" s="1"/>
  <c r="K498" i="1"/>
  <c r="S498" i="1" s="1"/>
  <c r="K499" i="1"/>
  <c r="S499" i="1" s="1"/>
  <c r="K500" i="1"/>
  <c r="S500" i="1" s="1"/>
  <c r="K501" i="1"/>
  <c r="S501" i="1" s="1"/>
  <c r="K502" i="1"/>
  <c r="S502" i="1" s="1"/>
  <c r="K503" i="1"/>
  <c r="S503" i="1" s="1"/>
  <c r="K504" i="1"/>
  <c r="S504" i="1" s="1"/>
  <c r="K505" i="1"/>
  <c r="S505" i="1" s="1"/>
  <c r="K506" i="1"/>
  <c r="S506" i="1" s="1"/>
  <c r="K507" i="1"/>
  <c r="S507" i="1" s="1"/>
  <c r="K508" i="1"/>
  <c r="S508" i="1" s="1"/>
  <c r="K509" i="1"/>
  <c r="S509" i="1" s="1"/>
  <c r="K510" i="1"/>
  <c r="S510" i="1" s="1"/>
  <c r="K511" i="1"/>
  <c r="S511" i="1" s="1"/>
  <c r="K512" i="1"/>
  <c r="S512" i="1" s="1"/>
  <c r="K513" i="1"/>
  <c r="S513" i="1" s="1"/>
  <c r="K514" i="1"/>
  <c r="S514" i="1" s="1"/>
  <c r="K515" i="1"/>
  <c r="S515" i="1" s="1"/>
  <c r="K516" i="1"/>
  <c r="S516" i="1" s="1"/>
  <c r="K517" i="1"/>
  <c r="S517" i="1" s="1"/>
  <c r="K518" i="1"/>
  <c r="S518" i="1" s="1"/>
  <c r="K519" i="1"/>
  <c r="S519" i="1" s="1"/>
  <c r="K520" i="1"/>
  <c r="S520" i="1" s="1"/>
  <c r="K521" i="1"/>
  <c r="S521" i="1" s="1"/>
  <c r="K522" i="1"/>
  <c r="S522" i="1" s="1"/>
  <c r="K523" i="1"/>
  <c r="S523" i="1" s="1"/>
  <c r="K524" i="1"/>
  <c r="S524" i="1" s="1"/>
  <c r="K525" i="1"/>
  <c r="S525" i="1" s="1"/>
  <c r="K526" i="1"/>
  <c r="S526" i="1" s="1"/>
  <c r="K527" i="1"/>
  <c r="S527" i="1" s="1"/>
  <c r="K528" i="1"/>
  <c r="S528" i="1" s="1"/>
  <c r="K529" i="1"/>
  <c r="S529" i="1" s="1"/>
  <c r="K530" i="1"/>
  <c r="S530" i="1" s="1"/>
  <c r="K531" i="1"/>
  <c r="S531" i="1" s="1"/>
  <c r="K532" i="1"/>
  <c r="S532" i="1" s="1"/>
  <c r="K533" i="1"/>
  <c r="S533" i="1" s="1"/>
  <c r="K534" i="1"/>
  <c r="S534" i="1" s="1"/>
  <c r="K535" i="1"/>
  <c r="S535" i="1" s="1"/>
  <c r="K536" i="1"/>
  <c r="S536" i="1" s="1"/>
  <c r="K537" i="1"/>
  <c r="S537" i="1" s="1"/>
  <c r="K538" i="1"/>
  <c r="S538" i="1" s="1"/>
  <c r="K539" i="1"/>
  <c r="S539" i="1" s="1"/>
  <c r="K540" i="1"/>
  <c r="S540" i="1" s="1"/>
  <c r="K541" i="1"/>
  <c r="S541" i="1" s="1"/>
  <c r="K542" i="1"/>
  <c r="S542" i="1" s="1"/>
  <c r="K543" i="1"/>
  <c r="S543" i="1" s="1"/>
  <c r="K544" i="1"/>
  <c r="S544" i="1" s="1"/>
  <c r="K545" i="1"/>
  <c r="S545" i="1" s="1"/>
  <c r="K546" i="1"/>
  <c r="S546" i="1" s="1"/>
  <c r="K547" i="1"/>
  <c r="S547" i="1" s="1"/>
  <c r="K548" i="1"/>
  <c r="S548" i="1" s="1"/>
  <c r="K549" i="1"/>
  <c r="S549" i="1" s="1"/>
  <c r="K550" i="1"/>
  <c r="S550" i="1" s="1"/>
  <c r="K551" i="1"/>
  <c r="S551" i="1" s="1"/>
  <c r="K552" i="1"/>
  <c r="S552" i="1" s="1"/>
  <c r="K553" i="1"/>
  <c r="S553" i="1" s="1"/>
  <c r="K554" i="1"/>
  <c r="S554" i="1" s="1"/>
  <c r="K555" i="1"/>
  <c r="S555" i="1" s="1"/>
  <c r="K556" i="1"/>
  <c r="S556" i="1" s="1"/>
  <c r="K557" i="1"/>
  <c r="S557" i="1" s="1"/>
  <c r="K558" i="1"/>
  <c r="S558" i="1" s="1"/>
  <c r="K559" i="1"/>
  <c r="S559" i="1" s="1"/>
  <c r="K560" i="1"/>
  <c r="S560" i="1" s="1"/>
  <c r="K561" i="1"/>
  <c r="S561" i="1" s="1"/>
  <c r="K562" i="1"/>
  <c r="S562" i="1" s="1"/>
  <c r="K563" i="1"/>
  <c r="S563" i="1" s="1"/>
  <c r="K564" i="1"/>
  <c r="S564" i="1" s="1"/>
  <c r="K565" i="1"/>
  <c r="S565" i="1" s="1"/>
  <c r="K566" i="1"/>
  <c r="S566" i="1" s="1"/>
  <c r="K567" i="1"/>
  <c r="S567" i="1" s="1"/>
  <c r="K568" i="1"/>
  <c r="S568" i="1" s="1"/>
  <c r="K569" i="1"/>
  <c r="S569" i="1" s="1"/>
  <c r="K570" i="1"/>
  <c r="S570" i="1" s="1"/>
  <c r="K571" i="1"/>
  <c r="S571" i="1" s="1"/>
  <c r="K572" i="1"/>
  <c r="S572" i="1" s="1"/>
  <c r="K573" i="1"/>
  <c r="S573" i="1" s="1"/>
  <c r="K574" i="1"/>
  <c r="S574" i="1" s="1"/>
  <c r="K575" i="1"/>
  <c r="S575" i="1" s="1"/>
  <c r="K576" i="1"/>
  <c r="S576" i="1" s="1"/>
  <c r="K577" i="1"/>
  <c r="S577" i="1" s="1"/>
  <c r="K578" i="1"/>
  <c r="S578" i="1" s="1"/>
  <c r="K579" i="1"/>
  <c r="S579" i="1" s="1"/>
  <c r="K580" i="1"/>
  <c r="S580" i="1" s="1"/>
  <c r="K581" i="1"/>
  <c r="S581" i="1" s="1"/>
  <c r="K582" i="1"/>
  <c r="S582" i="1" s="1"/>
  <c r="K583" i="1"/>
  <c r="S583" i="1" s="1"/>
  <c r="K584" i="1"/>
  <c r="S584" i="1" s="1"/>
  <c r="K585" i="1"/>
  <c r="S585" i="1" s="1"/>
  <c r="K586" i="1"/>
  <c r="S586" i="1" s="1"/>
  <c r="K587" i="1"/>
  <c r="S587" i="1" s="1"/>
  <c r="K588" i="1"/>
  <c r="S588" i="1" s="1"/>
  <c r="K589" i="1"/>
  <c r="S589" i="1" s="1"/>
  <c r="K590" i="1"/>
  <c r="S590" i="1" s="1"/>
  <c r="K591" i="1"/>
  <c r="S591" i="1" s="1"/>
  <c r="K592" i="1"/>
  <c r="S592" i="1" s="1"/>
  <c r="K593" i="1"/>
  <c r="S593" i="1" s="1"/>
  <c r="K594" i="1"/>
  <c r="S594" i="1" s="1"/>
  <c r="K595" i="1"/>
  <c r="S595" i="1" s="1"/>
  <c r="K596" i="1"/>
  <c r="S596" i="1" s="1"/>
  <c r="K597" i="1"/>
  <c r="S597" i="1" s="1"/>
  <c r="K598" i="1"/>
  <c r="S598" i="1" s="1"/>
  <c r="K599" i="1"/>
  <c r="S599" i="1" s="1"/>
  <c r="K600" i="1"/>
  <c r="S600" i="1" s="1"/>
  <c r="K601" i="1"/>
  <c r="S601" i="1" s="1"/>
  <c r="K602" i="1"/>
  <c r="S602" i="1" s="1"/>
  <c r="K603" i="1"/>
  <c r="S603" i="1" s="1"/>
  <c r="K604" i="1"/>
  <c r="S604" i="1" s="1"/>
  <c r="K605" i="1"/>
  <c r="S605" i="1" s="1"/>
  <c r="K606" i="1"/>
  <c r="S606" i="1" s="1"/>
  <c r="K607" i="1"/>
  <c r="S607" i="1" s="1"/>
  <c r="K608" i="1"/>
  <c r="S608" i="1" s="1"/>
  <c r="K609" i="1"/>
  <c r="S609" i="1" s="1"/>
  <c r="K610" i="1"/>
  <c r="S610" i="1" s="1"/>
  <c r="K611" i="1"/>
  <c r="S611" i="1" s="1"/>
  <c r="K612" i="1"/>
  <c r="S612" i="1" s="1"/>
  <c r="K613" i="1"/>
  <c r="S613" i="1" s="1"/>
  <c r="K614" i="1"/>
  <c r="S614" i="1" s="1"/>
  <c r="K615" i="1"/>
  <c r="S615" i="1" s="1"/>
  <c r="K616" i="1"/>
  <c r="S616" i="1" s="1"/>
  <c r="K617" i="1"/>
  <c r="S617" i="1" s="1"/>
  <c r="K618" i="1"/>
  <c r="S618" i="1" s="1"/>
  <c r="K619" i="1"/>
  <c r="S619" i="1" s="1"/>
  <c r="K620" i="1"/>
  <c r="S620" i="1" s="1"/>
  <c r="K621" i="1"/>
  <c r="S621" i="1" s="1"/>
  <c r="K622" i="1"/>
  <c r="S622" i="1" s="1"/>
  <c r="K623" i="1"/>
  <c r="S623" i="1" s="1"/>
  <c r="K624" i="1"/>
  <c r="S624" i="1" s="1"/>
  <c r="K625" i="1"/>
  <c r="S625" i="1" s="1"/>
  <c r="K626" i="1"/>
  <c r="S626" i="1" s="1"/>
  <c r="K627" i="1"/>
  <c r="S627" i="1" s="1"/>
  <c r="K628" i="1"/>
  <c r="S628" i="1" s="1"/>
  <c r="K629" i="1"/>
  <c r="S629" i="1" s="1"/>
  <c r="K630" i="1"/>
  <c r="S630" i="1" s="1"/>
  <c r="K631" i="1"/>
  <c r="S631" i="1" s="1"/>
  <c r="K632" i="1"/>
  <c r="S632" i="1" s="1"/>
  <c r="K633" i="1"/>
  <c r="S633" i="1" s="1"/>
  <c r="K634" i="1"/>
  <c r="S634" i="1" s="1"/>
  <c r="K635" i="1"/>
  <c r="S635" i="1" s="1"/>
  <c r="K636" i="1"/>
  <c r="S636" i="1" s="1"/>
  <c r="K637" i="1"/>
  <c r="S637" i="1" s="1"/>
  <c r="K638" i="1"/>
  <c r="S638" i="1" s="1"/>
  <c r="K639" i="1"/>
  <c r="S639" i="1" s="1"/>
  <c r="K640" i="1"/>
  <c r="S640" i="1" s="1"/>
  <c r="K641" i="1"/>
  <c r="S641" i="1" s="1"/>
  <c r="K642" i="1"/>
  <c r="S642" i="1" s="1"/>
  <c r="K643" i="1"/>
  <c r="S643" i="1" s="1"/>
  <c r="K644" i="1"/>
  <c r="S644" i="1" s="1"/>
  <c r="K645" i="1"/>
  <c r="S645" i="1" s="1"/>
  <c r="K646" i="1"/>
  <c r="S646" i="1" s="1"/>
  <c r="K647" i="1"/>
  <c r="S647" i="1" s="1"/>
  <c r="K648" i="1"/>
  <c r="S648" i="1" s="1"/>
  <c r="K649" i="1"/>
  <c r="S649" i="1" s="1"/>
  <c r="K650" i="1"/>
  <c r="S650" i="1" s="1"/>
  <c r="K651" i="1"/>
  <c r="S651" i="1" s="1"/>
  <c r="K652" i="1"/>
  <c r="S652" i="1" s="1"/>
  <c r="K653" i="1"/>
  <c r="S653" i="1" s="1"/>
  <c r="K654" i="1"/>
  <c r="S654" i="1" s="1"/>
  <c r="K655" i="1"/>
  <c r="S655" i="1" s="1"/>
  <c r="K656" i="1"/>
  <c r="S656" i="1" s="1"/>
  <c r="K657" i="1"/>
  <c r="S657" i="1" s="1"/>
  <c r="K658" i="1"/>
  <c r="S658" i="1" s="1"/>
  <c r="K659" i="1"/>
  <c r="S659" i="1" s="1"/>
  <c r="K660" i="1"/>
  <c r="S660" i="1" s="1"/>
  <c r="K661" i="1"/>
  <c r="S661" i="1" s="1"/>
  <c r="K662" i="1"/>
  <c r="S662" i="1" s="1"/>
  <c r="K663" i="1"/>
  <c r="S663" i="1" s="1"/>
  <c r="K664" i="1"/>
  <c r="S664" i="1" s="1"/>
  <c r="K665" i="1"/>
  <c r="S665" i="1" s="1"/>
  <c r="K666" i="1"/>
  <c r="S666" i="1" s="1"/>
  <c r="K667" i="1"/>
  <c r="S667" i="1" s="1"/>
  <c r="K668" i="1"/>
  <c r="S668" i="1" s="1"/>
  <c r="K669" i="1"/>
  <c r="S669" i="1" s="1"/>
  <c r="K670" i="1"/>
  <c r="S670" i="1" s="1"/>
  <c r="K671" i="1"/>
  <c r="S671" i="1" s="1"/>
  <c r="K672" i="1"/>
  <c r="S672" i="1" s="1"/>
  <c r="K673" i="1"/>
  <c r="S673" i="1" s="1"/>
  <c r="K674" i="1"/>
  <c r="S674" i="1" s="1"/>
  <c r="K675" i="1"/>
  <c r="S675" i="1" s="1"/>
  <c r="K676" i="1"/>
  <c r="S676" i="1" s="1"/>
  <c r="K677" i="1"/>
  <c r="S677" i="1" s="1"/>
  <c r="K678" i="1"/>
  <c r="S678" i="1" s="1"/>
  <c r="K679" i="1"/>
  <c r="S679" i="1" s="1"/>
  <c r="K680" i="1"/>
  <c r="S680" i="1" s="1"/>
  <c r="K681" i="1"/>
  <c r="S681" i="1" s="1"/>
  <c r="K682" i="1"/>
  <c r="S682" i="1" s="1"/>
  <c r="K683" i="1"/>
  <c r="S683" i="1" s="1"/>
  <c r="K684" i="1"/>
  <c r="S684" i="1" s="1"/>
  <c r="K685" i="1"/>
  <c r="S685" i="1" s="1"/>
  <c r="K686" i="1"/>
  <c r="S686" i="1" s="1"/>
  <c r="K687" i="1"/>
  <c r="S687" i="1" s="1"/>
  <c r="K688" i="1"/>
  <c r="S688" i="1" s="1"/>
  <c r="K689" i="1"/>
  <c r="S689" i="1" s="1"/>
  <c r="K690" i="1"/>
  <c r="S690" i="1" s="1"/>
  <c r="K691" i="1"/>
  <c r="S691" i="1" s="1"/>
  <c r="K692" i="1"/>
  <c r="S692" i="1" s="1"/>
  <c r="K693" i="1"/>
  <c r="S693" i="1" s="1"/>
  <c r="K694" i="1"/>
  <c r="S694" i="1" s="1"/>
  <c r="K695" i="1"/>
  <c r="S695" i="1" s="1"/>
  <c r="K696" i="1"/>
  <c r="S696" i="1" s="1"/>
  <c r="K697" i="1"/>
  <c r="S697" i="1" s="1"/>
  <c r="K698" i="1"/>
  <c r="S698" i="1" s="1"/>
  <c r="K699" i="1"/>
  <c r="S699" i="1" s="1"/>
  <c r="K700" i="1"/>
  <c r="S700" i="1" s="1"/>
  <c r="K701" i="1"/>
  <c r="S701" i="1" s="1"/>
  <c r="K702" i="1"/>
  <c r="S702" i="1" s="1"/>
  <c r="K703" i="1"/>
  <c r="S703" i="1" s="1"/>
  <c r="K704" i="1"/>
  <c r="S704" i="1" s="1"/>
  <c r="K705" i="1"/>
  <c r="S705" i="1" s="1"/>
  <c r="K706" i="1"/>
  <c r="S706" i="1" s="1"/>
  <c r="K707" i="1"/>
  <c r="S707" i="1" s="1"/>
  <c r="K708" i="1"/>
  <c r="S708" i="1" s="1"/>
  <c r="K709" i="1"/>
  <c r="S709" i="1" s="1"/>
  <c r="K710" i="1"/>
  <c r="S710" i="1" s="1"/>
  <c r="K711" i="1"/>
  <c r="S711" i="1" s="1"/>
  <c r="K712" i="1"/>
  <c r="S712" i="1" s="1"/>
  <c r="K713" i="1"/>
  <c r="S713" i="1" s="1"/>
  <c r="K714" i="1"/>
  <c r="S714" i="1" s="1"/>
  <c r="K715" i="1"/>
  <c r="S715" i="1" s="1"/>
  <c r="K716" i="1"/>
  <c r="S716" i="1" s="1"/>
  <c r="K717" i="1"/>
  <c r="S717" i="1" s="1"/>
  <c r="K718" i="1"/>
  <c r="S718" i="1" s="1"/>
  <c r="K719" i="1"/>
  <c r="S719" i="1" s="1"/>
  <c r="K720" i="1"/>
  <c r="S720" i="1" s="1"/>
  <c r="K721" i="1"/>
  <c r="S721" i="1" s="1"/>
  <c r="K722" i="1"/>
  <c r="S722" i="1" s="1"/>
  <c r="K723" i="1"/>
  <c r="S723" i="1" s="1"/>
  <c r="K724" i="1"/>
  <c r="S724" i="1" s="1"/>
  <c r="K725" i="1"/>
  <c r="S725" i="1" s="1"/>
  <c r="K726" i="1"/>
  <c r="S726" i="1" s="1"/>
  <c r="K727" i="1"/>
  <c r="S727" i="1" s="1"/>
  <c r="K728" i="1"/>
  <c r="S728" i="1" s="1"/>
  <c r="K729" i="1"/>
  <c r="S729" i="1" s="1"/>
  <c r="K730" i="1"/>
  <c r="S730" i="1" s="1"/>
  <c r="K731" i="1"/>
  <c r="S731" i="1" s="1"/>
  <c r="K732" i="1"/>
  <c r="S732" i="1" s="1"/>
  <c r="K733" i="1"/>
  <c r="S733" i="1" s="1"/>
  <c r="K734" i="1"/>
  <c r="S734" i="1" s="1"/>
  <c r="K735" i="1"/>
  <c r="S735" i="1" s="1"/>
  <c r="K736" i="1"/>
  <c r="S736" i="1" s="1"/>
  <c r="K737" i="1"/>
  <c r="S737" i="1" s="1"/>
  <c r="K738" i="1"/>
  <c r="S738" i="1" s="1"/>
  <c r="K739" i="1"/>
  <c r="S739" i="1" s="1"/>
  <c r="K740" i="1"/>
  <c r="S740" i="1" s="1"/>
  <c r="K741" i="1"/>
  <c r="S741" i="1" s="1"/>
  <c r="K742" i="1"/>
  <c r="S742" i="1" s="1"/>
  <c r="K743" i="1"/>
  <c r="S743" i="1" s="1"/>
  <c r="K744" i="1"/>
  <c r="S744" i="1" s="1"/>
  <c r="K745" i="1"/>
  <c r="S745" i="1" s="1"/>
  <c r="K746" i="1"/>
  <c r="S746" i="1" s="1"/>
  <c r="K747" i="1"/>
  <c r="S747" i="1" s="1"/>
  <c r="K748" i="1"/>
  <c r="S748" i="1" s="1"/>
  <c r="K749" i="1"/>
  <c r="S749" i="1" s="1"/>
  <c r="K750" i="1"/>
  <c r="S750" i="1" s="1"/>
  <c r="K751" i="1"/>
  <c r="S751" i="1" s="1"/>
  <c r="K752" i="1"/>
  <c r="S752" i="1" s="1"/>
  <c r="K753" i="1"/>
  <c r="S753" i="1" s="1"/>
  <c r="K754" i="1"/>
  <c r="S754" i="1" s="1"/>
  <c r="K755" i="1"/>
  <c r="S755" i="1" s="1"/>
  <c r="K756" i="1"/>
  <c r="S756" i="1" s="1"/>
  <c r="K757" i="1"/>
  <c r="S757" i="1" s="1"/>
  <c r="K758" i="1"/>
  <c r="S758" i="1" s="1"/>
  <c r="K759" i="1"/>
  <c r="S759" i="1" s="1"/>
  <c r="K760" i="1"/>
  <c r="S760" i="1" s="1"/>
  <c r="K761" i="1"/>
  <c r="S761" i="1" s="1"/>
  <c r="K762" i="1"/>
  <c r="S762" i="1" s="1"/>
  <c r="K763" i="1"/>
  <c r="S763" i="1" s="1"/>
  <c r="K764" i="1"/>
  <c r="S764" i="1" s="1"/>
  <c r="K765" i="1"/>
  <c r="S765" i="1" s="1"/>
  <c r="K766" i="1"/>
  <c r="S766" i="1" s="1"/>
  <c r="K767" i="1"/>
  <c r="S767" i="1" s="1"/>
  <c r="K768" i="1"/>
  <c r="S768" i="1" s="1"/>
  <c r="K769" i="1"/>
  <c r="S769" i="1" s="1"/>
  <c r="K770" i="1"/>
  <c r="S770" i="1" s="1"/>
  <c r="K771" i="1"/>
  <c r="S771" i="1" s="1"/>
  <c r="K772" i="1"/>
  <c r="S772" i="1" s="1"/>
  <c r="K773" i="1"/>
  <c r="S773" i="1" s="1"/>
  <c r="K774" i="1"/>
  <c r="S774" i="1" s="1"/>
  <c r="K775" i="1"/>
  <c r="S775" i="1" s="1"/>
  <c r="K776" i="1"/>
  <c r="S776" i="1" s="1"/>
  <c r="K777" i="1"/>
  <c r="S777" i="1" s="1"/>
  <c r="K778" i="1"/>
  <c r="S778" i="1" s="1"/>
  <c r="K779" i="1"/>
  <c r="S779" i="1" s="1"/>
  <c r="K780" i="1"/>
  <c r="S780" i="1" s="1"/>
  <c r="K781" i="1"/>
  <c r="S781" i="1" s="1"/>
  <c r="K782" i="1"/>
  <c r="S782" i="1" s="1"/>
  <c r="K783" i="1"/>
  <c r="S783" i="1" s="1"/>
  <c r="K784" i="1"/>
  <c r="S784" i="1" s="1"/>
  <c r="K785" i="1"/>
  <c r="S785" i="1" s="1"/>
  <c r="K786" i="1"/>
  <c r="S786" i="1" s="1"/>
  <c r="K787" i="1"/>
  <c r="S787" i="1" s="1"/>
  <c r="K788" i="1"/>
  <c r="S788" i="1" s="1"/>
  <c r="K789" i="1"/>
  <c r="S789" i="1" s="1"/>
  <c r="K790" i="1"/>
  <c r="S790" i="1" s="1"/>
  <c r="K791" i="1"/>
  <c r="S791" i="1" s="1"/>
  <c r="K792" i="1"/>
  <c r="S792" i="1" s="1"/>
  <c r="K793" i="1"/>
  <c r="S793" i="1" s="1"/>
  <c r="K794" i="1"/>
  <c r="S794" i="1" s="1"/>
  <c r="K795" i="1"/>
  <c r="S795" i="1" s="1"/>
  <c r="K796" i="1"/>
  <c r="S796" i="1" s="1"/>
  <c r="K797" i="1"/>
  <c r="S797" i="1" s="1"/>
  <c r="K798" i="1"/>
  <c r="S798" i="1" s="1"/>
  <c r="K799" i="1"/>
  <c r="S799" i="1" s="1"/>
  <c r="K800" i="1"/>
  <c r="S800" i="1" s="1"/>
  <c r="K801" i="1"/>
  <c r="S801" i="1" s="1"/>
  <c r="K802" i="1"/>
  <c r="S802" i="1" s="1"/>
  <c r="K803" i="1"/>
  <c r="S803" i="1" s="1"/>
  <c r="K804" i="1"/>
  <c r="S804" i="1" s="1"/>
  <c r="K805" i="1"/>
  <c r="S805" i="1" s="1"/>
  <c r="K806" i="1"/>
  <c r="S806" i="1" s="1"/>
  <c r="K807" i="1"/>
  <c r="S807" i="1" s="1"/>
  <c r="K808" i="1"/>
  <c r="S808" i="1" s="1"/>
  <c r="K809" i="1"/>
  <c r="S809" i="1" s="1"/>
  <c r="K810" i="1"/>
  <c r="S810" i="1" s="1"/>
  <c r="K811" i="1"/>
  <c r="S811" i="1" s="1"/>
  <c r="K812" i="1"/>
  <c r="S812" i="1" s="1"/>
  <c r="K813" i="1"/>
  <c r="S813" i="1" s="1"/>
  <c r="K814" i="1"/>
  <c r="S814" i="1" s="1"/>
  <c r="K815" i="1"/>
  <c r="S815" i="1" s="1"/>
  <c r="K816" i="1"/>
  <c r="S816" i="1" s="1"/>
  <c r="K817" i="1"/>
  <c r="S817" i="1" s="1"/>
  <c r="K818" i="1"/>
  <c r="S818" i="1" s="1"/>
  <c r="K819" i="1"/>
  <c r="S819" i="1" s="1"/>
  <c r="K820" i="1"/>
  <c r="S820" i="1" s="1"/>
  <c r="K821" i="1"/>
  <c r="S821" i="1" s="1"/>
  <c r="K822" i="1"/>
  <c r="S822" i="1" s="1"/>
  <c r="K823" i="1"/>
  <c r="S823" i="1" s="1"/>
  <c r="K824" i="1"/>
  <c r="S824" i="1" s="1"/>
  <c r="K825" i="1"/>
  <c r="S825" i="1" s="1"/>
  <c r="K826" i="1"/>
  <c r="S826" i="1" s="1"/>
  <c r="K827" i="1"/>
  <c r="S827" i="1" s="1"/>
  <c r="K828" i="1"/>
  <c r="S828" i="1" s="1"/>
  <c r="K829" i="1"/>
  <c r="S829" i="1" s="1"/>
  <c r="K830" i="1"/>
  <c r="S830" i="1" s="1"/>
  <c r="K831" i="1"/>
  <c r="S831" i="1" s="1"/>
  <c r="K832" i="1"/>
  <c r="S832" i="1" s="1"/>
  <c r="K833" i="1"/>
  <c r="S833" i="1" s="1"/>
  <c r="K834" i="1"/>
  <c r="S834" i="1" s="1"/>
  <c r="K835" i="1"/>
  <c r="S835" i="1" s="1"/>
  <c r="K836" i="1"/>
  <c r="S836" i="1" s="1"/>
  <c r="K837" i="1"/>
  <c r="S837" i="1" s="1"/>
  <c r="K838" i="1"/>
  <c r="S838" i="1" s="1"/>
  <c r="K839" i="1"/>
  <c r="S839" i="1" s="1"/>
  <c r="K840" i="1"/>
  <c r="S840" i="1" s="1"/>
  <c r="K841" i="1"/>
  <c r="S841" i="1" s="1"/>
  <c r="K842" i="1"/>
  <c r="S842" i="1" s="1"/>
  <c r="K843" i="1"/>
  <c r="S843" i="1" s="1"/>
  <c r="K844" i="1"/>
  <c r="S844" i="1" s="1"/>
  <c r="K845" i="1"/>
  <c r="S845" i="1" s="1"/>
  <c r="K846" i="1"/>
  <c r="S846" i="1" s="1"/>
  <c r="K847" i="1"/>
  <c r="S847" i="1" s="1"/>
  <c r="K848" i="1"/>
  <c r="S848" i="1" s="1"/>
  <c r="K849" i="1"/>
  <c r="S849" i="1" s="1"/>
  <c r="K850" i="1"/>
  <c r="S850" i="1" s="1"/>
  <c r="K851" i="1"/>
  <c r="S851" i="1" s="1"/>
  <c r="K852" i="1"/>
  <c r="S852" i="1" s="1"/>
  <c r="K853" i="1"/>
  <c r="S853" i="1" s="1"/>
  <c r="K854" i="1"/>
  <c r="S854" i="1" s="1"/>
  <c r="K855" i="1"/>
  <c r="S855" i="1" s="1"/>
  <c r="K856" i="1"/>
  <c r="S856" i="1" s="1"/>
  <c r="K857" i="1"/>
  <c r="S857" i="1" s="1"/>
  <c r="K858" i="1"/>
  <c r="S858" i="1" s="1"/>
  <c r="K859" i="1"/>
  <c r="S859" i="1" s="1"/>
  <c r="K860" i="1"/>
  <c r="S860" i="1" s="1"/>
  <c r="K861" i="1"/>
  <c r="S861" i="1" s="1"/>
  <c r="K862" i="1"/>
  <c r="S862" i="1" s="1"/>
  <c r="K863" i="1"/>
  <c r="S863" i="1" s="1"/>
  <c r="K864" i="1"/>
  <c r="S864" i="1" s="1"/>
  <c r="K865" i="1"/>
  <c r="S865" i="1" s="1"/>
  <c r="K866" i="1"/>
  <c r="S866" i="1" s="1"/>
  <c r="K867" i="1"/>
  <c r="S867" i="1" s="1"/>
  <c r="K868" i="1"/>
  <c r="S868" i="1" s="1"/>
  <c r="K869" i="1"/>
  <c r="S869" i="1" s="1"/>
  <c r="K870" i="1"/>
  <c r="S870" i="1" s="1"/>
  <c r="K871" i="1"/>
  <c r="S871" i="1" s="1"/>
  <c r="K872" i="1"/>
  <c r="S872" i="1" s="1"/>
  <c r="K873" i="1"/>
  <c r="S873" i="1" s="1"/>
  <c r="K874" i="1"/>
  <c r="S874" i="1" s="1"/>
  <c r="K875" i="1"/>
  <c r="S875" i="1" s="1"/>
  <c r="K876" i="1"/>
  <c r="S876" i="1" s="1"/>
  <c r="K877" i="1"/>
  <c r="S877" i="1" s="1"/>
  <c r="K878" i="1"/>
  <c r="S878" i="1" s="1"/>
  <c r="K879" i="1"/>
  <c r="S879" i="1" s="1"/>
  <c r="K880" i="1"/>
  <c r="S880" i="1" s="1"/>
  <c r="K881" i="1"/>
  <c r="S881" i="1" s="1"/>
  <c r="K882" i="1"/>
  <c r="S882" i="1" s="1"/>
  <c r="K883" i="1"/>
  <c r="S883" i="1" s="1"/>
  <c r="K884" i="1"/>
  <c r="S884" i="1" s="1"/>
  <c r="K885" i="1"/>
  <c r="S885" i="1" s="1"/>
  <c r="K886" i="1"/>
  <c r="S886" i="1" s="1"/>
  <c r="K887" i="1"/>
  <c r="S887" i="1" s="1"/>
  <c r="K888" i="1"/>
  <c r="S888" i="1" s="1"/>
  <c r="K889" i="1"/>
  <c r="S889" i="1" s="1"/>
  <c r="K890" i="1"/>
  <c r="S890" i="1" s="1"/>
  <c r="K891" i="1"/>
  <c r="S891" i="1" s="1"/>
  <c r="K892" i="1"/>
  <c r="S892" i="1" s="1"/>
  <c r="K893" i="1"/>
  <c r="S893" i="1" s="1"/>
  <c r="K894" i="1"/>
  <c r="S894" i="1" s="1"/>
  <c r="K895" i="1"/>
  <c r="S895" i="1" s="1"/>
  <c r="K896" i="1"/>
  <c r="S896" i="1" s="1"/>
  <c r="K897" i="1"/>
  <c r="S897" i="1" s="1"/>
  <c r="K898" i="1"/>
  <c r="S898" i="1" s="1"/>
  <c r="K899" i="1"/>
  <c r="S899" i="1" s="1"/>
  <c r="K900" i="1"/>
  <c r="S900" i="1" s="1"/>
  <c r="K901" i="1"/>
  <c r="S901" i="1" s="1"/>
  <c r="K902" i="1"/>
  <c r="S902" i="1" s="1"/>
  <c r="K903" i="1"/>
  <c r="S903" i="1" s="1"/>
  <c r="K904" i="1"/>
  <c r="S904" i="1" s="1"/>
  <c r="K905" i="1"/>
  <c r="S905" i="1" s="1"/>
  <c r="K906" i="1"/>
  <c r="S906" i="1" s="1"/>
  <c r="K907" i="1"/>
  <c r="S907" i="1" s="1"/>
  <c r="K908" i="1"/>
  <c r="S908" i="1" s="1"/>
  <c r="K909" i="1"/>
  <c r="S909" i="1" s="1"/>
  <c r="K910" i="1"/>
  <c r="S910" i="1" s="1"/>
  <c r="K911" i="1"/>
  <c r="S911" i="1" s="1"/>
  <c r="K912" i="1"/>
  <c r="S912" i="1" s="1"/>
  <c r="K913" i="1"/>
  <c r="S913" i="1" s="1"/>
  <c r="K914" i="1"/>
  <c r="S914" i="1" s="1"/>
  <c r="K915" i="1"/>
  <c r="S915" i="1" s="1"/>
  <c r="K916" i="1"/>
  <c r="S916" i="1" s="1"/>
  <c r="K917" i="1"/>
  <c r="S917" i="1" s="1"/>
  <c r="K918" i="1"/>
  <c r="S918" i="1" s="1"/>
  <c r="K919" i="1"/>
  <c r="S919" i="1" s="1"/>
  <c r="K920" i="1"/>
  <c r="S920" i="1" s="1"/>
  <c r="K921" i="1"/>
  <c r="S921" i="1" s="1"/>
  <c r="K922" i="1"/>
  <c r="S922" i="1" s="1"/>
  <c r="K923" i="1"/>
  <c r="S923" i="1" s="1"/>
  <c r="K924" i="1"/>
  <c r="S924" i="1" s="1"/>
  <c r="K925" i="1"/>
  <c r="S925" i="1" s="1"/>
  <c r="K926" i="1"/>
  <c r="S926" i="1" s="1"/>
  <c r="K927" i="1"/>
  <c r="S927" i="1" s="1"/>
  <c r="K928" i="1"/>
  <c r="S928" i="1" s="1"/>
  <c r="K929" i="1"/>
  <c r="S929" i="1" s="1"/>
  <c r="K930" i="1"/>
  <c r="S930" i="1" s="1"/>
  <c r="K931" i="1"/>
  <c r="S931" i="1" s="1"/>
  <c r="K932" i="1"/>
  <c r="S932" i="1" s="1"/>
  <c r="K933" i="1"/>
  <c r="S933" i="1" s="1"/>
  <c r="K934" i="1"/>
  <c r="S934" i="1" s="1"/>
  <c r="K935" i="1"/>
  <c r="S935" i="1" s="1"/>
  <c r="K936" i="1"/>
  <c r="S936" i="1" s="1"/>
  <c r="K937" i="1"/>
  <c r="S937" i="1" s="1"/>
  <c r="K938" i="1"/>
  <c r="S938" i="1" s="1"/>
  <c r="K939" i="1"/>
  <c r="S939" i="1" s="1"/>
  <c r="K940" i="1"/>
  <c r="S940" i="1" s="1"/>
  <c r="K941" i="1"/>
  <c r="S941" i="1" s="1"/>
  <c r="K942" i="1"/>
  <c r="S942" i="1" s="1"/>
  <c r="K943" i="1"/>
  <c r="S943" i="1" s="1"/>
  <c r="K944" i="1"/>
  <c r="S944" i="1" s="1"/>
  <c r="K945" i="1"/>
  <c r="S945" i="1" s="1"/>
  <c r="K946" i="1"/>
  <c r="S946" i="1" s="1"/>
  <c r="K947" i="1"/>
  <c r="S947" i="1" s="1"/>
  <c r="K948" i="1"/>
  <c r="S948" i="1" s="1"/>
  <c r="K949" i="1"/>
  <c r="S949" i="1" s="1"/>
  <c r="K950" i="1"/>
  <c r="S950" i="1" s="1"/>
  <c r="K951" i="1"/>
  <c r="S951" i="1" s="1"/>
  <c r="K952" i="1"/>
  <c r="S952" i="1" s="1"/>
  <c r="K953" i="1"/>
  <c r="S953" i="1" s="1"/>
  <c r="K954" i="1"/>
  <c r="S954" i="1" s="1"/>
  <c r="K955" i="1"/>
  <c r="S955" i="1" s="1"/>
  <c r="K956" i="1"/>
  <c r="S956" i="1" s="1"/>
  <c r="K957" i="1"/>
  <c r="S957" i="1" s="1"/>
  <c r="K958" i="1"/>
  <c r="S958" i="1" s="1"/>
  <c r="K959" i="1"/>
  <c r="S959" i="1" s="1"/>
  <c r="K960" i="1"/>
  <c r="S960" i="1" s="1"/>
  <c r="K961" i="1"/>
  <c r="S961" i="1" s="1"/>
  <c r="K962" i="1"/>
  <c r="S962" i="1" s="1"/>
  <c r="K963" i="1"/>
  <c r="S963" i="1" s="1"/>
  <c r="K964" i="1"/>
  <c r="S964" i="1" s="1"/>
  <c r="K965" i="1"/>
  <c r="S965" i="1" s="1"/>
  <c r="K966" i="1"/>
  <c r="S966" i="1" s="1"/>
  <c r="K967" i="1"/>
  <c r="S967" i="1" s="1"/>
  <c r="K968" i="1"/>
  <c r="S968" i="1" s="1"/>
  <c r="K969" i="1"/>
  <c r="S969" i="1" s="1"/>
  <c r="K970" i="1"/>
  <c r="S970" i="1" s="1"/>
  <c r="K971" i="1"/>
  <c r="S971" i="1" s="1"/>
  <c r="K972" i="1"/>
  <c r="S972" i="1" s="1"/>
  <c r="K973" i="1"/>
  <c r="S973" i="1" s="1"/>
  <c r="K974" i="1"/>
  <c r="S974" i="1" s="1"/>
  <c r="K975" i="1"/>
  <c r="S975" i="1" s="1"/>
  <c r="K976" i="1"/>
  <c r="S976" i="1" s="1"/>
  <c r="K977" i="1"/>
  <c r="S977" i="1" s="1"/>
  <c r="K978" i="1"/>
  <c r="S978" i="1" s="1"/>
  <c r="K979" i="1"/>
  <c r="S979" i="1" s="1"/>
  <c r="K980" i="1"/>
  <c r="S980" i="1" s="1"/>
  <c r="K981" i="1"/>
  <c r="S981" i="1" s="1"/>
  <c r="K982" i="1"/>
  <c r="S982" i="1" s="1"/>
  <c r="K983" i="1"/>
  <c r="S983" i="1" s="1"/>
  <c r="K984" i="1"/>
  <c r="S984" i="1" s="1"/>
  <c r="K985" i="1"/>
  <c r="S985" i="1" s="1"/>
  <c r="K986" i="1"/>
  <c r="S986" i="1" s="1"/>
  <c r="K987" i="1"/>
  <c r="S987" i="1" s="1"/>
  <c r="K988" i="1"/>
  <c r="S988" i="1" s="1"/>
  <c r="K989" i="1"/>
  <c r="S989" i="1" s="1"/>
  <c r="K990" i="1"/>
  <c r="S990" i="1" s="1"/>
  <c r="K991" i="1"/>
  <c r="S991" i="1" s="1"/>
  <c r="K992" i="1"/>
  <c r="S992" i="1" s="1"/>
  <c r="K993" i="1"/>
  <c r="S993" i="1" s="1"/>
  <c r="K994" i="1"/>
  <c r="S994" i="1" s="1"/>
  <c r="K995" i="1"/>
  <c r="S995" i="1" s="1"/>
  <c r="K996" i="1"/>
  <c r="S996" i="1" s="1"/>
  <c r="K997" i="1"/>
  <c r="S997" i="1" s="1"/>
  <c r="K998" i="1"/>
  <c r="S998" i="1" s="1"/>
  <c r="K999" i="1"/>
  <c r="S999" i="1" s="1"/>
  <c r="K1000" i="1"/>
  <c r="S1000" i="1" s="1"/>
  <c r="K1001" i="1"/>
  <c r="S1001" i="1" s="1"/>
  <c r="K1002" i="1"/>
  <c r="S1002" i="1" s="1"/>
  <c r="K1003" i="1"/>
  <c r="S1003" i="1" s="1"/>
  <c r="K1004" i="1"/>
  <c r="S1004" i="1" s="1"/>
  <c r="K1005" i="1"/>
  <c r="S1005" i="1" s="1"/>
  <c r="K1006" i="1"/>
  <c r="S1006" i="1" s="1"/>
  <c r="K1007" i="1"/>
  <c r="S1007" i="1" s="1"/>
  <c r="K1008" i="1"/>
  <c r="S1008" i="1" s="1"/>
  <c r="K1009" i="1"/>
  <c r="S1009" i="1" s="1"/>
  <c r="K1010" i="1"/>
  <c r="S1010" i="1" s="1"/>
  <c r="K1011" i="1"/>
  <c r="S1011" i="1" s="1"/>
  <c r="K1012" i="1"/>
  <c r="S1012" i="1" s="1"/>
  <c r="K1013" i="1"/>
  <c r="S1013" i="1" s="1"/>
  <c r="K1014" i="1"/>
  <c r="S1014" i="1" s="1"/>
  <c r="K1015" i="1"/>
  <c r="S1015" i="1" s="1"/>
  <c r="K1016" i="1"/>
  <c r="S1016" i="1" s="1"/>
  <c r="K1017" i="1"/>
  <c r="S1017" i="1" s="1"/>
  <c r="K1018" i="1"/>
  <c r="S1018" i="1" s="1"/>
  <c r="K1019" i="1"/>
  <c r="S1019" i="1" s="1"/>
  <c r="K1020" i="1"/>
  <c r="S1020" i="1" s="1"/>
  <c r="K1021" i="1"/>
  <c r="S1021" i="1" s="1"/>
  <c r="K1022" i="1"/>
  <c r="S1022" i="1" s="1"/>
  <c r="K1023" i="1"/>
  <c r="S1023" i="1" s="1"/>
  <c r="K1024" i="1"/>
  <c r="S1024" i="1" s="1"/>
  <c r="K1025" i="1"/>
  <c r="S1025" i="1" s="1"/>
  <c r="K1026" i="1"/>
  <c r="S1026" i="1" s="1"/>
  <c r="K1027" i="1"/>
  <c r="S1027" i="1" s="1"/>
  <c r="K1028" i="1"/>
  <c r="S1028" i="1" s="1"/>
  <c r="K1029" i="1"/>
  <c r="S1029" i="1" s="1"/>
  <c r="K1030" i="1"/>
  <c r="S1030" i="1" s="1"/>
  <c r="K1031" i="1"/>
  <c r="S1031" i="1" s="1"/>
  <c r="K1032" i="1"/>
  <c r="S1032" i="1" s="1"/>
  <c r="K1033" i="1"/>
  <c r="S1033" i="1" s="1"/>
  <c r="K1034" i="1"/>
  <c r="S1034" i="1" s="1"/>
  <c r="K1035" i="1"/>
  <c r="S1035" i="1" s="1"/>
  <c r="K1036" i="1"/>
  <c r="S1036" i="1" s="1"/>
  <c r="K1037" i="1"/>
  <c r="S1037" i="1" s="1"/>
  <c r="K1038" i="1"/>
  <c r="S1038" i="1" s="1"/>
  <c r="K1039" i="1"/>
  <c r="S1039" i="1" s="1"/>
  <c r="K1040" i="1"/>
  <c r="S1040" i="1" s="1"/>
  <c r="K1041" i="1"/>
  <c r="S1041" i="1" s="1"/>
  <c r="K1042" i="1"/>
  <c r="S1042" i="1" s="1"/>
  <c r="K1043" i="1"/>
  <c r="S1043" i="1" s="1"/>
  <c r="K1044" i="1"/>
  <c r="S1044" i="1" s="1"/>
  <c r="K1045" i="1"/>
  <c r="S1045" i="1" s="1"/>
  <c r="K1046" i="1"/>
  <c r="S1046" i="1" s="1"/>
  <c r="K1047" i="1"/>
  <c r="S1047" i="1" s="1"/>
  <c r="K1048" i="1"/>
  <c r="S1048" i="1" s="1"/>
  <c r="K1049" i="1"/>
  <c r="S1049" i="1" s="1"/>
  <c r="K1050" i="1"/>
  <c r="S1050" i="1" s="1"/>
  <c r="K1051" i="1"/>
  <c r="S1051" i="1" s="1"/>
  <c r="K1052" i="1"/>
  <c r="S1052" i="1" s="1"/>
  <c r="K1053" i="1"/>
  <c r="S1053" i="1" s="1"/>
  <c r="K1054" i="1"/>
  <c r="S1054" i="1" s="1"/>
  <c r="K1055" i="1"/>
  <c r="S1055" i="1" s="1"/>
  <c r="K1056" i="1"/>
  <c r="S1056" i="1" s="1"/>
  <c r="K1057" i="1"/>
  <c r="S1057" i="1" s="1"/>
  <c r="K1058" i="1"/>
  <c r="S1058" i="1" s="1"/>
  <c r="K1059" i="1"/>
  <c r="S1059" i="1" s="1"/>
  <c r="K1060" i="1"/>
  <c r="S1060" i="1" s="1"/>
  <c r="K1061" i="1"/>
  <c r="S1061" i="1" s="1"/>
  <c r="K1062" i="1"/>
  <c r="S1062" i="1" s="1"/>
  <c r="K1063" i="1"/>
  <c r="S1063" i="1" s="1"/>
  <c r="K1064" i="1"/>
  <c r="S1064" i="1" s="1"/>
  <c r="K1065" i="1"/>
  <c r="S1065" i="1" s="1"/>
  <c r="K1066" i="1"/>
  <c r="S1066" i="1" s="1"/>
  <c r="K1067" i="1"/>
  <c r="S1067" i="1" s="1"/>
  <c r="K1068" i="1"/>
  <c r="S1068" i="1" s="1"/>
  <c r="K1069" i="1"/>
  <c r="S1069" i="1" s="1"/>
  <c r="K1070" i="1"/>
  <c r="S1070" i="1" s="1"/>
  <c r="K1071" i="1"/>
  <c r="S1071" i="1" s="1"/>
  <c r="K1072" i="1"/>
  <c r="S1072" i="1" s="1"/>
  <c r="K1073" i="1"/>
  <c r="S1073" i="1" s="1"/>
  <c r="K1074" i="1"/>
  <c r="S1074" i="1" s="1"/>
  <c r="K1075" i="1"/>
  <c r="S1075" i="1" s="1"/>
  <c r="K1076" i="1"/>
  <c r="S1076" i="1" s="1"/>
  <c r="K1077" i="1"/>
  <c r="S1077" i="1" s="1"/>
  <c r="K1078" i="1"/>
  <c r="S1078" i="1" s="1"/>
  <c r="K1079" i="1"/>
  <c r="S1079" i="1" s="1"/>
  <c r="K1080" i="1"/>
  <c r="S1080" i="1" s="1"/>
  <c r="K1081" i="1"/>
  <c r="S1081" i="1" s="1"/>
  <c r="K1082" i="1"/>
  <c r="S1082" i="1" s="1"/>
  <c r="K1083" i="1"/>
  <c r="S1083" i="1" s="1"/>
  <c r="K1084" i="1"/>
  <c r="S1084" i="1" s="1"/>
  <c r="K1085" i="1"/>
  <c r="S1085" i="1" s="1"/>
  <c r="K1086" i="1"/>
  <c r="S1086" i="1" s="1"/>
  <c r="K1087" i="1"/>
  <c r="S1087" i="1" s="1"/>
  <c r="K1088" i="1"/>
  <c r="S1088" i="1" s="1"/>
  <c r="K1089" i="1"/>
  <c r="S1089" i="1" s="1"/>
  <c r="K1090" i="1"/>
  <c r="S1090" i="1" s="1"/>
  <c r="K1091" i="1"/>
  <c r="S1091" i="1" s="1"/>
  <c r="K1092" i="1"/>
  <c r="S1092" i="1" s="1"/>
  <c r="K1093" i="1"/>
  <c r="S1093" i="1" s="1"/>
  <c r="K1094" i="1"/>
  <c r="S1094" i="1" s="1"/>
  <c r="K1095" i="1"/>
  <c r="S1095" i="1" s="1"/>
  <c r="K1096" i="1"/>
  <c r="S1096" i="1" s="1"/>
  <c r="K1097" i="1"/>
  <c r="S1097" i="1" s="1"/>
  <c r="K1098" i="1"/>
  <c r="S1098" i="1" s="1"/>
  <c r="K1099" i="1"/>
  <c r="S1099" i="1" s="1"/>
  <c r="K1100" i="1"/>
  <c r="S1100" i="1" s="1"/>
  <c r="K1101" i="1"/>
  <c r="S1101" i="1" s="1"/>
  <c r="K1102" i="1"/>
  <c r="S1102" i="1" s="1"/>
  <c r="K1103" i="1"/>
  <c r="S1103" i="1" s="1"/>
  <c r="K1104" i="1"/>
  <c r="S1104" i="1" s="1"/>
  <c r="K1105" i="1"/>
  <c r="S1105" i="1" s="1"/>
  <c r="K1106" i="1"/>
  <c r="S1106" i="1" s="1"/>
  <c r="K1107" i="1"/>
  <c r="S1107" i="1" s="1"/>
  <c r="K1108" i="1"/>
  <c r="S1108" i="1" s="1"/>
  <c r="K1109" i="1"/>
  <c r="S1109" i="1" s="1"/>
  <c r="K1110" i="1"/>
  <c r="S1110" i="1" s="1"/>
  <c r="K1111" i="1"/>
  <c r="S1111" i="1" s="1"/>
  <c r="K1112" i="1"/>
  <c r="S1112" i="1" s="1"/>
  <c r="K1113" i="1"/>
  <c r="S1113" i="1" s="1"/>
  <c r="K1114" i="1"/>
  <c r="S1114" i="1" s="1"/>
  <c r="K1115" i="1"/>
  <c r="S1115" i="1" s="1"/>
  <c r="K1116" i="1"/>
  <c r="S1116" i="1" s="1"/>
  <c r="K1117" i="1"/>
  <c r="S1117" i="1" s="1"/>
  <c r="K1118" i="1"/>
  <c r="S1118" i="1" s="1"/>
  <c r="K1119" i="1"/>
  <c r="S1119" i="1" s="1"/>
  <c r="K1120" i="1"/>
  <c r="S1120" i="1" s="1"/>
  <c r="K1121" i="1"/>
  <c r="S1121" i="1" s="1"/>
  <c r="K1122" i="1"/>
  <c r="S1122" i="1" s="1"/>
  <c r="K1123" i="1"/>
  <c r="S1123" i="1" s="1"/>
  <c r="K1124" i="1"/>
  <c r="S1124" i="1" s="1"/>
  <c r="K1125" i="1"/>
  <c r="S1125" i="1" s="1"/>
  <c r="K1126" i="1"/>
  <c r="S1126" i="1" s="1"/>
  <c r="K1127" i="1"/>
  <c r="S1127" i="1" s="1"/>
  <c r="K1128" i="1"/>
  <c r="S1128" i="1" s="1"/>
  <c r="K1129" i="1"/>
  <c r="S1129" i="1" s="1"/>
  <c r="K1130" i="1"/>
  <c r="S1130" i="1" s="1"/>
  <c r="K1131" i="1"/>
  <c r="S1131" i="1" s="1"/>
  <c r="K1132" i="1"/>
  <c r="S1132" i="1" s="1"/>
  <c r="K1133" i="1"/>
  <c r="S1133" i="1" s="1"/>
  <c r="K1134" i="1"/>
  <c r="S1134" i="1" s="1"/>
  <c r="K1135" i="1"/>
  <c r="S1135" i="1" s="1"/>
  <c r="K1136" i="1"/>
  <c r="S1136" i="1" s="1"/>
  <c r="K1137" i="1"/>
  <c r="S1137" i="1" s="1"/>
  <c r="K1138" i="1"/>
  <c r="S1138" i="1" s="1"/>
  <c r="K1139" i="1"/>
  <c r="S1139" i="1" s="1"/>
  <c r="K1140" i="1"/>
  <c r="S1140" i="1" s="1"/>
  <c r="K1141" i="1"/>
  <c r="S1141" i="1" s="1"/>
  <c r="K1142" i="1"/>
  <c r="S1142" i="1" s="1"/>
  <c r="K1143" i="1"/>
  <c r="S1143" i="1" s="1"/>
  <c r="K1144" i="1"/>
  <c r="S1144" i="1" s="1"/>
  <c r="K1145" i="1"/>
  <c r="S1145" i="1" s="1"/>
  <c r="K1146" i="1"/>
  <c r="S1146" i="1" s="1"/>
  <c r="K1147" i="1"/>
  <c r="S1147" i="1" s="1"/>
  <c r="K1148" i="1"/>
  <c r="S1148" i="1" s="1"/>
  <c r="K1149" i="1"/>
  <c r="S1149" i="1" s="1"/>
  <c r="K1150" i="1"/>
  <c r="S1150" i="1" s="1"/>
  <c r="K1151" i="1"/>
  <c r="S1151" i="1" s="1"/>
  <c r="K1152" i="1"/>
  <c r="S1152" i="1" s="1"/>
  <c r="K1153" i="1"/>
  <c r="S1153" i="1" s="1"/>
  <c r="K1154" i="1"/>
  <c r="S1154" i="1" s="1"/>
  <c r="K1155" i="1"/>
  <c r="S1155" i="1" s="1"/>
  <c r="K1156" i="1"/>
  <c r="S1156" i="1" s="1"/>
  <c r="K1157" i="1"/>
  <c r="S1157" i="1" s="1"/>
  <c r="K1158" i="1"/>
  <c r="S1158" i="1" s="1"/>
  <c r="K1159" i="1"/>
  <c r="S1159" i="1" s="1"/>
  <c r="K1160" i="1"/>
  <c r="S1160" i="1" s="1"/>
  <c r="K1161" i="1"/>
  <c r="S1161" i="1" s="1"/>
  <c r="K1162" i="1"/>
  <c r="S1162" i="1" s="1"/>
  <c r="K1163" i="1"/>
  <c r="S1163" i="1" s="1"/>
  <c r="K1164" i="1"/>
  <c r="S1164" i="1" s="1"/>
  <c r="K1165" i="1"/>
  <c r="S1165" i="1" s="1"/>
  <c r="K1166" i="1"/>
  <c r="S1166" i="1" s="1"/>
  <c r="K1167" i="1"/>
  <c r="S1167" i="1" s="1"/>
  <c r="K1168" i="1"/>
  <c r="S1168" i="1" s="1"/>
  <c r="K1169" i="1"/>
  <c r="S1169" i="1" s="1"/>
  <c r="K1170" i="1"/>
  <c r="S1170" i="1" s="1"/>
  <c r="K1171" i="1"/>
  <c r="S1171" i="1" s="1"/>
  <c r="K1172" i="1"/>
  <c r="S1172" i="1" s="1"/>
  <c r="K1173" i="1"/>
  <c r="S1173" i="1" s="1"/>
  <c r="K1174" i="1"/>
  <c r="S1174" i="1" s="1"/>
  <c r="K1175" i="1"/>
  <c r="S1175" i="1" s="1"/>
  <c r="K1176" i="1"/>
  <c r="S1176" i="1" s="1"/>
  <c r="K1177" i="1"/>
  <c r="S1177" i="1" s="1"/>
  <c r="K1178" i="1"/>
  <c r="S1178" i="1" s="1"/>
  <c r="K1179" i="1"/>
  <c r="S1179" i="1" s="1"/>
  <c r="K1180" i="1"/>
  <c r="S1180" i="1" s="1"/>
  <c r="K1181" i="1"/>
  <c r="S1181" i="1" s="1"/>
  <c r="K1182" i="1"/>
  <c r="S1182" i="1" s="1"/>
  <c r="K1183" i="1"/>
  <c r="S1183" i="1" s="1"/>
  <c r="K1184" i="1"/>
  <c r="S1184" i="1" s="1"/>
  <c r="K1185" i="1"/>
  <c r="S1185" i="1" s="1"/>
  <c r="K1186" i="1"/>
  <c r="S1186" i="1" s="1"/>
  <c r="K1187" i="1"/>
  <c r="S1187" i="1" s="1"/>
  <c r="K1188" i="1"/>
  <c r="S1188" i="1" s="1"/>
  <c r="K1189" i="1"/>
  <c r="S1189" i="1" s="1"/>
  <c r="K1190" i="1"/>
  <c r="S1190" i="1" s="1"/>
  <c r="K1191" i="1"/>
  <c r="S1191" i="1" s="1"/>
  <c r="K1192" i="1"/>
  <c r="S1192" i="1" s="1"/>
  <c r="K1193" i="1"/>
  <c r="S1193" i="1" s="1"/>
  <c r="K1194" i="1"/>
  <c r="S1194" i="1" s="1"/>
  <c r="K1195" i="1"/>
  <c r="S1195" i="1" s="1"/>
  <c r="K1196" i="1"/>
  <c r="S1196" i="1" s="1"/>
  <c r="K1197" i="1"/>
  <c r="S1197" i="1" s="1"/>
  <c r="K1198" i="1"/>
  <c r="S1198" i="1" s="1"/>
  <c r="K1199" i="1"/>
  <c r="S1199" i="1" s="1"/>
  <c r="K1200" i="1"/>
  <c r="S1200" i="1" s="1"/>
  <c r="K1201" i="1"/>
  <c r="S1201" i="1" s="1"/>
  <c r="K1202" i="1"/>
  <c r="S1202" i="1" s="1"/>
  <c r="K1203" i="1"/>
  <c r="S1203" i="1" s="1"/>
  <c r="K1204" i="1"/>
  <c r="S1204" i="1" s="1"/>
  <c r="K1205" i="1"/>
  <c r="S1205" i="1" s="1"/>
  <c r="K1206" i="1"/>
  <c r="S1206" i="1" s="1"/>
  <c r="K1207" i="1"/>
  <c r="S1207" i="1" s="1"/>
  <c r="K1208" i="1"/>
  <c r="S1208" i="1" s="1"/>
  <c r="K1209" i="1"/>
  <c r="S1209" i="1" s="1"/>
  <c r="K1210" i="1"/>
  <c r="S1210" i="1" s="1"/>
  <c r="K1211" i="1"/>
  <c r="S1211" i="1" s="1"/>
  <c r="K1212" i="1"/>
  <c r="S1212" i="1" s="1"/>
  <c r="K1213" i="1"/>
  <c r="S1213" i="1" s="1"/>
  <c r="K1214" i="1"/>
  <c r="S1214" i="1" s="1"/>
  <c r="K1215" i="1"/>
  <c r="S1215" i="1" s="1"/>
  <c r="K1216" i="1"/>
  <c r="S1216" i="1" s="1"/>
  <c r="K1217" i="1"/>
  <c r="S1217" i="1" s="1"/>
  <c r="K1218" i="1"/>
  <c r="S1218" i="1" s="1"/>
  <c r="K1219" i="1"/>
  <c r="S1219" i="1" s="1"/>
  <c r="K1220" i="1"/>
  <c r="S1220" i="1" s="1"/>
  <c r="K1221" i="1"/>
  <c r="S1221" i="1" s="1"/>
  <c r="K1222" i="1"/>
  <c r="S1222" i="1" s="1"/>
  <c r="K1223" i="1"/>
  <c r="S1223" i="1" s="1"/>
  <c r="K1224" i="1"/>
  <c r="S1224" i="1" s="1"/>
  <c r="K1225" i="1"/>
  <c r="S1225" i="1" s="1"/>
  <c r="K1226" i="1"/>
  <c r="S1226" i="1" s="1"/>
  <c r="K1227" i="1"/>
  <c r="S1227" i="1" s="1"/>
  <c r="K1228" i="1"/>
  <c r="S1228" i="1" s="1"/>
  <c r="K1229" i="1"/>
  <c r="S1229" i="1" s="1"/>
  <c r="K1230" i="1"/>
  <c r="S1230" i="1" s="1"/>
  <c r="K1231" i="1"/>
  <c r="S1231" i="1" s="1"/>
  <c r="K1232" i="1"/>
  <c r="S1232" i="1" s="1"/>
  <c r="K1233" i="1"/>
  <c r="S1233" i="1" s="1"/>
  <c r="K1234" i="1"/>
  <c r="S1234" i="1" s="1"/>
  <c r="K1235" i="1"/>
  <c r="S1235" i="1" s="1"/>
  <c r="K1236" i="1"/>
  <c r="S1236" i="1" s="1"/>
  <c r="K1237" i="1"/>
  <c r="S1237" i="1" s="1"/>
  <c r="K1238" i="1"/>
  <c r="S1238" i="1" s="1"/>
  <c r="K1239" i="1"/>
  <c r="S1239" i="1" s="1"/>
  <c r="K1240" i="1"/>
  <c r="S1240" i="1" s="1"/>
  <c r="K1241" i="1"/>
  <c r="S1241" i="1" s="1"/>
  <c r="K1242" i="1"/>
  <c r="S1242" i="1" s="1"/>
  <c r="K1243" i="1"/>
  <c r="S1243" i="1" s="1"/>
  <c r="K1244" i="1"/>
  <c r="S1244" i="1" s="1"/>
  <c r="K1245" i="1"/>
  <c r="S1245" i="1" s="1"/>
  <c r="K1246" i="1"/>
  <c r="S1246" i="1" s="1"/>
  <c r="K1247" i="1"/>
  <c r="S1247" i="1" s="1"/>
  <c r="K1248" i="1"/>
  <c r="S1248" i="1" s="1"/>
  <c r="K1249" i="1"/>
  <c r="S1249" i="1" s="1"/>
  <c r="K1250" i="1"/>
  <c r="S1250" i="1" s="1"/>
  <c r="K1251" i="1"/>
  <c r="S1251" i="1" s="1"/>
  <c r="K1252" i="1"/>
  <c r="S1252" i="1" s="1"/>
  <c r="K1253" i="1"/>
  <c r="S1253" i="1" s="1"/>
  <c r="K1254" i="1"/>
  <c r="S1254" i="1" s="1"/>
  <c r="K1255" i="1"/>
  <c r="S1255" i="1" s="1"/>
  <c r="K1256" i="1"/>
  <c r="S1256" i="1" s="1"/>
  <c r="K1257" i="1"/>
  <c r="S1257" i="1" s="1"/>
  <c r="K1258" i="1"/>
  <c r="S1258" i="1" s="1"/>
  <c r="K1259" i="1"/>
  <c r="S1259" i="1" s="1"/>
  <c r="K1260" i="1"/>
  <c r="S1260" i="1" s="1"/>
  <c r="K1261" i="1"/>
  <c r="S1261" i="1" s="1"/>
  <c r="K1262" i="1"/>
  <c r="S1262" i="1" s="1"/>
  <c r="K1263" i="1"/>
  <c r="S1263" i="1" s="1"/>
  <c r="K1264" i="1"/>
  <c r="S1264" i="1" s="1"/>
  <c r="K1265" i="1"/>
  <c r="S1265" i="1" s="1"/>
  <c r="K1266" i="1"/>
  <c r="S1266" i="1" s="1"/>
  <c r="K1267" i="1"/>
  <c r="S1267" i="1" s="1"/>
  <c r="K1268" i="1"/>
  <c r="S1268" i="1" s="1"/>
  <c r="K1269" i="1"/>
  <c r="S1269" i="1" s="1"/>
  <c r="K1270" i="1"/>
  <c r="S1270" i="1" s="1"/>
  <c r="K1271" i="1"/>
  <c r="S1271" i="1" s="1"/>
  <c r="K1272" i="1"/>
  <c r="S1272" i="1" s="1"/>
  <c r="K1273" i="1"/>
  <c r="S1273" i="1" s="1"/>
  <c r="K1274" i="1"/>
  <c r="S1274" i="1" s="1"/>
  <c r="K1275" i="1"/>
  <c r="S1275" i="1" s="1"/>
  <c r="K1276" i="1"/>
  <c r="S1276" i="1" s="1"/>
  <c r="K1277" i="1"/>
  <c r="S1277" i="1" s="1"/>
  <c r="K1278" i="1"/>
  <c r="S1278" i="1" s="1"/>
  <c r="K1279" i="1"/>
  <c r="S1279" i="1" s="1"/>
  <c r="K1280" i="1"/>
  <c r="S1280" i="1" s="1"/>
  <c r="K1281" i="1"/>
  <c r="S1281" i="1" s="1"/>
  <c r="K1282" i="1"/>
  <c r="S1282" i="1" s="1"/>
  <c r="K1283" i="1"/>
  <c r="S1283" i="1" s="1"/>
  <c r="K1284" i="1"/>
  <c r="S1284" i="1" s="1"/>
  <c r="K1285" i="1"/>
  <c r="S1285" i="1" s="1"/>
  <c r="K1286" i="1"/>
  <c r="S1286" i="1" s="1"/>
  <c r="K1287" i="1"/>
  <c r="S1287" i="1" s="1"/>
  <c r="K1288" i="1"/>
  <c r="S1288" i="1" s="1"/>
  <c r="K1289" i="1"/>
  <c r="S1289" i="1" s="1"/>
  <c r="K1290" i="1"/>
  <c r="S1290" i="1" s="1"/>
  <c r="K1291" i="1"/>
  <c r="S1291" i="1" s="1"/>
  <c r="K1292" i="1"/>
  <c r="S1292" i="1" s="1"/>
  <c r="K1293" i="1"/>
  <c r="S1293" i="1" s="1"/>
  <c r="K1294" i="1"/>
  <c r="S1294" i="1" s="1"/>
  <c r="K1295" i="1"/>
  <c r="S1295" i="1" s="1"/>
  <c r="K1296" i="1"/>
  <c r="S1296" i="1" s="1"/>
  <c r="K1297" i="1"/>
  <c r="S1297" i="1" s="1"/>
  <c r="K1298" i="1"/>
  <c r="S1298" i="1" s="1"/>
  <c r="K1299" i="1"/>
  <c r="S1299" i="1" s="1"/>
  <c r="K1300" i="1"/>
  <c r="S1300" i="1" s="1"/>
  <c r="K1301" i="1"/>
  <c r="S1301" i="1" s="1"/>
  <c r="K1302" i="1"/>
  <c r="S1302" i="1" s="1"/>
  <c r="K1303" i="1"/>
  <c r="S1303" i="1" s="1"/>
  <c r="K1304" i="1"/>
  <c r="S1304" i="1" s="1"/>
  <c r="K1305" i="1"/>
  <c r="S1305" i="1" s="1"/>
  <c r="K1306" i="1"/>
  <c r="S1306" i="1" s="1"/>
  <c r="K1307" i="1"/>
  <c r="S1307" i="1" s="1"/>
  <c r="K1308" i="1"/>
  <c r="S1308" i="1" s="1"/>
  <c r="K1309" i="1"/>
  <c r="S1309" i="1" s="1"/>
  <c r="K1310" i="1"/>
  <c r="S1310" i="1" s="1"/>
  <c r="K1311" i="1"/>
  <c r="S1311" i="1" s="1"/>
  <c r="K1312" i="1"/>
  <c r="S1312" i="1" s="1"/>
  <c r="K1313" i="1"/>
  <c r="S1313" i="1" s="1"/>
  <c r="K1314" i="1"/>
  <c r="S1314" i="1" s="1"/>
  <c r="K1315" i="1"/>
  <c r="S1315" i="1" s="1"/>
  <c r="K1316" i="1"/>
  <c r="S1316" i="1" s="1"/>
  <c r="K1317" i="1"/>
  <c r="S1317" i="1" s="1"/>
  <c r="K1318" i="1"/>
  <c r="S1318" i="1" s="1"/>
  <c r="K1319" i="1"/>
  <c r="S1319" i="1" s="1"/>
  <c r="K1320" i="1"/>
  <c r="S1320" i="1" s="1"/>
  <c r="K1321" i="1"/>
  <c r="S1321" i="1" s="1"/>
  <c r="K1322" i="1"/>
  <c r="S1322" i="1" s="1"/>
  <c r="K1323" i="1"/>
  <c r="S1323" i="1" s="1"/>
  <c r="K1324" i="1"/>
  <c r="S1324" i="1" s="1"/>
  <c r="K1325" i="1"/>
  <c r="S1325" i="1" s="1"/>
  <c r="K1326" i="1"/>
  <c r="S1326" i="1" s="1"/>
  <c r="K1327" i="1"/>
  <c r="S1327" i="1" s="1"/>
  <c r="K1328" i="1"/>
  <c r="S1328" i="1" s="1"/>
  <c r="K1329" i="1"/>
  <c r="S1329" i="1" s="1"/>
  <c r="K1330" i="1"/>
  <c r="S1330" i="1" s="1"/>
  <c r="K1331" i="1"/>
  <c r="S1331" i="1" s="1"/>
  <c r="K1332" i="1"/>
  <c r="S1332" i="1" s="1"/>
  <c r="K1333" i="1"/>
  <c r="S1333" i="1" s="1"/>
  <c r="K1334" i="1"/>
  <c r="S1334" i="1" s="1"/>
  <c r="K1335" i="1"/>
  <c r="S1335" i="1" s="1"/>
  <c r="K1336" i="1"/>
  <c r="S1336" i="1" s="1"/>
  <c r="K1337" i="1"/>
  <c r="S1337" i="1" s="1"/>
  <c r="K1338" i="1"/>
  <c r="S1338" i="1" s="1"/>
  <c r="K1339" i="1"/>
  <c r="S1339" i="1" s="1"/>
  <c r="K1340" i="1"/>
  <c r="S1340" i="1" s="1"/>
  <c r="K1341" i="1"/>
  <c r="S1341" i="1" s="1"/>
  <c r="K1342" i="1"/>
  <c r="S1342" i="1" s="1"/>
  <c r="K1343" i="1"/>
  <c r="S1343" i="1" s="1"/>
  <c r="K1344" i="1"/>
  <c r="S1344" i="1" s="1"/>
  <c r="K1345" i="1"/>
  <c r="S1345" i="1" s="1"/>
  <c r="K1346" i="1"/>
  <c r="S1346" i="1" s="1"/>
  <c r="K1347" i="1"/>
  <c r="S1347" i="1" s="1"/>
  <c r="K1348" i="1"/>
  <c r="S1348" i="1" s="1"/>
  <c r="K1349" i="1"/>
  <c r="S1349" i="1" s="1"/>
  <c r="K1350" i="1"/>
  <c r="S1350" i="1" s="1"/>
  <c r="K1351" i="1"/>
  <c r="S1351" i="1" s="1"/>
  <c r="K1352" i="1"/>
  <c r="S1352" i="1" s="1"/>
  <c r="K1353" i="1"/>
  <c r="S1353" i="1" s="1"/>
  <c r="K1354" i="1"/>
  <c r="S1354" i="1" s="1"/>
  <c r="K1355" i="1"/>
  <c r="S1355" i="1" s="1"/>
  <c r="K1356" i="1"/>
  <c r="S1356" i="1" s="1"/>
  <c r="K1357" i="1"/>
  <c r="S1357" i="1" s="1"/>
  <c r="K1358" i="1"/>
  <c r="S1358" i="1" s="1"/>
  <c r="K1359" i="1"/>
  <c r="S1359" i="1" s="1"/>
  <c r="K1360" i="1"/>
  <c r="S1360" i="1" s="1"/>
  <c r="K1361" i="1"/>
  <c r="S1361" i="1" s="1"/>
  <c r="K1362" i="1"/>
  <c r="S1362" i="1" s="1"/>
  <c r="K1363" i="1"/>
  <c r="S1363" i="1" s="1"/>
  <c r="K1364" i="1"/>
  <c r="S1364" i="1" s="1"/>
  <c r="K1365" i="1"/>
  <c r="S1365" i="1" s="1"/>
  <c r="K1366" i="1"/>
  <c r="S1366" i="1" s="1"/>
  <c r="K1367" i="1"/>
  <c r="S1367" i="1" s="1"/>
  <c r="K1368" i="1"/>
  <c r="S1368" i="1" s="1"/>
  <c r="K1369" i="1"/>
  <c r="S1369" i="1" s="1"/>
  <c r="K1370" i="1"/>
  <c r="S1370" i="1" s="1"/>
  <c r="K1371" i="1"/>
  <c r="S1371" i="1" s="1"/>
  <c r="K1372" i="1"/>
  <c r="S1372" i="1" s="1"/>
  <c r="K1373" i="1"/>
  <c r="S1373" i="1" s="1"/>
  <c r="K1374" i="1"/>
  <c r="S1374" i="1" s="1"/>
  <c r="K1375" i="1"/>
  <c r="S1375" i="1" s="1"/>
  <c r="K1376" i="1"/>
  <c r="S1376" i="1" s="1"/>
  <c r="K1377" i="1"/>
  <c r="S1377" i="1" s="1"/>
  <c r="K1378" i="1"/>
  <c r="S1378" i="1" s="1"/>
  <c r="K1379" i="1"/>
  <c r="S1379" i="1" s="1"/>
  <c r="K1380" i="1"/>
  <c r="S1380" i="1" s="1"/>
  <c r="K1381" i="1"/>
  <c r="S1381" i="1" s="1"/>
  <c r="K1382" i="1"/>
  <c r="S1382" i="1" s="1"/>
  <c r="K1383" i="1"/>
  <c r="S1383" i="1" s="1"/>
  <c r="K1384" i="1"/>
  <c r="S1384" i="1" s="1"/>
  <c r="K1385" i="1"/>
  <c r="S1385" i="1" s="1"/>
  <c r="K1386" i="1"/>
  <c r="S1386" i="1" s="1"/>
  <c r="K1387" i="1"/>
  <c r="S1387" i="1" s="1"/>
  <c r="K1388" i="1"/>
  <c r="S1388" i="1" s="1"/>
  <c r="K1389" i="1"/>
  <c r="S1389" i="1" s="1"/>
  <c r="K1390" i="1"/>
  <c r="S1390" i="1" s="1"/>
  <c r="K1391" i="1"/>
  <c r="S1391" i="1" s="1"/>
  <c r="K1392" i="1"/>
  <c r="S1392" i="1" s="1"/>
  <c r="K1393" i="1"/>
  <c r="S1393" i="1" s="1"/>
  <c r="K1394" i="1"/>
  <c r="S1394" i="1" s="1"/>
  <c r="K1395" i="1"/>
  <c r="S1395" i="1" s="1"/>
  <c r="K1396" i="1"/>
  <c r="S1396" i="1" s="1"/>
  <c r="K1397" i="1"/>
  <c r="S1397" i="1" s="1"/>
  <c r="K1398" i="1"/>
  <c r="S1398" i="1" s="1"/>
  <c r="K1399" i="1"/>
  <c r="S1399" i="1" s="1"/>
  <c r="K1400" i="1"/>
  <c r="S1400" i="1" s="1"/>
  <c r="K1401" i="1"/>
  <c r="S1401" i="1" s="1"/>
  <c r="K1402" i="1"/>
  <c r="S1402" i="1" s="1"/>
  <c r="K1403" i="1"/>
  <c r="S1403" i="1" s="1"/>
  <c r="K1404" i="1"/>
  <c r="S1404" i="1" s="1"/>
  <c r="K1405" i="1"/>
  <c r="S1405" i="1" s="1"/>
  <c r="K1406" i="1"/>
  <c r="S1406" i="1" s="1"/>
  <c r="K1407" i="1"/>
  <c r="S1407" i="1" s="1"/>
  <c r="K1408" i="1"/>
  <c r="S1408" i="1" s="1"/>
  <c r="K1409" i="1"/>
  <c r="S1409" i="1" s="1"/>
  <c r="K1410" i="1"/>
  <c r="S1410" i="1" s="1"/>
  <c r="K1411" i="1"/>
  <c r="S1411" i="1" s="1"/>
  <c r="K1412" i="1"/>
  <c r="S1412" i="1" s="1"/>
  <c r="K1413" i="1"/>
  <c r="S1413" i="1" s="1"/>
  <c r="K1414" i="1"/>
  <c r="S1414" i="1" s="1"/>
  <c r="K1415" i="1"/>
  <c r="S1415" i="1" s="1"/>
  <c r="K1416" i="1"/>
  <c r="S1416" i="1" s="1"/>
  <c r="K1417" i="1"/>
  <c r="S1417" i="1" s="1"/>
  <c r="K1418" i="1"/>
  <c r="S1418" i="1" s="1"/>
  <c r="K1419" i="1"/>
  <c r="S1419" i="1" s="1"/>
  <c r="K1420" i="1"/>
  <c r="S1420" i="1" s="1"/>
  <c r="K1421" i="1"/>
  <c r="S1421" i="1" s="1"/>
  <c r="K1422" i="1"/>
  <c r="S1422" i="1" s="1"/>
  <c r="K1423" i="1"/>
  <c r="S1423" i="1" s="1"/>
  <c r="K1424" i="1"/>
  <c r="S1424" i="1" s="1"/>
  <c r="K1425" i="1"/>
  <c r="S1425" i="1" s="1"/>
  <c r="K1426" i="1"/>
  <c r="S1426" i="1" s="1"/>
  <c r="K1427" i="1"/>
  <c r="S1427" i="1" s="1"/>
  <c r="K1428" i="1"/>
  <c r="S1428" i="1" s="1"/>
  <c r="K1429" i="1"/>
  <c r="S1429" i="1" s="1"/>
  <c r="K1430" i="1"/>
  <c r="S1430" i="1" s="1"/>
  <c r="K1431" i="1"/>
  <c r="S1431" i="1" s="1"/>
  <c r="K1432" i="1"/>
  <c r="S1432" i="1" s="1"/>
  <c r="K1433" i="1"/>
  <c r="S1433" i="1" s="1"/>
  <c r="K1434" i="1"/>
  <c r="S1434" i="1" s="1"/>
  <c r="K1435" i="1"/>
  <c r="S1435" i="1" s="1"/>
  <c r="K1436" i="1"/>
  <c r="S1436" i="1" s="1"/>
  <c r="K1437" i="1"/>
  <c r="S1437" i="1" s="1"/>
  <c r="K1438" i="1"/>
  <c r="S1438" i="1" s="1"/>
  <c r="K1439" i="1"/>
  <c r="S1439" i="1" s="1"/>
  <c r="K1440" i="1"/>
  <c r="S1440" i="1" s="1"/>
  <c r="K1441" i="1"/>
  <c r="S1441" i="1" s="1"/>
  <c r="K1442" i="1"/>
  <c r="S1442" i="1" s="1"/>
  <c r="K1443" i="1"/>
  <c r="S1443" i="1" s="1"/>
  <c r="K1444" i="1"/>
  <c r="S1444" i="1" s="1"/>
  <c r="K1445" i="1"/>
  <c r="S1445" i="1" s="1"/>
  <c r="K1446" i="1"/>
  <c r="S1446" i="1" s="1"/>
  <c r="K1447" i="1"/>
  <c r="S1447" i="1" s="1"/>
  <c r="K1448" i="1"/>
  <c r="S1448" i="1" s="1"/>
  <c r="K1449" i="1"/>
  <c r="S1449" i="1" s="1"/>
  <c r="K1450" i="1"/>
  <c r="S1450" i="1" s="1"/>
  <c r="K1451" i="1"/>
  <c r="S1451" i="1" s="1"/>
  <c r="K1452" i="1"/>
  <c r="S1452" i="1" s="1"/>
  <c r="K1453" i="1"/>
  <c r="S1453" i="1" s="1"/>
  <c r="K1454" i="1"/>
  <c r="S1454" i="1" s="1"/>
  <c r="K1455" i="1"/>
  <c r="S1455" i="1" s="1"/>
  <c r="K1456" i="1"/>
  <c r="S1456" i="1" s="1"/>
  <c r="K1457" i="1"/>
  <c r="S1457" i="1" s="1"/>
  <c r="K1458" i="1"/>
  <c r="S1458" i="1" s="1"/>
  <c r="K1459" i="1"/>
  <c r="S1459" i="1" s="1"/>
  <c r="K1460" i="1"/>
  <c r="S1460" i="1" s="1"/>
  <c r="K1461" i="1"/>
  <c r="S1461" i="1" s="1"/>
  <c r="K1462" i="1"/>
  <c r="S1462" i="1" s="1"/>
  <c r="K1463" i="1"/>
  <c r="S1463" i="1" s="1"/>
  <c r="K1464" i="1"/>
  <c r="S1464" i="1" s="1"/>
  <c r="K1465" i="1"/>
  <c r="S1465" i="1" s="1"/>
  <c r="K1466" i="1"/>
  <c r="S1466" i="1" s="1"/>
  <c r="K1467" i="1"/>
  <c r="S1467" i="1" s="1"/>
  <c r="K1468" i="1"/>
  <c r="S1468" i="1" s="1"/>
  <c r="K1469" i="1"/>
  <c r="S1469" i="1" s="1"/>
  <c r="K1470" i="1"/>
  <c r="S1470" i="1" s="1"/>
  <c r="K1471" i="1"/>
  <c r="S1471" i="1" s="1"/>
  <c r="K1472" i="1"/>
  <c r="S1472" i="1" s="1"/>
  <c r="K1473" i="1"/>
  <c r="S1473" i="1" s="1"/>
  <c r="K1474" i="1"/>
  <c r="S1474" i="1" s="1"/>
  <c r="K1475" i="1"/>
  <c r="S1475" i="1" s="1"/>
  <c r="K1476" i="1"/>
  <c r="S1476" i="1" s="1"/>
  <c r="K1477" i="1"/>
  <c r="S1477" i="1" s="1"/>
  <c r="K1478" i="1"/>
  <c r="S1478" i="1" s="1"/>
  <c r="K1479" i="1"/>
  <c r="S1479" i="1" s="1"/>
  <c r="K1480" i="1"/>
  <c r="S1480" i="1" s="1"/>
  <c r="K1481" i="1"/>
  <c r="S1481" i="1" s="1"/>
  <c r="K1482" i="1"/>
  <c r="S1482" i="1" s="1"/>
  <c r="K1483" i="1"/>
  <c r="S1483" i="1" s="1"/>
  <c r="K1484" i="1"/>
  <c r="S1484" i="1" s="1"/>
  <c r="K1485" i="1"/>
  <c r="S1485" i="1" s="1"/>
  <c r="K1486" i="1"/>
  <c r="S1486" i="1" s="1"/>
  <c r="K1487" i="1"/>
  <c r="S1487" i="1" s="1"/>
  <c r="K1488" i="1"/>
  <c r="S1488" i="1" s="1"/>
  <c r="K1489" i="1"/>
  <c r="S1489" i="1" s="1"/>
  <c r="K1490" i="1"/>
  <c r="S1490" i="1" s="1"/>
  <c r="K1491" i="1"/>
  <c r="S1491" i="1" s="1"/>
  <c r="K1492" i="1"/>
  <c r="S1492" i="1" s="1"/>
  <c r="K1493" i="1"/>
  <c r="S1493" i="1" s="1"/>
  <c r="K1494" i="1"/>
  <c r="S1494" i="1" s="1"/>
  <c r="K1495" i="1"/>
  <c r="S1495" i="1" s="1"/>
  <c r="K1496" i="1"/>
  <c r="S1496" i="1" s="1"/>
  <c r="K1497" i="1"/>
  <c r="S1497" i="1" s="1"/>
  <c r="K1498" i="1"/>
  <c r="S1498" i="1" s="1"/>
  <c r="K1499" i="1"/>
  <c r="S1499" i="1" s="1"/>
  <c r="K1500" i="1"/>
  <c r="S1500" i="1" s="1"/>
  <c r="K1501" i="1"/>
  <c r="S1501" i="1" s="1"/>
  <c r="K1502" i="1"/>
  <c r="S1502" i="1" s="1"/>
  <c r="K1503" i="1"/>
  <c r="S1503" i="1" s="1"/>
  <c r="K1504" i="1"/>
  <c r="S1504" i="1" s="1"/>
  <c r="K1505" i="1"/>
  <c r="S1505" i="1" s="1"/>
  <c r="K1506" i="1"/>
  <c r="S1506" i="1" s="1"/>
  <c r="K1507" i="1"/>
  <c r="S1507" i="1" s="1"/>
  <c r="K1508" i="1"/>
  <c r="S1508" i="1" s="1"/>
  <c r="K1509" i="1"/>
  <c r="S1509" i="1" s="1"/>
  <c r="K1510" i="1"/>
  <c r="S1510" i="1" s="1"/>
  <c r="K1511" i="1"/>
  <c r="S1511" i="1" s="1"/>
  <c r="K1512" i="1"/>
  <c r="S1512" i="1" s="1"/>
  <c r="K1513" i="1"/>
  <c r="S1513" i="1" s="1"/>
  <c r="K1514" i="1"/>
  <c r="S1514" i="1" s="1"/>
  <c r="K1515" i="1"/>
  <c r="S1515" i="1" s="1"/>
  <c r="K1516" i="1"/>
  <c r="S1516" i="1" s="1"/>
  <c r="K1517" i="1"/>
  <c r="S1517" i="1" s="1"/>
  <c r="K1518" i="1"/>
  <c r="S1518" i="1" s="1"/>
  <c r="K1519" i="1"/>
  <c r="S1519" i="1" s="1"/>
  <c r="K1520" i="1"/>
  <c r="S1520" i="1" s="1"/>
  <c r="K1521" i="1"/>
  <c r="S1521" i="1" s="1"/>
  <c r="K1522" i="1"/>
  <c r="S1522" i="1" s="1"/>
  <c r="K1523" i="1"/>
  <c r="S1523" i="1" s="1"/>
  <c r="K1524" i="1"/>
  <c r="S1524" i="1" s="1"/>
  <c r="K1525" i="1"/>
  <c r="S1525" i="1" s="1"/>
  <c r="K1526" i="1"/>
  <c r="S1526" i="1" s="1"/>
  <c r="K1527" i="1"/>
  <c r="S1527" i="1" s="1"/>
  <c r="K1528" i="1"/>
  <c r="S1528" i="1" s="1"/>
  <c r="K1529" i="1"/>
  <c r="S1529" i="1" s="1"/>
  <c r="K1530" i="1"/>
  <c r="S1530" i="1" s="1"/>
  <c r="K1531" i="1"/>
  <c r="S1531" i="1" s="1"/>
  <c r="K1532" i="1"/>
  <c r="S1532" i="1" s="1"/>
  <c r="K1533" i="1"/>
  <c r="S1533" i="1" s="1"/>
  <c r="K1534" i="1"/>
  <c r="S1534" i="1" s="1"/>
  <c r="K1535" i="1"/>
  <c r="S1535" i="1" s="1"/>
  <c r="K1536" i="1"/>
  <c r="S1536" i="1" s="1"/>
  <c r="K1537" i="1"/>
  <c r="S1537" i="1" s="1"/>
  <c r="K1538" i="1"/>
  <c r="S1538" i="1" s="1"/>
  <c r="K1539" i="1"/>
  <c r="S1539" i="1" s="1"/>
  <c r="K1540" i="1"/>
  <c r="S1540" i="1" s="1"/>
  <c r="K1541" i="1"/>
  <c r="S1541" i="1" s="1"/>
  <c r="K1542" i="1"/>
  <c r="S1542" i="1" s="1"/>
  <c r="K1543" i="1"/>
  <c r="S1543" i="1" s="1"/>
  <c r="K1544" i="1"/>
  <c r="S1544" i="1" s="1"/>
  <c r="K1545" i="1"/>
  <c r="S1545" i="1" s="1"/>
  <c r="K1546" i="1"/>
  <c r="S1546" i="1" s="1"/>
  <c r="K1547" i="1"/>
  <c r="S1547" i="1" s="1"/>
  <c r="K1548" i="1"/>
  <c r="S1548" i="1" s="1"/>
  <c r="K1549" i="1"/>
  <c r="S1549" i="1" s="1"/>
  <c r="K1550" i="1"/>
  <c r="S1550" i="1" s="1"/>
  <c r="K1551" i="1"/>
  <c r="S1551" i="1" s="1"/>
  <c r="K1552" i="1"/>
  <c r="S1552" i="1" s="1"/>
  <c r="K1553" i="1"/>
  <c r="S1553" i="1" s="1"/>
  <c r="K1554" i="1"/>
  <c r="S1554" i="1" s="1"/>
  <c r="K1555" i="1"/>
  <c r="S1555" i="1" s="1"/>
  <c r="K1556" i="1"/>
  <c r="S1556" i="1" s="1"/>
  <c r="K1557" i="1"/>
  <c r="S1557" i="1" s="1"/>
  <c r="K1558" i="1"/>
  <c r="S1558" i="1" s="1"/>
  <c r="K1559" i="1"/>
  <c r="S1559" i="1" s="1"/>
  <c r="K1560" i="1"/>
  <c r="S1560" i="1" s="1"/>
  <c r="K1561" i="1"/>
  <c r="S1561" i="1" s="1"/>
  <c r="K1562" i="1"/>
  <c r="S1562" i="1" s="1"/>
  <c r="K1563" i="1"/>
  <c r="S1563" i="1" s="1"/>
  <c r="K1564" i="1"/>
  <c r="S1564" i="1" s="1"/>
  <c r="K1565" i="1"/>
  <c r="S1565" i="1" s="1"/>
  <c r="K1566" i="1"/>
  <c r="S1566" i="1" s="1"/>
  <c r="K1567" i="1"/>
  <c r="S1567" i="1" s="1"/>
  <c r="K1568" i="1"/>
  <c r="S1568" i="1" s="1"/>
  <c r="K1569" i="1"/>
  <c r="S1569" i="1" s="1"/>
  <c r="K1570" i="1"/>
  <c r="S1570" i="1" s="1"/>
  <c r="K1571" i="1"/>
  <c r="S1571" i="1" s="1"/>
  <c r="K1572" i="1"/>
  <c r="S1572" i="1" s="1"/>
  <c r="K1573" i="1"/>
  <c r="S1573" i="1" s="1"/>
  <c r="K1574" i="1"/>
  <c r="S1574" i="1" s="1"/>
  <c r="K1575" i="1"/>
  <c r="S1575" i="1" s="1"/>
  <c r="K1576" i="1"/>
  <c r="S1576" i="1" s="1"/>
  <c r="K1577" i="1"/>
  <c r="S1577" i="1" s="1"/>
  <c r="K1578" i="1"/>
  <c r="S1578" i="1" s="1"/>
  <c r="K1579" i="1"/>
  <c r="S1579" i="1" s="1"/>
  <c r="K1580" i="1"/>
  <c r="S1580" i="1" s="1"/>
  <c r="K1581" i="1"/>
  <c r="S1581" i="1" s="1"/>
  <c r="K1582" i="1"/>
  <c r="S1582" i="1" s="1"/>
  <c r="K1583" i="1"/>
  <c r="S1583" i="1" s="1"/>
  <c r="K1584" i="1"/>
  <c r="S1584" i="1" s="1"/>
  <c r="K1585" i="1"/>
  <c r="S1585" i="1" s="1"/>
  <c r="K1586" i="1"/>
  <c r="S1586" i="1" s="1"/>
  <c r="K1587" i="1"/>
  <c r="S1587" i="1" s="1"/>
  <c r="K1588" i="1"/>
  <c r="S1588" i="1" s="1"/>
  <c r="K1589" i="1"/>
  <c r="S1589" i="1" s="1"/>
  <c r="K1590" i="1"/>
  <c r="S1590" i="1" s="1"/>
  <c r="K1591" i="1"/>
  <c r="S1591" i="1" s="1"/>
  <c r="K1592" i="1"/>
  <c r="S1592" i="1" s="1"/>
  <c r="K1593" i="1"/>
  <c r="S1593" i="1" s="1"/>
  <c r="K1594" i="1"/>
  <c r="S1594" i="1" s="1"/>
  <c r="K1595" i="1"/>
  <c r="S1595" i="1" s="1"/>
  <c r="K1596" i="1"/>
  <c r="S1596" i="1" s="1"/>
  <c r="K1597" i="1"/>
  <c r="S1597" i="1" s="1"/>
  <c r="K1598" i="1"/>
  <c r="S1598" i="1" s="1"/>
  <c r="K1599" i="1"/>
  <c r="S1599" i="1" s="1"/>
  <c r="K1600" i="1"/>
  <c r="S1600" i="1" s="1"/>
  <c r="K1601" i="1"/>
  <c r="S1601" i="1" s="1"/>
  <c r="K1602" i="1"/>
  <c r="S1602" i="1" s="1"/>
  <c r="K1603" i="1"/>
  <c r="S1603" i="1" s="1"/>
  <c r="K1604" i="1"/>
  <c r="S1604" i="1" s="1"/>
  <c r="K1605" i="1"/>
  <c r="S1605" i="1" s="1"/>
  <c r="K1606" i="1"/>
  <c r="S1606" i="1" s="1"/>
  <c r="K1607" i="1"/>
  <c r="S1607" i="1" s="1"/>
  <c r="K1608" i="1"/>
  <c r="S1608" i="1" s="1"/>
  <c r="K1609" i="1"/>
  <c r="S1609" i="1" s="1"/>
  <c r="K1610" i="1"/>
  <c r="S1610" i="1" s="1"/>
  <c r="K1611" i="1"/>
  <c r="S1611" i="1" s="1"/>
  <c r="K1612" i="1"/>
  <c r="S1612" i="1" s="1"/>
  <c r="K1613" i="1"/>
  <c r="S1613" i="1" s="1"/>
  <c r="K1614" i="1"/>
  <c r="S1614" i="1" s="1"/>
  <c r="K1615" i="1"/>
  <c r="S1615" i="1" s="1"/>
  <c r="K1616" i="1"/>
  <c r="S1616" i="1" s="1"/>
  <c r="K1617" i="1"/>
  <c r="S1617" i="1" s="1"/>
  <c r="K1618" i="1"/>
  <c r="S1618" i="1" s="1"/>
  <c r="K1619" i="1"/>
  <c r="S1619" i="1" s="1"/>
  <c r="K1620" i="1"/>
  <c r="S1620" i="1" s="1"/>
  <c r="K1621" i="1"/>
  <c r="S1621" i="1" s="1"/>
  <c r="K1622" i="1"/>
  <c r="S1622" i="1" s="1"/>
  <c r="K1623" i="1"/>
  <c r="S1623" i="1" s="1"/>
  <c r="K1624" i="1"/>
  <c r="S1624" i="1" s="1"/>
  <c r="K1625" i="1"/>
  <c r="S1625" i="1" s="1"/>
  <c r="K1626" i="1"/>
  <c r="S1626" i="1" s="1"/>
  <c r="K1627" i="1"/>
  <c r="S1627" i="1" s="1"/>
  <c r="K1628" i="1"/>
  <c r="S1628" i="1" s="1"/>
  <c r="K1629" i="1"/>
  <c r="S1629" i="1" s="1"/>
  <c r="K1630" i="1"/>
  <c r="S1630" i="1" s="1"/>
  <c r="K1631" i="1"/>
  <c r="S1631" i="1" s="1"/>
  <c r="K1632" i="1"/>
  <c r="S1632" i="1" s="1"/>
  <c r="K1633" i="1"/>
  <c r="S1633" i="1" s="1"/>
  <c r="K1634" i="1"/>
  <c r="S1634" i="1" s="1"/>
  <c r="K1635" i="1"/>
  <c r="S1635" i="1" s="1"/>
  <c r="K1636" i="1"/>
  <c r="S1636" i="1" s="1"/>
  <c r="K1637" i="1"/>
  <c r="S1637" i="1" s="1"/>
  <c r="K1638" i="1"/>
  <c r="S1638" i="1" s="1"/>
  <c r="K1639" i="1"/>
  <c r="S1639" i="1" s="1"/>
  <c r="K1640" i="1"/>
  <c r="S1640" i="1" s="1"/>
  <c r="K1641" i="1"/>
  <c r="S1641" i="1" s="1"/>
  <c r="K1642" i="1"/>
  <c r="S1642" i="1" s="1"/>
  <c r="K1643" i="1"/>
  <c r="S1643" i="1" s="1"/>
  <c r="K1644" i="1"/>
  <c r="S1644" i="1" s="1"/>
  <c r="K1645" i="1"/>
  <c r="S1645" i="1" s="1"/>
  <c r="K1646" i="1"/>
  <c r="S1646" i="1" s="1"/>
  <c r="K1647" i="1"/>
  <c r="S1647" i="1" s="1"/>
  <c r="K1648" i="1"/>
  <c r="S1648" i="1" s="1"/>
  <c r="K1649" i="1"/>
  <c r="S1649" i="1" s="1"/>
  <c r="K1650" i="1"/>
  <c r="S1650" i="1" s="1"/>
  <c r="K1651" i="1"/>
  <c r="S1651" i="1" s="1"/>
  <c r="K1652" i="1"/>
  <c r="S1652" i="1" s="1"/>
  <c r="K1653" i="1"/>
  <c r="S1653" i="1" s="1"/>
  <c r="K1654" i="1"/>
  <c r="S1654" i="1" s="1"/>
  <c r="K1655" i="1"/>
  <c r="S1655" i="1" s="1"/>
  <c r="K1656" i="1"/>
  <c r="S1656" i="1" s="1"/>
  <c r="K1657" i="1"/>
  <c r="S1657" i="1" s="1"/>
  <c r="K1658" i="1"/>
  <c r="S1658" i="1" s="1"/>
  <c r="K1659" i="1"/>
  <c r="S1659" i="1" s="1"/>
  <c r="K1660" i="1"/>
  <c r="S1660" i="1" s="1"/>
  <c r="K1661" i="1"/>
  <c r="S1661" i="1" s="1"/>
  <c r="K1662" i="1"/>
  <c r="S1662" i="1" s="1"/>
  <c r="K1663" i="1"/>
  <c r="S1663" i="1" s="1"/>
  <c r="K1664" i="1"/>
  <c r="S1664" i="1" s="1"/>
  <c r="K1665" i="1"/>
  <c r="S1665" i="1" s="1"/>
  <c r="K1666" i="1"/>
  <c r="S1666" i="1" s="1"/>
  <c r="K1667" i="1"/>
  <c r="S1667" i="1" s="1"/>
  <c r="K1668" i="1"/>
  <c r="S1668" i="1" s="1"/>
  <c r="K1669" i="1"/>
  <c r="S1669" i="1" s="1"/>
  <c r="K1670" i="1"/>
  <c r="S1670" i="1" s="1"/>
  <c r="K1671" i="1"/>
  <c r="S1671" i="1" s="1"/>
  <c r="K1672" i="1"/>
  <c r="S1672" i="1" s="1"/>
  <c r="K1673" i="1"/>
  <c r="S1673" i="1" s="1"/>
  <c r="K1674" i="1"/>
  <c r="S1674" i="1" s="1"/>
  <c r="K1675" i="1"/>
  <c r="S1675" i="1" s="1"/>
  <c r="K1676" i="1"/>
  <c r="S1676" i="1" s="1"/>
  <c r="K1677" i="1"/>
  <c r="S1677" i="1" s="1"/>
  <c r="K1678" i="1"/>
  <c r="S1678" i="1" s="1"/>
  <c r="K1679" i="1"/>
  <c r="S1679" i="1" s="1"/>
  <c r="K1680" i="1"/>
  <c r="S1680" i="1" s="1"/>
  <c r="K1681" i="1"/>
  <c r="S1681" i="1" s="1"/>
  <c r="K1682" i="1"/>
  <c r="S1682" i="1" s="1"/>
  <c r="K1683" i="1"/>
  <c r="S1683" i="1" s="1"/>
  <c r="K1684" i="1"/>
  <c r="S1684" i="1" s="1"/>
  <c r="K1685" i="1"/>
  <c r="S1685" i="1" s="1"/>
  <c r="K1686" i="1"/>
  <c r="S1686" i="1" s="1"/>
  <c r="K1687" i="1"/>
  <c r="S1687" i="1" s="1"/>
  <c r="K1688" i="1"/>
  <c r="S1688" i="1" s="1"/>
  <c r="K1689" i="1"/>
  <c r="S1689" i="1" s="1"/>
  <c r="K1690" i="1"/>
  <c r="S1690" i="1" s="1"/>
  <c r="K1691" i="1"/>
  <c r="S1691" i="1" s="1"/>
  <c r="K1692" i="1"/>
  <c r="S1692" i="1" s="1"/>
  <c r="K1693" i="1"/>
  <c r="S1693" i="1" s="1"/>
  <c r="K1694" i="1"/>
  <c r="S1694" i="1" s="1"/>
  <c r="K1695" i="1"/>
  <c r="S1695" i="1" s="1"/>
  <c r="K1696" i="1"/>
  <c r="S1696" i="1" s="1"/>
  <c r="K1697" i="1"/>
  <c r="S1697" i="1" s="1"/>
  <c r="K1698" i="1"/>
  <c r="S1698" i="1" s="1"/>
  <c r="K1699" i="1"/>
  <c r="S1699" i="1" s="1"/>
  <c r="K1700" i="1"/>
  <c r="S1700" i="1" s="1"/>
  <c r="K1701" i="1"/>
  <c r="S1701" i="1" s="1"/>
  <c r="K1702" i="1"/>
  <c r="S1702" i="1" s="1"/>
  <c r="K1703" i="1"/>
  <c r="S1703" i="1" s="1"/>
  <c r="K1704" i="1"/>
  <c r="S1704" i="1" s="1"/>
  <c r="K1705" i="1"/>
  <c r="S1705" i="1" s="1"/>
  <c r="K1706" i="1"/>
  <c r="S1706" i="1" s="1"/>
  <c r="K1707" i="1"/>
  <c r="S1707" i="1" s="1"/>
  <c r="K1708" i="1"/>
  <c r="S1708" i="1" s="1"/>
  <c r="K1709" i="1"/>
  <c r="S1709" i="1" s="1"/>
  <c r="K1710" i="1"/>
  <c r="S1710" i="1" s="1"/>
  <c r="K1711" i="1"/>
  <c r="S1711" i="1" s="1"/>
  <c r="K1712" i="1"/>
  <c r="S1712" i="1" s="1"/>
  <c r="K1713" i="1"/>
  <c r="S1713" i="1" s="1"/>
  <c r="K1714" i="1"/>
  <c r="S1714" i="1" s="1"/>
  <c r="K1715" i="1"/>
  <c r="S1715" i="1" s="1"/>
  <c r="K1716" i="1"/>
  <c r="S1716" i="1" s="1"/>
  <c r="K1717" i="1"/>
  <c r="S1717" i="1" s="1"/>
  <c r="K1718" i="1"/>
  <c r="S1718" i="1" s="1"/>
  <c r="K1719" i="1"/>
  <c r="S1719" i="1" s="1"/>
  <c r="K1720" i="1"/>
  <c r="S1720" i="1" s="1"/>
  <c r="K1721" i="1"/>
  <c r="S1721" i="1" s="1"/>
  <c r="K1722" i="1"/>
  <c r="S1722" i="1" s="1"/>
  <c r="K1723" i="1"/>
  <c r="S1723" i="1" s="1"/>
  <c r="K1724" i="1"/>
  <c r="S1724" i="1" s="1"/>
  <c r="K1725" i="1"/>
  <c r="S1725" i="1" s="1"/>
  <c r="K1726" i="1"/>
  <c r="S1726" i="1" s="1"/>
  <c r="K1727" i="1"/>
  <c r="S1727" i="1" s="1"/>
  <c r="K1728" i="1"/>
  <c r="S1728" i="1" s="1"/>
  <c r="K1729" i="1"/>
  <c r="S1729" i="1" s="1"/>
  <c r="K1730" i="1"/>
  <c r="S1730" i="1" s="1"/>
  <c r="K1731" i="1"/>
  <c r="S1731" i="1" s="1"/>
  <c r="K1732" i="1"/>
  <c r="S1732" i="1" s="1"/>
  <c r="K1733" i="1"/>
  <c r="S1733" i="1" s="1"/>
  <c r="K1734" i="1"/>
  <c r="S1734" i="1" s="1"/>
  <c r="K1735" i="1"/>
  <c r="S1735" i="1" s="1"/>
  <c r="K1736" i="1"/>
  <c r="S1736" i="1" s="1"/>
  <c r="K1737" i="1"/>
  <c r="S1737" i="1" s="1"/>
  <c r="K1738" i="1"/>
  <c r="S1738" i="1" s="1"/>
  <c r="K1739" i="1"/>
  <c r="S1739" i="1" s="1"/>
  <c r="K1740" i="1"/>
  <c r="S1740" i="1" s="1"/>
  <c r="K1741" i="1"/>
  <c r="S1741" i="1" s="1"/>
  <c r="K1742" i="1"/>
  <c r="S1742" i="1" s="1"/>
  <c r="K1743" i="1"/>
  <c r="S1743" i="1" s="1"/>
  <c r="K1744" i="1"/>
  <c r="S1744" i="1" s="1"/>
  <c r="K1745" i="1"/>
  <c r="S1745" i="1" s="1"/>
  <c r="K1746" i="1"/>
  <c r="S1746" i="1" s="1"/>
  <c r="K1747" i="1"/>
  <c r="S1747" i="1" s="1"/>
  <c r="K1748" i="1"/>
  <c r="S1748" i="1" s="1"/>
  <c r="K1749" i="1"/>
  <c r="S1749" i="1" s="1"/>
  <c r="K1750" i="1"/>
  <c r="S1750" i="1" s="1"/>
  <c r="K1751" i="1"/>
  <c r="S1751" i="1" s="1"/>
  <c r="K1752" i="1"/>
  <c r="S1752" i="1" s="1"/>
  <c r="K1753" i="1"/>
  <c r="S1753" i="1" s="1"/>
  <c r="K1754" i="1"/>
  <c r="S1754" i="1" s="1"/>
  <c r="K1755" i="1"/>
  <c r="S1755" i="1" s="1"/>
  <c r="K1756" i="1"/>
  <c r="S1756" i="1" s="1"/>
  <c r="K1757" i="1"/>
  <c r="S1757" i="1" s="1"/>
  <c r="K1758" i="1"/>
  <c r="S1758" i="1" s="1"/>
  <c r="K1759" i="1"/>
  <c r="S1759" i="1" s="1"/>
  <c r="K1760" i="1"/>
  <c r="S1760" i="1" s="1"/>
  <c r="K1761" i="1"/>
  <c r="S1761" i="1" s="1"/>
  <c r="K1762" i="1"/>
  <c r="S1762" i="1" s="1"/>
  <c r="K1763" i="1"/>
  <c r="S1763" i="1" s="1"/>
  <c r="K1764" i="1"/>
  <c r="S1764" i="1" s="1"/>
  <c r="K1765" i="1"/>
  <c r="S1765" i="1" s="1"/>
  <c r="K1766" i="1"/>
  <c r="S1766" i="1" s="1"/>
  <c r="K1767" i="1"/>
  <c r="S1767" i="1" s="1"/>
  <c r="K1768" i="1"/>
  <c r="S1768" i="1" s="1"/>
  <c r="K1769" i="1"/>
  <c r="S1769" i="1" s="1"/>
  <c r="K1770" i="1"/>
  <c r="S1770" i="1" s="1"/>
  <c r="K1771" i="1"/>
  <c r="S1771" i="1" s="1"/>
  <c r="K1772" i="1"/>
  <c r="S1772" i="1" s="1"/>
  <c r="K1773" i="1"/>
  <c r="S1773" i="1" s="1"/>
  <c r="K1774" i="1"/>
  <c r="S1774" i="1" s="1"/>
  <c r="K1775" i="1"/>
  <c r="S1775" i="1" s="1"/>
  <c r="K1776" i="1"/>
  <c r="S1776" i="1" s="1"/>
  <c r="K1777" i="1"/>
  <c r="S1777" i="1" s="1"/>
  <c r="K1778" i="1"/>
  <c r="S1778" i="1" s="1"/>
  <c r="K1779" i="1"/>
  <c r="S1779" i="1" s="1"/>
  <c r="K1780" i="1"/>
  <c r="S1780" i="1" s="1"/>
  <c r="K1781" i="1"/>
  <c r="S1781" i="1" s="1"/>
  <c r="K1782" i="1"/>
  <c r="S1782" i="1" s="1"/>
  <c r="K1783" i="1"/>
  <c r="S1783" i="1" s="1"/>
  <c r="K1784" i="1"/>
  <c r="S1784" i="1" s="1"/>
  <c r="K1785" i="1"/>
  <c r="S1785" i="1" s="1"/>
  <c r="K1786" i="1"/>
  <c r="S1786" i="1" s="1"/>
  <c r="K1787" i="1"/>
  <c r="S1787" i="1" s="1"/>
  <c r="K1788" i="1"/>
  <c r="S1788" i="1" s="1"/>
  <c r="K1789" i="1"/>
  <c r="S1789" i="1" s="1"/>
  <c r="K1790" i="1"/>
  <c r="S1790" i="1" s="1"/>
  <c r="K1791" i="1"/>
  <c r="S1791" i="1" s="1"/>
  <c r="K1792" i="1"/>
  <c r="S1792" i="1" s="1"/>
  <c r="K1793" i="1"/>
  <c r="S1793" i="1" s="1"/>
  <c r="K1794" i="1"/>
  <c r="S1794" i="1" s="1"/>
  <c r="K1795" i="1"/>
  <c r="S1795" i="1" s="1"/>
  <c r="K1796" i="1"/>
  <c r="S1796" i="1" s="1"/>
  <c r="K1797" i="1"/>
  <c r="S1797" i="1" s="1"/>
  <c r="K1798" i="1"/>
  <c r="S1798" i="1" s="1"/>
  <c r="K1799" i="1"/>
  <c r="S1799" i="1" s="1"/>
  <c r="K1800" i="1"/>
  <c r="S1800" i="1" s="1"/>
  <c r="K1801" i="1"/>
  <c r="S1801" i="1" s="1"/>
  <c r="K1802" i="1"/>
  <c r="S1802" i="1" s="1"/>
  <c r="K1803" i="1"/>
  <c r="S1803" i="1" s="1"/>
  <c r="K1804" i="1"/>
  <c r="S1804" i="1" s="1"/>
  <c r="K1805" i="1"/>
  <c r="S1805" i="1" s="1"/>
  <c r="K1806" i="1"/>
  <c r="S1806" i="1" s="1"/>
  <c r="K1807" i="1"/>
  <c r="S1807" i="1" s="1"/>
  <c r="K1808" i="1"/>
  <c r="S1808" i="1" s="1"/>
  <c r="K1809" i="1"/>
  <c r="S1809" i="1" s="1"/>
  <c r="K1810" i="1"/>
  <c r="S1810" i="1" s="1"/>
  <c r="K1811" i="1"/>
  <c r="S1811" i="1" s="1"/>
  <c r="K1812" i="1"/>
  <c r="S1812" i="1" s="1"/>
  <c r="K1813" i="1"/>
  <c r="S1813" i="1" s="1"/>
  <c r="K1814" i="1"/>
  <c r="S1814" i="1" s="1"/>
  <c r="K1815" i="1"/>
  <c r="S1815" i="1" s="1"/>
  <c r="K1816" i="1"/>
  <c r="S1816" i="1" s="1"/>
  <c r="K1817" i="1"/>
  <c r="S1817" i="1" s="1"/>
  <c r="K1818" i="1"/>
  <c r="S1818" i="1" s="1"/>
  <c r="K1819" i="1"/>
  <c r="S1819" i="1" s="1"/>
  <c r="K1820" i="1"/>
  <c r="S1820" i="1" s="1"/>
  <c r="K1821" i="1"/>
  <c r="S1821" i="1" s="1"/>
  <c r="K1822" i="1"/>
  <c r="S1822" i="1" s="1"/>
  <c r="K1823" i="1"/>
  <c r="S1823" i="1" s="1"/>
  <c r="K1824" i="1"/>
  <c r="S1824" i="1" s="1"/>
  <c r="K1825" i="1"/>
  <c r="S1825" i="1" s="1"/>
  <c r="K1826" i="1"/>
  <c r="S1826" i="1" s="1"/>
  <c r="K1827" i="1"/>
  <c r="S1827" i="1" s="1"/>
  <c r="K1828" i="1"/>
  <c r="S1828" i="1" s="1"/>
  <c r="K1829" i="1"/>
  <c r="S1829" i="1" s="1"/>
  <c r="K1830" i="1"/>
  <c r="S1830" i="1" s="1"/>
  <c r="K1831" i="1"/>
  <c r="S1831" i="1" s="1"/>
  <c r="K1832" i="1"/>
  <c r="S1832" i="1" s="1"/>
  <c r="K1833" i="1"/>
  <c r="S1833" i="1" s="1"/>
  <c r="K1834" i="1"/>
  <c r="S1834" i="1" s="1"/>
  <c r="K1835" i="1"/>
  <c r="S1835" i="1" s="1"/>
  <c r="K1836" i="1"/>
  <c r="S1836" i="1" s="1"/>
  <c r="K1837" i="1"/>
  <c r="S1837" i="1" s="1"/>
  <c r="K1838" i="1"/>
  <c r="S1838" i="1" s="1"/>
  <c r="K1839" i="1"/>
  <c r="S1839" i="1" s="1"/>
  <c r="K1840" i="1"/>
  <c r="S1840" i="1" s="1"/>
  <c r="K1841" i="1"/>
  <c r="S1841" i="1" s="1"/>
  <c r="K1842" i="1"/>
  <c r="S1842" i="1" s="1"/>
  <c r="K1843" i="1"/>
  <c r="S1843" i="1" s="1"/>
  <c r="K1844" i="1"/>
  <c r="S1844" i="1" s="1"/>
  <c r="K1845" i="1"/>
  <c r="S1845" i="1" s="1"/>
  <c r="K1846" i="1"/>
  <c r="S1846" i="1" s="1"/>
  <c r="K1847" i="1"/>
  <c r="S1847" i="1" s="1"/>
  <c r="K1848" i="1"/>
  <c r="S1848" i="1" s="1"/>
  <c r="K1849" i="1"/>
  <c r="S1849" i="1" s="1"/>
  <c r="K1850" i="1"/>
  <c r="S1850" i="1" s="1"/>
  <c r="K1851" i="1"/>
  <c r="S1851" i="1" s="1"/>
  <c r="K1852" i="1"/>
  <c r="S1852" i="1" s="1"/>
  <c r="K1853" i="1"/>
  <c r="S1853" i="1" s="1"/>
  <c r="K1854" i="1"/>
  <c r="S1854" i="1" s="1"/>
  <c r="K1855" i="1"/>
  <c r="S1855" i="1" s="1"/>
  <c r="K1856" i="1"/>
  <c r="S1856" i="1" s="1"/>
  <c r="K1857" i="1"/>
  <c r="S1857" i="1" s="1"/>
  <c r="K1858" i="1"/>
  <c r="S1858" i="1" s="1"/>
  <c r="K1859" i="1"/>
  <c r="S1859" i="1" s="1"/>
  <c r="K1860" i="1"/>
  <c r="S1860" i="1" s="1"/>
  <c r="K1861" i="1"/>
  <c r="S1861" i="1" s="1"/>
  <c r="K1862" i="1"/>
  <c r="S1862" i="1" s="1"/>
  <c r="K1863" i="1"/>
  <c r="S1863" i="1" s="1"/>
  <c r="K1864" i="1"/>
  <c r="S1864" i="1" s="1"/>
  <c r="K1865" i="1"/>
  <c r="S1865" i="1" s="1"/>
  <c r="K1866" i="1"/>
  <c r="S1866" i="1" s="1"/>
  <c r="K1867" i="1"/>
  <c r="S1867" i="1" s="1"/>
  <c r="K1868" i="1"/>
  <c r="S1868" i="1" s="1"/>
  <c r="K1869" i="1"/>
  <c r="S1869" i="1" s="1"/>
  <c r="K1870" i="1"/>
  <c r="S1870" i="1" s="1"/>
  <c r="K1871" i="1"/>
  <c r="S1871" i="1" s="1"/>
  <c r="K1872" i="1"/>
  <c r="S1872" i="1" s="1"/>
  <c r="K1873" i="1"/>
  <c r="S1873" i="1" s="1"/>
  <c r="K1874" i="1"/>
  <c r="S1874" i="1" s="1"/>
  <c r="K1875" i="1"/>
  <c r="S1875" i="1" s="1"/>
  <c r="K1876" i="1"/>
  <c r="S1876" i="1" s="1"/>
  <c r="K1877" i="1"/>
  <c r="S1877" i="1" s="1"/>
  <c r="K1878" i="1"/>
  <c r="S1878" i="1" s="1"/>
  <c r="K1879" i="1"/>
  <c r="S1879" i="1" s="1"/>
  <c r="K1880" i="1"/>
  <c r="S1880" i="1" s="1"/>
  <c r="K1881" i="1"/>
  <c r="S1881" i="1" s="1"/>
  <c r="K1882" i="1"/>
  <c r="S1882" i="1" s="1"/>
  <c r="K1883" i="1"/>
  <c r="S1883" i="1" s="1"/>
  <c r="K1884" i="1"/>
  <c r="S1884" i="1" s="1"/>
  <c r="K1885" i="1"/>
  <c r="S1885" i="1" s="1"/>
  <c r="K1886" i="1"/>
  <c r="S1886" i="1" s="1"/>
  <c r="K1887" i="1"/>
  <c r="S1887" i="1" s="1"/>
  <c r="K1888" i="1"/>
  <c r="S1888" i="1" s="1"/>
  <c r="K1889" i="1"/>
  <c r="S1889" i="1" s="1"/>
  <c r="K1890" i="1"/>
  <c r="S1890" i="1" s="1"/>
  <c r="K1891" i="1"/>
  <c r="S1891" i="1" s="1"/>
  <c r="K1892" i="1"/>
  <c r="S1892" i="1" s="1"/>
  <c r="K1893" i="1"/>
  <c r="S1893" i="1" s="1"/>
  <c r="K1894" i="1"/>
  <c r="S1894" i="1" s="1"/>
  <c r="K1895" i="1"/>
  <c r="S1895" i="1" s="1"/>
  <c r="K1896" i="1"/>
  <c r="S1896" i="1" s="1"/>
  <c r="K1897" i="1"/>
  <c r="S1897" i="1" s="1"/>
  <c r="K1898" i="1"/>
  <c r="S1898" i="1" s="1"/>
  <c r="K1899" i="1"/>
  <c r="S1899" i="1" s="1"/>
  <c r="K1900" i="1"/>
  <c r="S1900" i="1" s="1"/>
  <c r="K1901" i="1"/>
  <c r="S1901" i="1" s="1"/>
  <c r="K1902" i="1"/>
  <c r="S1902" i="1" s="1"/>
  <c r="K1903" i="1"/>
  <c r="S1903" i="1" s="1"/>
  <c r="K1904" i="1"/>
  <c r="S1904" i="1" s="1"/>
  <c r="K1905" i="1"/>
  <c r="S1905" i="1" s="1"/>
  <c r="K1906" i="1"/>
  <c r="S1906" i="1" s="1"/>
  <c r="K1907" i="1"/>
  <c r="S1907" i="1" s="1"/>
  <c r="K1908" i="1"/>
  <c r="S1908" i="1" s="1"/>
  <c r="K1909" i="1"/>
  <c r="S1909" i="1" s="1"/>
  <c r="K1910" i="1"/>
  <c r="S1910" i="1" s="1"/>
  <c r="K1911" i="1"/>
  <c r="S1911" i="1" s="1"/>
  <c r="K1912" i="1"/>
  <c r="S1912" i="1" s="1"/>
  <c r="K1913" i="1"/>
  <c r="S1913" i="1" s="1"/>
  <c r="K1914" i="1"/>
  <c r="S1914" i="1" s="1"/>
  <c r="K1915" i="1"/>
  <c r="S1915" i="1" s="1"/>
  <c r="K1916" i="1"/>
  <c r="S1916" i="1" s="1"/>
  <c r="K1917" i="1"/>
  <c r="S1917" i="1" s="1"/>
  <c r="K1918" i="1"/>
  <c r="S1918" i="1" s="1"/>
  <c r="K1919" i="1"/>
  <c r="S1919" i="1" s="1"/>
  <c r="K1920" i="1"/>
  <c r="S1920" i="1" s="1"/>
  <c r="K1921" i="1"/>
  <c r="S1921" i="1" s="1"/>
  <c r="K1922" i="1"/>
  <c r="S1922" i="1" s="1"/>
  <c r="K1923" i="1"/>
  <c r="S1923" i="1" s="1"/>
  <c r="K1924" i="1"/>
  <c r="S1924" i="1" s="1"/>
  <c r="K1925" i="1"/>
  <c r="S1925" i="1" s="1"/>
  <c r="K1926" i="1"/>
  <c r="S1926" i="1" s="1"/>
  <c r="K1927" i="1"/>
  <c r="S1927" i="1" s="1"/>
  <c r="K1928" i="1"/>
  <c r="S1928" i="1" s="1"/>
  <c r="K1929" i="1"/>
  <c r="S1929" i="1" s="1"/>
  <c r="K1930" i="1"/>
  <c r="S1930" i="1" s="1"/>
  <c r="K1931" i="1"/>
  <c r="S1931" i="1" s="1"/>
  <c r="K1932" i="1"/>
  <c r="S1932" i="1" s="1"/>
  <c r="K1933" i="1"/>
  <c r="S1933" i="1" s="1"/>
  <c r="K1934" i="1"/>
  <c r="S1934" i="1" s="1"/>
  <c r="K1935" i="1"/>
  <c r="S1935" i="1" s="1"/>
  <c r="K1936" i="1"/>
  <c r="S1936" i="1" s="1"/>
  <c r="K1937" i="1"/>
  <c r="S1937" i="1" s="1"/>
  <c r="K1938" i="1"/>
  <c r="S1938" i="1" s="1"/>
  <c r="K1939" i="1"/>
  <c r="S1939" i="1" s="1"/>
  <c r="K1940" i="1"/>
  <c r="S1940" i="1" s="1"/>
  <c r="K1941" i="1"/>
  <c r="S1941" i="1" s="1"/>
  <c r="K1942" i="1"/>
  <c r="S1942" i="1" s="1"/>
  <c r="K1943" i="1"/>
  <c r="S1943" i="1" s="1"/>
  <c r="K1944" i="1"/>
  <c r="S1944" i="1" s="1"/>
  <c r="K1945" i="1"/>
  <c r="S1945" i="1" s="1"/>
  <c r="K1946" i="1"/>
  <c r="S1946" i="1" s="1"/>
  <c r="K1947" i="1"/>
  <c r="S1947" i="1" s="1"/>
  <c r="K1948" i="1"/>
  <c r="S1948" i="1" s="1"/>
  <c r="K1949" i="1"/>
  <c r="S1949" i="1" s="1"/>
  <c r="K1950" i="1"/>
  <c r="S1950" i="1" s="1"/>
  <c r="K1951" i="1"/>
  <c r="S1951" i="1" s="1"/>
  <c r="K1952" i="1"/>
  <c r="S1952" i="1" s="1"/>
  <c r="K1953" i="1"/>
  <c r="S1953" i="1" s="1"/>
  <c r="K1954" i="1"/>
  <c r="S1954" i="1" s="1"/>
  <c r="K1955" i="1"/>
  <c r="S1955" i="1" s="1"/>
  <c r="K1956" i="1"/>
  <c r="S1956" i="1" s="1"/>
  <c r="K1957" i="1"/>
  <c r="S1957" i="1" s="1"/>
  <c r="K1958" i="1"/>
  <c r="S1958" i="1" s="1"/>
  <c r="K1959" i="1"/>
  <c r="S1959" i="1" s="1"/>
  <c r="K1960" i="1"/>
  <c r="S1960" i="1" s="1"/>
  <c r="K1961" i="1"/>
  <c r="S1961" i="1" s="1"/>
  <c r="K1962" i="1"/>
  <c r="S1962" i="1" s="1"/>
  <c r="K1963" i="1"/>
  <c r="S1963" i="1" s="1"/>
  <c r="K1964" i="1"/>
  <c r="S1964" i="1" s="1"/>
  <c r="K1965" i="1"/>
  <c r="S1965" i="1" s="1"/>
  <c r="K1966" i="1"/>
  <c r="S1966" i="1" s="1"/>
  <c r="K1967" i="1"/>
  <c r="S1967" i="1" s="1"/>
  <c r="K1968" i="1"/>
  <c r="S1968" i="1" s="1"/>
  <c r="K1969" i="1"/>
  <c r="S1969" i="1" s="1"/>
  <c r="K1970" i="1"/>
  <c r="S1970" i="1" s="1"/>
  <c r="K1971" i="1"/>
  <c r="S1971" i="1" s="1"/>
  <c r="K1972" i="1"/>
  <c r="S1972" i="1" s="1"/>
  <c r="K1973" i="1"/>
  <c r="S1973" i="1" s="1"/>
  <c r="K1974" i="1"/>
  <c r="S1974" i="1" s="1"/>
  <c r="K1975" i="1"/>
  <c r="S1975" i="1" s="1"/>
  <c r="K1976" i="1"/>
  <c r="S1976" i="1" s="1"/>
  <c r="K1977" i="1"/>
  <c r="S1977" i="1" s="1"/>
  <c r="K1978" i="1"/>
  <c r="S1978" i="1" s="1"/>
  <c r="K1979" i="1"/>
  <c r="S1979" i="1" s="1"/>
  <c r="K1980" i="1"/>
  <c r="S1980" i="1" s="1"/>
  <c r="K1981" i="1"/>
  <c r="K2" i="1"/>
  <c r="S2" i="1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O1634" i="1"/>
  <c r="O1641" i="1"/>
  <c r="O1642" i="1"/>
  <c r="O1643" i="1"/>
  <c r="O1551" i="1"/>
  <c r="O1612" i="1"/>
  <c r="O1639" i="1"/>
  <c r="O1522" i="1"/>
  <c r="O1644" i="1"/>
  <c r="O1602" i="1"/>
  <c r="O1550" i="1"/>
  <c r="O1626" i="1"/>
  <c r="O1645" i="1"/>
  <c r="O1646" i="1"/>
  <c r="O1617" i="1"/>
  <c r="O1647" i="1"/>
  <c r="O1648" i="1"/>
  <c r="O1126" i="1"/>
  <c r="O1649" i="1"/>
  <c r="O1580" i="1"/>
  <c r="O1650" i="1"/>
  <c r="O1651" i="1"/>
  <c r="O1595" i="1"/>
  <c r="O1616" i="1"/>
  <c r="O1540" i="1"/>
  <c r="O1046" i="1"/>
  <c r="O1141" i="1"/>
  <c r="O1613" i="1"/>
  <c r="O1583" i="1"/>
  <c r="O1044" i="1"/>
  <c r="O1486" i="1"/>
  <c r="O1042" i="1"/>
  <c r="O1593" i="1"/>
  <c r="O1039" i="1"/>
  <c r="O709" i="1"/>
  <c r="O1038" i="1"/>
  <c r="O664" i="1"/>
  <c r="O1652" i="1"/>
  <c r="O1640" i="1"/>
  <c r="O1525" i="1"/>
  <c r="O1571" i="1"/>
  <c r="O734" i="1"/>
  <c r="O1037" i="1"/>
  <c r="O1653" i="1"/>
  <c r="O1479" i="1"/>
  <c r="O661" i="1"/>
  <c r="O1539" i="1"/>
  <c r="O1498" i="1"/>
  <c r="O1618" i="1"/>
  <c r="O378" i="1"/>
  <c r="O1125" i="1"/>
  <c r="O1654" i="1"/>
  <c r="O1655" i="1"/>
  <c r="O737" i="1"/>
  <c r="O377" i="1"/>
  <c r="O717" i="1"/>
  <c r="O1656" i="1"/>
  <c r="O1589" i="1"/>
  <c r="O719" i="1"/>
  <c r="O1631" i="1"/>
  <c r="O708" i="1"/>
  <c r="O376" i="1"/>
  <c r="O1582" i="1"/>
  <c r="O1124" i="1"/>
  <c r="O1524" i="1"/>
  <c r="O1562" i="1"/>
  <c r="O720" i="1"/>
  <c r="O740" i="1"/>
  <c r="O1657" i="1"/>
  <c r="O1658" i="1"/>
  <c r="O1521" i="1"/>
  <c r="O1659" i="1"/>
  <c r="O1637" i="1"/>
  <c r="O375" i="1"/>
  <c r="O1660" i="1"/>
  <c r="O1507" i="1"/>
  <c r="O374" i="1"/>
  <c r="O1622" i="1"/>
  <c r="O1535" i="1"/>
  <c r="O1661" i="1"/>
  <c r="O1577" i="1"/>
  <c r="O373" i="1"/>
  <c r="O1610" i="1"/>
  <c r="O1662" i="1"/>
  <c r="O654" i="1"/>
  <c r="O1663" i="1"/>
  <c r="O1664" i="1"/>
  <c r="O1123" i="1"/>
  <c r="O1665" i="1"/>
  <c r="O1575" i="1"/>
  <c r="O1666" i="1"/>
  <c r="O1544" i="1"/>
  <c r="O372" i="1"/>
  <c r="O1034" i="1"/>
  <c r="O1667" i="1"/>
  <c r="O1599" i="1"/>
  <c r="O748" i="1"/>
  <c r="O1627" i="1"/>
  <c r="O1668" i="1"/>
  <c r="O1130" i="1"/>
  <c r="O371" i="1"/>
  <c r="O1623" i="1"/>
  <c r="O1487" i="1"/>
  <c r="O1527" i="1"/>
  <c r="O1122" i="1"/>
  <c r="O1047" i="1"/>
  <c r="O1045" i="1"/>
  <c r="O1633" i="1"/>
  <c r="O370" i="1"/>
  <c r="O1059" i="1"/>
  <c r="O1586" i="1"/>
  <c r="O1669" i="1"/>
  <c r="O618" i="1"/>
  <c r="O1670" i="1"/>
  <c r="O1671" i="1"/>
  <c r="O651" i="1"/>
  <c r="O1547" i="1"/>
  <c r="O1121" i="1"/>
  <c r="O1598" i="1"/>
  <c r="O1568" i="1"/>
  <c r="O665" i="1"/>
  <c r="O1155" i="1"/>
  <c r="O1040" i="1"/>
  <c r="O1672" i="1"/>
  <c r="O369" i="1"/>
  <c r="O1608" i="1"/>
  <c r="O725" i="1"/>
  <c r="O1143" i="1"/>
  <c r="O1028" i="1"/>
  <c r="O1673" i="1"/>
  <c r="O1458" i="1"/>
  <c r="O672" i="1"/>
  <c r="O1504" i="1"/>
  <c r="O726" i="1"/>
  <c r="O1523" i="1"/>
  <c r="O634" i="1"/>
  <c r="O1131" i="1"/>
  <c r="O1027" i="1"/>
  <c r="O1538" i="1"/>
  <c r="O1566" i="1"/>
  <c r="O707" i="1"/>
  <c r="O1674" i="1"/>
  <c r="O368" i="1"/>
  <c r="O1510" i="1"/>
  <c r="O1453" i="1"/>
  <c r="O367" i="1"/>
  <c r="O1567" i="1"/>
  <c r="O366" i="1"/>
  <c r="O1675" i="1"/>
  <c r="O716" i="1"/>
  <c r="O735" i="1"/>
  <c r="O1588" i="1"/>
  <c r="O1554" i="1"/>
  <c r="O1509" i="1"/>
  <c r="O1594" i="1"/>
  <c r="O1145" i="1"/>
  <c r="O365" i="1"/>
  <c r="O1430" i="1"/>
  <c r="O1146" i="1"/>
  <c r="O660" i="1"/>
  <c r="O1676" i="1"/>
  <c r="O1036" i="1"/>
  <c r="O1425" i="1"/>
  <c r="O1552" i="1"/>
  <c r="O1677" i="1"/>
  <c r="O1621" i="1"/>
  <c r="O629" i="1"/>
  <c r="O1120" i="1"/>
  <c r="O706" i="1"/>
  <c r="O1472" i="1"/>
  <c r="O364" i="1"/>
  <c r="O1678" i="1"/>
  <c r="O363" i="1"/>
  <c r="O1600" i="1"/>
  <c r="O1478" i="1"/>
  <c r="O1679" i="1"/>
  <c r="O1526" i="1"/>
  <c r="O1619" i="1"/>
  <c r="O1432" i="1"/>
  <c r="O1563" i="1"/>
  <c r="O1638" i="1"/>
  <c r="O1019" i="1"/>
  <c r="O1468" i="1"/>
  <c r="O1680" i="1"/>
  <c r="O1132" i="1"/>
  <c r="O1119" i="1"/>
  <c r="O1681" i="1"/>
  <c r="O1459" i="1"/>
  <c r="O1508" i="1"/>
  <c r="O229" i="1"/>
  <c r="O1682" i="1"/>
  <c r="O1636" i="1"/>
  <c r="O1513" i="1"/>
  <c r="O362" i="1"/>
  <c r="O1615" i="1"/>
  <c r="O1505" i="1"/>
  <c r="O1557" i="1"/>
  <c r="O361" i="1"/>
  <c r="O1506" i="1"/>
  <c r="O1484" i="1"/>
  <c r="O360" i="1"/>
  <c r="O1417" i="1"/>
  <c r="O671" i="1"/>
  <c r="O626" i="1"/>
  <c r="O1118" i="1"/>
  <c r="O763" i="1"/>
  <c r="O359" i="1"/>
  <c r="O765" i="1"/>
  <c r="O721" i="1"/>
  <c r="O1683" i="1"/>
  <c r="O1684" i="1"/>
  <c r="O1625" i="1"/>
  <c r="O1685" i="1"/>
  <c r="O1133" i="1"/>
  <c r="O1134" i="1"/>
  <c r="O1686" i="1"/>
  <c r="O358" i="1"/>
  <c r="O1440" i="1"/>
  <c r="O1400" i="1"/>
  <c r="O1150" i="1"/>
  <c r="O1481" i="1"/>
  <c r="O253" i="1"/>
  <c r="O394" i="1"/>
  <c r="O1635" i="1"/>
  <c r="O1687" i="1"/>
  <c r="O642" i="1"/>
  <c r="O227" i="1"/>
  <c r="O767" i="1"/>
  <c r="O1543" i="1"/>
  <c r="O1591" i="1"/>
  <c r="O1056" i="1"/>
  <c r="O1628" i="1"/>
  <c r="O1135" i="1"/>
  <c r="O1624" i="1"/>
  <c r="O1406" i="1"/>
  <c r="O1162" i="1"/>
  <c r="O1423" i="1"/>
  <c r="O1620" i="1"/>
  <c r="O621" i="1"/>
  <c r="O653" i="1"/>
  <c r="O357" i="1"/>
  <c r="O1033" i="1"/>
  <c r="O1117" i="1"/>
  <c r="O1688" i="1"/>
  <c r="O1689" i="1"/>
  <c r="O1690" i="1"/>
  <c r="O705" i="1"/>
  <c r="O1116" i="1"/>
  <c r="O1450" i="1"/>
  <c r="O1115" i="1"/>
  <c r="O1404" i="1"/>
  <c r="O1691" i="1"/>
  <c r="O1559" i="1"/>
  <c r="O1692" i="1"/>
  <c r="O1528" i="1"/>
  <c r="O723" i="1"/>
  <c r="O1693" i="1"/>
  <c r="O1694" i="1"/>
  <c r="O1153" i="1"/>
  <c r="O356" i="1"/>
  <c r="O1695" i="1"/>
  <c r="O751" i="1"/>
  <c r="O1431" i="1"/>
  <c r="O1470" i="1"/>
  <c r="O1696" i="1"/>
  <c r="O1015" i="1"/>
  <c r="O770" i="1"/>
  <c r="O1514" i="1"/>
  <c r="O355" i="1"/>
  <c r="O724" i="1"/>
  <c r="O1697" i="1"/>
  <c r="O1127" i="1"/>
  <c r="O1609" i="1"/>
  <c r="O1698" i="1"/>
  <c r="O1402" i="1"/>
  <c r="O1444" i="1"/>
  <c r="O1114" i="1"/>
  <c r="O650" i="1"/>
  <c r="O1699" i="1"/>
  <c r="O1488" i="1"/>
  <c r="O1592" i="1"/>
  <c r="O354" i="1"/>
  <c r="O1014" i="1"/>
  <c r="O1013" i="1"/>
  <c r="O1482" i="1"/>
  <c r="O1518" i="1"/>
  <c r="O1530" i="1"/>
  <c r="O1700" i="1"/>
  <c r="O649" i="1"/>
  <c r="O1503" i="1"/>
  <c r="O1553" i="1"/>
  <c r="O1476" i="1"/>
  <c r="O1701" i="1"/>
  <c r="O1128" i="1"/>
  <c r="O1569" i="1"/>
  <c r="O353" i="1"/>
  <c r="O352" i="1"/>
  <c r="O1515" i="1"/>
  <c r="O1011" i="1"/>
  <c r="O1702" i="1"/>
  <c r="O1494" i="1"/>
  <c r="O1703" i="1"/>
  <c r="O1704" i="1"/>
  <c r="O755" i="1"/>
  <c r="O1705" i="1"/>
  <c r="O1415" i="1"/>
  <c r="O1489" i="1"/>
  <c r="O1706" i="1"/>
  <c r="O1707" i="1"/>
  <c r="O1113" i="1"/>
  <c r="O351" i="1"/>
  <c r="O350" i="1"/>
  <c r="O349" i="1"/>
  <c r="O1708" i="1"/>
  <c r="O348" i="1"/>
  <c r="O1709" i="1"/>
  <c r="O647" i="1"/>
  <c r="O1604" i="1"/>
  <c r="O399" i="1"/>
  <c r="O704" i="1"/>
  <c r="O1010" i="1"/>
  <c r="O1492" i="1"/>
  <c r="O1629" i="1"/>
  <c r="O613" i="1"/>
  <c r="O1590" i="1"/>
  <c r="O1614" i="1"/>
  <c r="O1460" i="1"/>
  <c r="O382" i="1"/>
  <c r="O347" i="1"/>
  <c r="O711" i="1"/>
  <c r="O1158" i="1"/>
  <c r="O729" i="1"/>
  <c r="O1710" i="1"/>
  <c r="O346" i="1"/>
  <c r="O703" i="1"/>
  <c r="O1549" i="1"/>
  <c r="O1711" i="1"/>
  <c r="O1501" i="1"/>
  <c r="O702" i="1"/>
  <c r="O1712" i="1"/>
  <c r="O639" i="1"/>
  <c r="O1605" i="1"/>
  <c r="O1520" i="1"/>
  <c r="O345" i="1"/>
  <c r="O1713" i="1"/>
  <c r="O644" i="1"/>
  <c r="O1714" i="1"/>
  <c r="O401" i="1"/>
  <c r="O1396" i="1"/>
  <c r="O1715" i="1"/>
  <c r="O1716" i="1"/>
  <c r="O1536" i="1"/>
  <c r="O1409" i="1"/>
  <c r="O402" i="1"/>
  <c r="O383" i="1"/>
  <c r="O1399" i="1"/>
  <c r="O1632" i="1"/>
  <c r="O638" i="1"/>
  <c r="O1717" i="1"/>
  <c r="O1420" i="1"/>
  <c r="O1579" i="1"/>
  <c r="O1555" i="1"/>
  <c r="O381" i="1"/>
  <c r="O1718" i="1"/>
  <c r="O344" i="1"/>
  <c r="O1719" i="1"/>
  <c r="O1062" i="1"/>
  <c r="O1611" i="1"/>
  <c r="O758" i="1"/>
  <c r="O610" i="1"/>
  <c r="O701" i="1"/>
  <c r="O1439" i="1"/>
  <c r="O1137" i="1"/>
  <c r="O1466" i="1"/>
  <c r="O1720" i="1"/>
  <c r="O384" i="1"/>
  <c r="O1161" i="1"/>
  <c r="O385" i="1"/>
  <c r="O1721" i="1"/>
  <c r="O1533" i="1"/>
  <c r="O1722" i="1"/>
  <c r="O1564" i="1"/>
  <c r="O1534" i="1"/>
  <c r="O637" i="1"/>
  <c r="O772" i="1"/>
  <c r="O247" i="1"/>
  <c r="O1427" i="1"/>
  <c r="O1377" i="1"/>
  <c r="O712" i="1"/>
  <c r="O1512" i="1"/>
  <c r="O1630" i="1"/>
  <c r="O1560" i="1"/>
  <c r="O1386" i="1"/>
  <c r="O1407" i="1"/>
  <c r="O670" i="1"/>
  <c r="O1129" i="1"/>
  <c r="O1112" i="1"/>
  <c r="O609" i="1"/>
  <c r="O343" i="1"/>
  <c r="O1451" i="1"/>
  <c r="O1502" i="1"/>
  <c r="O246" i="1"/>
  <c r="O1366" i="1"/>
  <c r="O657" i="1"/>
  <c r="O1006" i="1"/>
  <c r="O245" i="1"/>
  <c r="O1111" i="1"/>
  <c r="O244" i="1"/>
  <c r="O1607" i="1"/>
  <c r="O342" i="1"/>
  <c r="O669" i="1"/>
  <c r="O243" i="1"/>
  <c r="O1110" i="1"/>
  <c r="O1357" i="1"/>
  <c r="O1138" i="1"/>
  <c r="O1109" i="1"/>
  <c r="O667" i="1"/>
  <c r="O1055" i="1"/>
  <c r="O407" i="1"/>
  <c r="O732" i="1"/>
  <c r="O640" i="1"/>
  <c r="O1596" i="1"/>
  <c r="O1108" i="1"/>
  <c r="O1374" i="1"/>
  <c r="O242" i="1"/>
  <c r="O1723" i="1"/>
  <c r="O1408" i="1"/>
  <c r="O1362" i="1"/>
  <c r="O341" i="1"/>
  <c r="O1545" i="1"/>
  <c r="O700" i="1"/>
  <c r="O241" i="1"/>
  <c r="O214" i="1"/>
  <c r="O1724" i="1"/>
  <c r="O1428" i="1"/>
  <c r="O1017" i="1"/>
  <c r="O1016" i="1"/>
  <c r="O340" i="1"/>
  <c r="O666" i="1"/>
  <c r="O713" i="1"/>
  <c r="O1054" i="1"/>
  <c r="O1455" i="1"/>
  <c r="O1725" i="1"/>
  <c r="O1359" i="1"/>
  <c r="O1516" i="1"/>
  <c r="O727" i="1"/>
  <c r="O1445" i="1"/>
  <c r="O1051" i="1"/>
  <c r="O339" i="1"/>
  <c r="O1361" i="1"/>
  <c r="O1392" i="1"/>
  <c r="O338" i="1"/>
  <c r="O240" i="1"/>
  <c r="O380" i="1"/>
  <c r="O1171" i="1"/>
  <c r="O1165" i="1"/>
  <c r="O239" i="1"/>
  <c r="O1603" i="1"/>
  <c r="O771" i="1"/>
  <c r="O714" i="1"/>
  <c r="O611" i="1"/>
  <c r="O1107" i="1"/>
  <c r="O337" i="1"/>
  <c r="O1173" i="1"/>
  <c r="O1570" i="1"/>
  <c r="O212" i="1"/>
  <c r="O1726" i="1"/>
  <c r="O336" i="1"/>
  <c r="O1139" i="1"/>
  <c r="O1727" i="1"/>
  <c r="O1464" i="1"/>
  <c r="O335" i="1"/>
  <c r="O409" i="1"/>
  <c r="O1728" i="1"/>
  <c r="O1729" i="1"/>
  <c r="O1166" i="1"/>
  <c r="O1373" i="1"/>
  <c r="O699" i="1"/>
  <c r="O1730" i="1"/>
  <c r="O1061" i="1"/>
  <c r="O1332" i="1"/>
  <c r="O788" i="1"/>
  <c r="O1606" i="1"/>
  <c r="O1364" i="1"/>
  <c r="O238" i="1"/>
  <c r="O334" i="1"/>
  <c r="O386" i="1"/>
  <c r="O1322" i="1"/>
  <c r="O631" i="1"/>
  <c r="O997" i="1"/>
  <c r="O752" i="1"/>
  <c r="O1461" i="1"/>
  <c r="O1495" i="1"/>
  <c r="O1446" i="1"/>
  <c r="O1731" i="1"/>
  <c r="O333" i="1"/>
  <c r="O600" i="1"/>
  <c r="O1584" i="1"/>
  <c r="O1454" i="1"/>
  <c r="O595" i="1"/>
  <c r="O1352" i="1"/>
  <c r="O332" i="1"/>
  <c r="O1363" i="1"/>
  <c r="O387" i="1"/>
  <c r="O736" i="1"/>
  <c r="O1732" i="1"/>
  <c r="O237" i="1"/>
  <c r="O1733" i="1"/>
  <c r="O1050" i="1"/>
  <c r="O410" i="1"/>
  <c r="O1734" i="1"/>
  <c r="O648" i="1"/>
  <c r="O411" i="1"/>
  <c r="O1106" i="1"/>
  <c r="O1049" i="1"/>
  <c r="O1009" i="1"/>
  <c r="O1735" i="1"/>
  <c r="O1532" i="1"/>
  <c r="O1105" i="1"/>
  <c r="O1597" i="1"/>
  <c r="O1736" i="1"/>
  <c r="O1737" i="1"/>
  <c r="O1738" i="1"/>
  <c r="O995" i="1"/>
  <c r="O1739" i="1"/>
  <c r="O1740" i="1"/>
  <c r="O1485" i="1"/>
  <c r="O994" i="1"/>
  <c r="O1741" i="1"/>
  <c r="O1742" i="1"/>
  <c r="O1743" i="1"/>
  <c r="O1548" i="1"/>
  <c r="O715" i="1"/>
  <c r="O1368" i="1"/>
  <c r="O209" i="1"/>
  <c r="O1475" i="1"/>
  <c r="O780" i="1"/>
  <c r="O1744" i="1"/>
  <c r="O698" i="1"/>
  <c r="O1745" i="1"/>
  <c r="O331" i="1"/>
  <c r="O1746" i="1"/>
  <c r="O1747" i="1"/>
  <c r="O1426" i="1"/>
  <c r="O1140" i="1"/>
  <c r="O1022" i="1"/>
  <c r="O1385" i="1"/>
  <c r="O1168" i="1"/>
  <c r="O1587" i="1"/>
  <c r="O208" i="1"/>
  <c r="O1748" i="1"/>
  <c r="O1749" i="1"/>
  <c r="O742" i="1"/>
  <c r="O1422" i="1"/>
  <c r="O1169" i="1"/>
  <c r="O207" i="1"/>
  <c r="O1750" i="1"/>
  <c r="O1751" i="1"/>
  <c r="O1376" i="1"/>
  <c r="O330" i="1"/>
  <c r="O1531" i="1"/>
  <c r="O236" i="1"/>
  <c r="O1387" i="1"/>
  <c r="O744" i="1"/>
  <c r="O235" i="1"/>
  <c r="O1379" i="1"/>
  <c r="O329" i="1"/>
  <c r="O989" i="1"/>
  <c r="O328" i="1"/>
  <c r="O601" i="1"/>
  <c r="O1104" i="1"/>
  <c r="O1752" i="1"/>
  <c r="O1541" i="1"/>
  <c r="O1753" i="1"/>
  <c r="O731" i="1"/>
  <c r="O1346" i="1"/>
  <c r="O1754" i="1"/>
  <c r="O1371" i="1"/>
  <c r="O1755" i="1"/>
  <c r="O1546" i="1"/>
  <c r="O606" i="1"/>
  <c r="O1315" i="1"/>
  <c r="O1336" i="1"/>
  <c r="O252" i="1"/>
  <c r="O1756" i="1"/>
  <c r="O1474" i="1"/>
  <c r="O697" i="1"/>
  <c r="O1757" i="1"/>
  <c r="O1758" i="1"/>
  <c r="O388" i="1"/>
  <c r="O1561" i="1"/>
  <c r="O1434" i="1"/>
  <c r="O1457" i="1"/>
  <c r="O389" i="1"/>
  <c r="O1463" i="1"/>
  <c r="O1759" i="1"/>
  <c r="O1326" i="1"/>
  <c r="O793" i="1"/>
  <c r="O1760" i="1"/>
  <c r="O1601" i="1"/>
  <c r="O1585" i="1"/>
  <c r="O1761" i="1"/>
  <c r="O1762" i="1"/>
  <c r="O1542" i="1"/>
  <c r="O1060" i="1"/>
  <c r="O1477" i="1"/>
  <c r="O1303" i="1"/>
  <c r="O620" i="1"/>
  <c r="O1307" i="1"/>
  <c r="O1048" i="1"/>
  <c r="O204" i="1"/>
  <c r="O1002" i="1"/>
  <c r="O1001" i="1"/>
  <c r="O1576" i="1"/>
  <c r="O800" i="1"/>
  <c r="O696" i="1"/>
  <c r="O784" i="1"/>
  <c r="O999" i="1"/>
  <c r="O1000" i="1"/>
  <c r="O1103" i="1"/>
  <c r="O234" i="1"/>
  <c r="O1170" i="1"/>
  <c r="O233" i="1"/>
  <c r="O1300" i="1"/>
  <c r="O1403" i="1"/>
  <c r="O1442" i="1"/>
  <c r="O1390" i="1"/>
  <c r="O750" i="1"/>
  <c r="O1429" i="1"/>
  <c r="O1043" i="1"/>
  <c r="O1330" i="1"/>
  <c r="O1187" i="1"/>
  <c r="O1356" i="1"/>
  <c r="O598" i="1"/>
  <c r="O635" i="1"/>
  <c r="O1763" i="1"/>
  <c r="O1041" i="1"/>
  <c r="O1581" i="1"/>
  <c r="O1412" i="1"/>
  <c r="O1764" i="1"/>
  <c r="O1449" i="1"/>
  <c r="O1311" i="1"/>
  <c r="O1765" i="1"/>
  <c r="O1102" i="1"/>
  <c r="O1496" i="1"/>
  <c r="O608" i="1"/>
  <c r="O390" i="1"/>
  <c r="O1766" i="1"/>
  <c r="O1767" i="1"/>
  <c r="O1101" i="1"/>
  <c r="O597" i="1"/>
  <c r="O1301" i="1"/>
  <c r="O327" i="1"/>
  <c r="O998" i="1"/>
  <c r="O607" i="1"/>
  <c r="O1490" i="1"/>
  <c r="O733" i="1"/>
  <c r="O1291" i="1"/>
  <c r="O1529" i="1"/>
  <c r="O1768" i="1"/>
  <c r="O1380" i="1"/>
  <c r="O1175" i="1"/>
  <c r="O1321" i="1"/>
  <c r="O695" i="1"/>
  <c r="O662" i="1"/>
  <c r="O1354" i="1"/>
  <c r="O1335" i="1"/>
  <c r="O1176" i="1"/>
  <c r="O615" i="1"/>
  <c r="O1323" i="1"/>
  <c r="O694" i="1"/>
  <c r="O1144" i="1"/>
  <c r="O630" i="1"/>
  <c r="O1278" i="1"/>
  <c r="O1574" i="1"/>
  <c r="O1438" i="1"/>
  <c r="O1163" i="1"/>
  <c r="O1327" i="1"/>
  <c r="O693" i="1"/>
  <c r="O1769" i="1"/>
  <c r="O1770" i="1"/>
  <c r="O1367" i="1"/>
  <c r="O1100" i="1"/>
  <c r="O790" i="1"/>
  <c r="O326" i="1"/>
  <c r="O1771" i="1"/>
  <c r="O1558" i="1"/>
  <c r="O728" i="1"/>
  <c r="O1348" i="1"/>
  <c r="O1179" i="1"/>
  <c r="O1772" i="1"/>
  <c r="O391" i="1"/>
  <c r="O1012" i="1"/>
  <c r="O792" i="1"/>
  <c r="O1573" i="1"/>
  <c r="O1274" i="1"/>
  <c r="O1435" i="1"/>
  <c r="O232" i="1"/>
  <c r="O794" i="1"/>
  <c r="O1389" i="1"/>
  <c r="O1313" i="1"/>
  <c r="O781" i="1"/>
  <c r="O231" i="1"/>
  <c r="O1058" i="1"/>
  <c r="O718" i="1"/>
  <c r="O414" i="1"/>
  <c r="O594" i="1"/>
  <c r="O1283" i="1"/>
  <c r="O1341" i="1"/>
  <c r="O325" i="1"/>
  <c r="O1773" i="1"/>
  <c r="O1147" i="1"/>
  <c r="O1774" i="1"/>
  <c r="O1333" i="1"/>
  <c r="O1775" i="1"/>
  <c r="O993" i="1"/>
  <c r="O1443" i="1"/>
  <c r="O1255" i="1"/>
  <c r="O738" i="1"/>
  <c r="O1316" i="1"/>
  <c r="O668" i="1"/>
  <c r="O392" i="1"/>
  <c r="O739" i="1"/>
  <c r="O200" i="1"/>
  <c r="O1776" i="1"/>
  <c r="O1057" i="1"/>
  <c r="O1271" i="1"/>
  <c r="O1777" i="1"/>
  <c r="O1778" i="1"/>
  <c r="O230" i="1"/>
  <c r="O807" i="1"/>
  <c r="O612" i="1"/>
  <c r="O1181" i="1"/>
  <c r="O1099" i="1"/>
  <c r="O710" i="1"/>
  <c r="O1556" i="1"/>
  <c r="O324" i="1"/>
  <c r="O692" i="1"/>
  <c r="O1098" i="1"/>
  <c r="O1779" i="1"/>
  <c r="O743" i="1"/>
  <c r="O1465" i="1"/>
  <c r="O1780" i="1"/>
  <c r="O1244" i="1"/>
  <c r="O1251" i="1"/>
  <c r="O1342" i="1"/>
  <c r="O323" i="1"/>
  <c r="O1578" i="1"/>
  <c r="O1781" i="1"/>
  <c r="O1471" i="1"/>
  <c r="O759" i="1"/>
  <c r="O1097" i="1"/>
  <c r="O745" i="1"/>
  <c r="O627" i="1"/>
  <c r="O322" i="1"/>
  <c r="O1295" i="1"/>
  <c r="O1325" i="1"/>
  <c r="O1782" i="1"/>
  <c r="O1149" i="1"/>
  <c r="O625" i="1"/>
  <c r="O1783" i="1"/>
  <c r="O656" i="1"/>
  <c r="O1784" i="1"/>
  <c r="O418" i="1"/>
  <c r="O655" i="1"/>
  <c r="O777" i="1"/>
  <c r="O764" i="1"/>
  <c r="O1182" i="1"/>
  <c r="O393" i="1"/>
  <c r="O1305" i="1"/>
  <c r="O228" i="1"/>
  <c r="O1304" i="1"/>
  <c r="O730" i="1"/>
  <c r="O778" i="1"/>
  <c r="O1338" i="1"/>
  <c r="O746" i="1"/>
  <c r="O1452" i="1"/>
  <c r="O1096" i="1"/>
  <c r="O779" i="1"/>
  <c r="O1331" i="1"/>
  <c r="O1785" i="1"/>
  <c r="O623" i="1"/>
  <c r="O804" i="1"/>
  <c r="O805" i="1"/>
  <c r="O1786" i="1"/>
  <c r="O419" i="1"/>
  <c r="O1343" i="1"/>
  <c r="O1184" i="1"/>
  <c r="O1787" i="1"/>
  <c r="O1565" i="1"/>
  <c r="O395" i="1"/>
  <c r="O1312" i="1"/>
  <c r="O396" i="1"/>
  <c r="O1788" i="1"/>
  <c r="O199" i="1"/>
  <c r="O691" i="1"/>
  <c r="O1249" i="1"/>
  <c r="O1365" i="1"/>
  <c r="O226" i="1"/>
  <c r="O1789" i="1"/>
  <c r="O1309" i="1"/>
  <c r="O1790" i="1"/>
  <c r="O225" i="1"/>
  <c r="O749" i="1"/>
  <c r="O1095" i="1"/>
  <c r="O1791" i="1"/>
  <c r="O1792" i="1"/>
  <c r="O1519" i="1"/>
  <c r="O690" i="1"/>
  <c r="O1793" i="1"/>
  <c r="O799" i="1"/>
  <c r="O224" i="1"/>
  <c r="O619" i="1"/>
  <c r="O1032" i="1"/>
  <c r="O197" i="1"/>
  <c r="O1382" i="1"/>
  <c r="O1405" i="1"/>
  <c r="O1499" i="1"/>
  <c r="O1151" i="1"/>
  <c r="O1152" i="1"/>
  <c r="O588" i="1"/>
  <c r="O1186" i="1"/>
  <c r="O1511" i="1"/>
  <c r="O1794" i="1"/>
  <c r="O1424" i="1"/>
  <c r="O420" i="1"/>
  <c r="O397" i="1"/>
  <c r="O1795" i="1"/>
  <c r="O988" i="1"/>
  <c r="O421" i="1"/>
  <c r="O1094" i="1"/>
  <c r="O689" i="1"/>
  <c r="O1796" i="1"/>
  <c r="O321" i="1"/>
  <c r="O1154" i="1"/>
  <c r="O1005" i="1"/>
  <c r="O1467" i="1"/>
  <c r="O398" i="1"/>
  <c r="O1537" i="1"/>
  <c r="O1797" i="1"/>
  <c r="O223" i="1"/>
  <c r="O422" i="1"/>
  <c r="O1030" i="1"/>
  <c r="O1491" i="1"/>
  <c r="O1798" i="1"/>
  <c r="O1799" i="1"/>
  <c r="O1029" i="1"/>
  <c r="O783" i="1"/>
  <c r="O977" i="1"/>
  <c r="O1314" i="1"/>
  <c r="O1004" i="1"/>
  <c r="O1800" i="1"/>
  <c r="O617" i="1"/>
  <c r="O687" i="1"/>
  <c r="O1093" i="1"/>
  <c r="O688" i="1"/>
  <c r="O1092" i="1"/>
  <c r="O754" i="1"/>
  <c r="O1572" i="1"/>
  <c r="O686" i="1"/>
  <c r="O599" i="1"/>
  <c r="O1801" i="1"/>
  <c r="O1262" i="1"/>
  <c r="O1026" i="1"/>
  <c r="O1298" i="1"/>
  <c r="O1497" i="1"/>
  <c r="O1398" i="1"/>
  <c r="O802" i="1"/>
  <c r="O773" i="1"/>
  <c r="O616" i="1"/>
  <c r="O1136" i="1"/>
  <c r="O1384" i="1"/>
  <c r="O1802" i="1"/>
  <c r="O320" i="1"/>
  <c r="O1091" i="1"/>
  <c r="O815" i="1"/>
  <c r="O1090" i="1"/>
  <c r="O222" i="1"/>
  <c r="O319" i="1"/>
  <c r="O1803" i="1"/>
  <c r="O1804" i="1"/>
  <c r="O572" i="1"/>
  <c r="O910" i="1"/>
  <c r="O193" i="1"/>
  <c r="O1394" i="1"/>
  <c r="O1372" i="1"/>
  <c r="O426" i="1"/>
  <c r="O984" i="1"/>
  <c r="O985" i="1"/>
  <c r="O427" i="1"/>
  <c r="O221" i="1"/>
  <c r="O1023" i="1"/>
  <c r="O1172" i="1"/>
  <c r="O1088" i="1"/>
  <c r="O1089" i="1"/>
  <c r="O1156" i="1"/>
  <c r="O605" i="1"/>
  <c r="O1157" i="1"/>
  <c r="O1805" i="1"/>
  <c r="O1806" i="1"/>
  <c r="O1188" i="1"/>
  <c r="O1388" i="1"/>
  <c r="O1347" i="1"/>
  <c r="O428" i="1"/>
  <c r="O584" i="1"/>
  <c r="O918" i="1"/>
  <c r="O400" i="1"/>
  <c r="O1159" i="1"/>
  <c r="O1160" i="1"/>
  <c r="O645" i="1"/>
  <c r="O191" i="1"/>
  <c r="O1397" i="1"/>
  <c r="O1087" i="1"/>
  <c r="O789" i="1"/>
  <c r="O983" i="1"/>
  <c r="O590" i="1"/>
  <c r="O318" i="1"/>
  <c r="O1086" i="1"/>
  <c r="O1296" i="1"/>
  <c r="O775" i="1"/>
  <c r="O1084" i="1"/>
  <c r="O1085" i="1"/>
  <c r="O1456" i="1"/>
  <c r="O1269" i="1"/>
  <c r="O1807" i="1"/>
  <c r="O1245" i="1"/>
  <c r="O1401" i="1"/>
  <c r="O1808" i="1"/>
  <c r="O1809" i="1"/>
  <c r="O1500" i="1"/>
  <c r="O317" i="1"/>
  <c r="O1810" i="1"/>
  <c r="O1189" i="1"/>
  <c r="O220" i="1"/>
  <c r="O569" i="1"/>
  <c r="O316" i="1"/>
  <c r="O432" i="1"/>
  <c r="O1308" i="1"/>
  <c r="O403" i="1"/>
  <c r="O219" i="1"/>
  <c r="O579" i="1"/>
  <c r="O404" i="1"/>
  <c r="O1462" i="1"/>
  <c r="O578" i="1"/>
  <c r="O218" i="1"/>
  <c r="O919" i="1"/>
  <c r="O433" i="1"/>
  <c r="O761" i="1"/>
  <c r="O762" i="1"/>
  <c r="O1811" i="1"/>
  <c r="O315" i="1"/>
  <c r="O314" i="1"/>
  <c r="O217" i="1"/>
  <c r="O909" i="1"/>
  <c r="O215" i="1"/>
  <c r="O216" i="1"/>
  <c r="O766" i="1"/>
  <c r="O435" i="1"/>
  <c r="O313" i="1"/>
  <c r="O796" i="1"/>
  <c r="O1383" i="1"/>
  <c r="O1448" i="1"/>
  <c r="O1812" i="1"/>
  <c r="O1284" i="1"/>
  <c r="O685" i="1"/>
  <c r="O885" i="1"/>
  <c r="O576" i="1"/>
  <c r="O1281" i="1"/>
  <c r="O405" i="1"/>
  <c r="O1302" i="1"/>
  <c r="O406" i="1"/>
  <c r="O1083" i="1"/>
  <c r="O811" i="1"/>
  <c r="O1813" i="1"/>
  <c r="O768" i="1"/>
  <c r="O251" i="1"/>
  <c r="O1517" i="1"/>
  <c r="O1273" i="1"/>
  <c r="O979" i="1"/>
  <c r="O769" i="1"/>
  <c r="O437" i="1"/>
  <c r="O901" i="1"/>
  <c r="O250" i="1"/>
  <c r="O1814" i="1"/>
  <c r="O908" i="1"/>
  <c r="O184" i="1"/>
  <c r="O906" i="1"/>
  <c r="O1393" i="1"/>
  <c r="O1082" i="1"/>
  <c r="O883" i="1"/>
  <c r="O1193" i="1"/>
  <c r="O312" i="1"/>
  <c r="O1053" i="1"/>
  <c r="O213" i="1"/>
  <c r="O1052" i="1"/>
  <c r="O408" i="1"/>
  <c r="O1411" i="1"/>
  <c r="O895" i="1"/>
  <c r="O1441" i="1"/>
  <c r="O311" i="1"/>
  <c r="O182" i="1"/>
  <c r="O439" i="1"/>
  <c r="O978" i="1"/>
  <c r="O310" i="1"/>
  <c r="O1815" i="1"/>
  <c r="O1329" i="1"/>
  <c r="O1816" i="1"/>
  <c r="O309" i="1"/>
  <c r="O1817" i="1"/>
  <c r="O1818" i="1"/>
  <c r="O589" i="1"/>
  <c r="O181" i="1"/>
  <c r="O1819" i="1"/>
  <c r="O573" i="1"/>
  <c r="O440" i="1"/>
  <c r="O915" i="1"/>
  <c r="O1820" i="1"/>
  <c r="O1821" i="1"/>
  <c r="O787" i="1"/>
  <c r="O308" i="1"/>
  <c r="O823" i="1"/>
  <c r="O211" i="1"/>
  <c r="O307" i="1"/>
  <c r="O808" i="1"/>
  <c r="O1493" i="1"/>
  <c r="O1822" i="1"/>
  <c r="O890" i="1"/>
  <c r="O774" i="1"/>
  <c r="O923" i="1"/>
  <c r="O1823" i="1"/>
  <c r="O1824" i="1"/>
  <c r="O1207" i="1"/>
  <c r="O1825" i="1"/>
  <c r="O1483" i="1"/>
  <c r="O1826" i="1"/>
  <c r="O441" i="1"/>
  <c r="O976" i="1"/>
  <c r="O921" i="1"/>
  <c r="O1198" i="1"/>
  <c r="O210" i="1"/>
  <c r="O1344" i="1"/>
  <c r="O1199" i="1"/>
  <c r="O306" i="1"/>
  <c r="O776" i="1"/>
  <c r="O1827" i="1"/>
  <c r="O1828" i="1"/>
  <c r="O1286" i="1"/>
  <c r="O1829" i="1"/>
  <c r="O1272" i="1"/>
  <c r="O1081" i="1"/>
  <c r="O1288" i="1"/>
  <c r="O1250" i="1"/>
  <c r="O1830" i="1"/>
  <c r="O1831" i="1"/>
  <c r="O896" i="1"/>
  <c r="O1480" i="1"/>
  <c r="O876" i="1"/>
  <c r="O563" i="1"/>
  <c r="O1832" i="1"/>
  <c r="O1833" i="1"/>
  <c r="O1378" i="1"/>
  <c r="O1277" i="1"/>
  <c r="O1834" i="1"/>
  <c r="O1835" i="1"/>
  <c r="O1358" i="1"/>
  <c r="O1836" i="1"/>
  <c r="O180" i="1"/>
  <c r="O887" i="1"/>
  <c r="O568" i="1"/>
  <c r="O305" i="1"/>
  <c r="O1421" i="1"/>
  <c r="O1837" i="1"/>
  <c r="O1436" i="1"/>
  <c r="O1838" i="1"/>
  <c r="O904" i="1"/>
  <c r="O905" i="1"/>
  <c r="O1473" i="1"/>
  <c r="O206" i="1"/>
  <c r="O1469" i="1"/>
  <c r="O1839" i="1"/>
  <c r="O304" i="1"/>
  <c r="O442" i="1"/>
  <c r="O973" i="1"/>
  <c r="O303" i="1"/>
  <c r="O302" i="1"/>
  <c r="O443" i="1"/>
  <c r="O1840" i="1"/>
  <c r="O1418" i="1"/>
  <c r="O1841" i="1"/>
  <c r="O1007" i="1"/>
  <c r="O1293" i="1"/>
  <c r="O1842" i="1"/>
  <c r="O817" i="1"/>
  <c r="O1391" i="1"/>
  <c r="O1843" i="1"/>
  <c r="O574" i="1"/>
  <c r="O301" i="1"/>
  <c r="O205" i="1"/>
  <c r="O412" i="1"/>
  <c r="O972" i="1"/>
  <c r="O1844" i="1"/>
  <c r="O971" i="1"/>
  <c r="O824" i="1"/>
  <c r="O1334" i="1"/>
  <c r="O684" i="1"/>
  <c r="O1328" i="1"/>
  <c r="O1257" i="1"/>
  <c r="O1279" i="1"/>
  <c r="O1845" i="1"/>
  <c r="O870" i="1"/>
  <c r="O1201" i="1"/>
  <c r="O1080" i="1"/>
  <c r="O902" i="1"/>
  <c r="O300" i="1"/>
  <c r="O1263" i="1"/>
  <c r="O1846" i="1"/>
  <c r="O1318" i="1"/>
  <c r="O880" i="1"/>
  <c r="O1350" i="1"/>
  <c r="O1003" i="1"/>
  <c r="O963" i="1"/>
  <c r="O1202" i="1"/>
  <c r="O1847" i="1"/>
  <c r="O1319" i="1"/>
  <c r="O898" i="1"/>
  <c r="O970" i="1"/>
  <c r="O1142" i="1"/>
  <c r="O1360" i="1"/>
  <c r="O1848" i="1"/>
  <c r="O1191" i="1"/>
  <c r="O1282" i="1"/>
  <c r="O179" i="1"/>
  <c r="O1248" i="1"/>
  <c r="O517" i="1"/>
  <c r="O178" i="1"/>
  <c r="O925" i="1"/>
  <c r="O961" i="1"/>
  <c r="O1203" i="1"/>
  <c r="O1260" i="1"/>
  <c r="O203" i="1"/>
  <c r="O1289" i="1"/>
  <c r="O801" i="1"/>
  <c r="O1310" i="1"/>
  <c r="O785" i="1"/>
  <c r="O878" i="1"/>
  <c r="O821" i="1"/>
  <c r="O299" i="1"/>
  <c r="O1849" i="1"/>
  <c r="O413" i="1"/>
  <c r="O1268" i="1"/>
  <c r="O968" i="1"/>
  <c r="O884" i="1"/>
  <c r="O1192" i="1"/>
  <c r="O559" i="1"/>
  <c r="O914" i="1"/>
  <c r="O1850" i="1"/>
  <c r="O632" i="1"/>
  <c r="O633" i="1"/>
  <c r="O1079" i="1"/>
  <c r="O663" i="1"/>
  <c r="O596" i="1"/>
  <c r="O1851" i="1"/>
  <c r="O959" i="1"/>
  <c r="O1174" i="1"/>
  <c r="O1297" i="1"/>
  <c r="O1852" i="1"/>
  <c r="O912" i="1"/>
  <c r="O891" i="1"/>
  <c r="O1853" i="1"/>
  <c r="O1194" i="1"/>
  <c r="O1195" i="1"/>
  <c r="O877" i="1"/>
  <c r="O803" i="1"/>
  <c r="O1854" i="1"/>
  <c r="O892" i="1"/>
  <c r="O1177" i="1"/>
  <c r="O828" i="1"/>
  <c r="O1437" i="1"/>
  <c r="O996" i="1"/>
  <c r="O1292" i="1"/>
  <c r="O1196" i="1"/>
  <c r="O1178" i="1"/>
  <c r="O1414" i="1"/>
  <c r="O298" i="1"/>
  <c r="O1285" i="1"/>
  <c r="O1369" i="1"/>
  <c r="O1254" i="1"/>
  <c r="O1294" i="1"/>
  <c r="O202" i="1"/>
  <c r="O868" i="1"/>
  <c r="O795" i="1"/>
  <c r="O628" i="1"/>
  <c r="O1078" i="1"/>
  <c r="O683" i="1"/>
  <c r="O1413" i="1"/>
  <c r="O1416" i="1"/>
  <c r="O1267" i="1"/>
  <c r="O806" i="1"/>
  <c r="O911" i="1"/>
  <c r="O659" i="1"/>
  <c r="O1855" i="1"/>
  <c r="O582" i="1"/>
  <c r="O1395" i="1"/>
  <c r="O562" i="1"/>
  <c r="O201" i="1"/>
  <c r="O1856" i="1"/>
  <c r="O415" i="1"/>
  <c r="O1180" i="1"/>
  <c r="O658" i="1"/>
  <c r="O992" i="1"/>
  <c r="O1381" i="1"/>
  <c r="O1324" i="1"/>
  <c r="O1148" i="1"/>
  <c r="O1410" i="1"/>
  <c r="O882" i="1"/>
  <c r="O1351" i="1"/>
  <c r="O1287" i="1"/>
  <c r="O174" i="1"/>
  <c r="O991" i="1"/>
  <c r="O416" i="1"/>
  <c r="O504" i="1"/>
  <c r="O830" i="1"/>
  <c r="O173" i="1"/>
  <c r="O447" i="1"/>
  <c r="O499" i="1"/>
  <c r="O604" i="1"/>
  <c r="O913" i="1"/>
  <c r="O1857" i="1"/>
  <c r="O297" i="1"/>
  <c r="O958" i="1"/>
  <c r="O1320" i="1"/>
  <c r="O1256" i="1"/>
  <c r="O966" i="1"/>
  <c r="O1858" i="1"/>
  <c r="O1859" i="1"/>
  <c r="O1261" i="1"/>
  <c r="O990" i="1"/>
  <c r="O296" i="1"/>
  <c r="O417" i="1"/>
  <c r="O1860" i="1"/>
  <c r="O1375" i="1"/>
  <c r="O1447" i="1"/>
  <c r="O295" i="1"/>
  <c r="O1197" i="1"/>
  <c r="O797" i="1"/>
  <c r="O1077" i="1"/>
  <c r="O560" i="1"/>
  <c r="O1433" i="1"/>
  <c r="O1861" i="1"/>
  <c r="O1317" i="1"/>
  <c r="O1339" i="1"/>
  <c r="O874" i="1"/>
  <c r="O591" i="1"/>
  <c r="O172" i="1"/>
  <c r="O294" i="1"/>
  <c r="O1266" i="1"/>
  <c r="O1035" i="1"/>
  <c r="O448" i="1"/>
  <c r="O682" i="1"/>
  <c r="O1258" i="1"/>
  <c r="O171" i="1"/>
  <c r="O1862" i="1"/>
  <c r="O624" i="1"/>
  <c r="O1370" i="1"/>
  <c r="O1863" i="1"/>
  <c r="O1864" i="1"/>
  <c r="O964" i="1"/>
  <c r="O922" i="1"/>
  <c r="O293" i="1"/>
  <c r="O1183" i="1"/>
  <c r="O1076" i="1"/>
  <c r="O1865" i="1"/>
  <c r="O809" i="1"/>
  <c r="O1866" i="1"/>
  <c r="O1353" i="1"/>
  <c r="O622" i="1"/>
  <c r="O501" i="1"/>
  <c r="O1867" i="1"/>
  <c r="O515" i="1"/>
  <c r="O810" i="1"/>
  <c r="O747" i="1"/>
  <c r="O552" i="1"/>
  <c r="O1075" i="1"/>
  <c r="O170" i="1"/>
  <c r="O903" i="1"/>
  <c r="O483" i="1"/>
  <c r="O1868" i="1"/>
  <c r="O652" i="1"/>
  <c r="O492" i="1"/>
  <c r="O831" i="1"/>
  <c r="O198" i="1"/>
  <c r="O1264" i="1"/>
  <c r="O681" i="1"/>
  <c r="O962" i="1"/>
  <c r="O1185" i="1"/>
  <c r="O722" i="1"/>
  <c r="O1252" i="1"/>
  <c r="O1869" i="1"/>
  <c r="O557" i="1"/>
  <c r="O196" i="1"/>
  <c r="O1870" i="1"/>
  <c r="O1419" i="1"/>
  <c r="O1871" i="1"/>
  <c r="O195" i="1"/>
  <c r="O826" i="1"/>
  <c r="O1345" i="1"/>
  <c r="O485" i="1"/>
  <c r="O1872" i="1"/>
  <c r="O1873" i="1"/>
  <c r="O565" i="1"/>
  <c r="O753" i="1"/>
  <c r="O1031" i="1"/>
  <c r="O1210" i="1"/>
  <c r="O423" i="1"/>
  <c r="O1874" i="1"/>
  <c r="O1247" i="1"/>
  <c r="O782" i="1"/>
  <c r="O987" i="1"/>
  <c r="O474" i="1"/>
  <c r="O292" i="1"/>
  <c r="O507" i="1"/>
  <c r="O1875" i="1"/>
  <c r="O1876" i="1"/>
  <c r="O194" i="1"/>
  <c r="O1877" i="1"/>
  <c r="O1878" i="1"/>
  <c r="O424" i="1"/>
  <c r="O907" i="1"/>
  <c r="O556" i="1"/>
  <c r="O168" i="1"/>
  <c r="O564" i="1"/>
  <c r="O1025" i="1"/>
  <c r="O1879" i="1"/>
  <c r="O614" i="1"/>
  <c r="O1880" i="1"/>
  <c r="O1024" i="1"/>
  <c r="O816" i="1"/>
  <c r="O756" i="1"/>
  <c r="O425" i="1"/>
  <c r="O1881" i="1"/>
  <c r="O1882" i="1"/>
  <c r="O139" i="1"/>
  <c r="O879" i="1"/>
  <c r="O916" i="1"/>
  <c r="O1883" i="1"/>
  <c r="O1205" i="1"/>
  <c r="O487" i="1"/>
  <c r="O829" i="1"/>
  <c r="O1884" i="1"/>
  <c r="O291" i="1"/>
  <c r="O646" i="1"/>
  <c r="O969" i="1"/>
  <c r="O585" i="1"/>
  <c r="O475" i="1"/>
  <c r="O290" i="1"/>
  <c r="O1885" i="1"/>
  <c r="O166" i="1"/>
  <c r="O1021" i="1"/>
  <c r="O1020" i="1"/>
  <c r="O1886" i="1"/>
  <c r="O192" i="1"/>
  <c r="O484" i="1"/>
  <c r="O289" i="1"/>
  <c r="O786" i="1"/>
  <c r="O429" i="1"/>
  <c r="O1887" i="1"/>
  <c r="O190" i="1"/>
  <c r="O165" i="1"/>
  <c r="O500" i="1"/>
  <c r="O1888" i="1"/>
  <c r="O982" i="1"/>
  <c r="O1889" i="1"/>
  <c r="O430" i="1"/>
  <c r="O871" i="1"/>
  <c r="O1890" i="1"/>
  <c r="O1891" i="1"/>
  <c r="O570" i="1"/>
  <c r="O1253" i="1"/>
  <c r="O431" i="1"/>
  <c r="O924" i="1"/>
  <c r="O1892" i="1"/>
  <c r="O494" i="1"/>
  <c r="O1212" i="1"/>
  <c r="O1206" i="1"/>
  <c r="O189" i="1"/>
  <c r="O1893" i="1"/>
  <c r="O288" i="1"/>
  <c r="O522" i="1"/>
  <c r="O791" i="1"/>
  <c r="O493" i="1"/>
  <c r="O1894" i="1"/>
  <c r="O920" i="1"/>
  <c r="O549" i="1"/>
  <c r="O451" i="1"/>
  <c r="O760" i="1"/>
  <c r="O1895" i="1"/>
  <c r="O1896" i="1"/>
  <c r="O129" i="1"/>
  <c r="O434" i="1"/>
  <c r="O894" i="1"/>
  <c r="O1018" i="1"/>
  <c r="O478" i="1"/>
  <c r="O287" i="1"/>
  <c r="O188" i="1"/>
  <c r="O643" i="1"/>
  <c r="O452" i="1"/>
  <c r="O900" i="1"/>
  <c r="O956" i="1"/>
  <c r="O187" i="1"/>
  <c r="O1897" i="1"/>
  <c r="O1898" i="1"/>
  <c r="O502" i="1"/>
  <c r="O980" i="1"/>
  <c r="O981" i="1"/>
  <c r="O1899" i="1"/>
  <c r="O680" i="1"/>
  <c r="O436" i="1"/>
  <c r="O1190" i="1"/>
  <c r="O186" i="1"/>
  <c r="O1900" i="1"/>
  <c r="O577" i="1"/>
  <c r="O967" i="1"/>
  <c r="O185" i="1"/>
  <c r="O285" i="1"/>
  <c r="O286" i="1"/>
  <c r="O1901" i="1"/>
  <c r="O512" i="1"/>
  <c r="O1902" i="1"/>
  <c r="O641" i="1"/>
  <c r="O513" i="1"/>
  <c r="O567" i="1"/>
  <c r="O489" i="1"/>
  <c r="O481" i="1"/>
  <c r="O1074" i="1"/>
  <c r="O453" i="1"/>
  <c r="O479" i="1"/>
  <c r="O117" i="1"/>
  <c r="O488" i="1"/>
  <c r="O506" i="1"/>
  <c r="O566" i="1"/>
  <c r="O497" i="1"/>
  <c r="O491" i="1"/>
  <c r="O955" i="1"/>
  <c r="O1270" i="1"/>
  <c r="O249" i="1"/>
  <c r="O926" i="1"/>
  <c r="O1903" i="1"/>
  <c r="O944" i="1"/>
  <c r="O476" i="1"/>
  <c r="O1904" i="1"/>
  <c r="O965" i="1"/>
  <c r="O1337" i="1"/>
  <c r="O482" i="1"/>
  <c r="O1275" i="1"/>
  <c r="O284" i="1"/>
  <c r="O123" i="1"/>
  <c r="O558" i="1"/>
  <c r="O833" i="1"/>
  <c r="O1218" i="1"/>
  <c r="O283" i="1"/>
  <c r="O1905" i="1"/>
  <c r="O503" i="1"/>
  <c r="O1214" i="1"/>
  <c r="O545" i="1"/>
  <c r="O813" i="1"/>
  <c r="O1906" i="1"/>
  <c r="O163" i="1"/>
  <c r="O131" i="1"/>
  <c r="O505" i="1"/>
  <c r="O1907" i="1"/>
  <c r="O183" i="1"/>
  <c r="O471" i="1"/>
  <c r="O454" i="1"/>
  <c r="O438" i="1"/>
  <c r="O1164" i="1"/>
  <c r="O121" i="1"/>
  <c r="O1908" i="1"/>
  <c r="O953" i="1"/>
  <c r="O132" i="1"/>
  <c r="O872" i="1"/>
  <c r="O498" i="1"/>
  <c r="O951" i="1"/>
  <c r="O1355" i="1"/>
  <c r="O112" i="1"/>
  <c r="O111" i="1"/>
  <c r="O950" i="1"/>
  <c r="O162" i="1"/>
  <c r="O1208" i="1"/>
  <c r="O1259" i="1"/>
  <c r="O528" i="1"/>
  <c r="O1306" i="1"/>
  <c r="O108" i="1"/>
  <c r="O1909" i="1"/>
  <c r="O886" i="1"/>
  <c r="O1910" i="1"/>
  <c r="O1167" i="1"/>
  <c r="O523" i="1"/>
  <c r="O571" i="1"/>
  <c r="O555" i="1"/>
  <c r="O889" i="1"/>
  <c r="O1911" i="1"/>
  <c r="O836" i="1"/>
  <c r="O120" i="1"/>
  <c r="O1280" i="1"/>
  <c r="O455" i="1"/>
  <c r="O960" i="1"/>
  <c r="O1912" i="1"/>
  <c r="O122" i="1"/>
  <c r="O1299" i="1"/>
  <c r="O679" i="1"/>
  <c r="O282" i="1"/>
  <c r="O1349" i="1"/>
  <c r="O457" i="1"/>
  <c r="O161" i="1"/>
  <c r="O520" i="1"/>
  <c r="O1216" i="1"/>
  <c r="O1913" i="1"/>
  <c r="O678" i="1"/>
  <c r="O1914" i="1"/>
  <c r="O496" i="1"/>
  <c r="O516" i="1"/>
  <c r="O602" i="1"/>
  <c r="O603" i="1"/>
  <c r="O974" i="1"/>
  <c r="O975" i="1"/>
  <c r="O839" i="1"/>
  <c r="O105" i="1"/>
  <c r="O948" i="1"/>
  <c r="O832" i="1"/>
  <c r="O866" i="1"/>
  <c r="O486" i="1"/>
  <c r="O1915" i="1"/>
  <c r="O586" i="1"/>
  <c r="O1340" i="1"/>
  <c r="O1916" i="1"/>
  <c r="O844" i="1"/>
  <c r="O1211" i="1"/>
  <c r="O1917" i="1"/>
  <c r="O1918" i="1"/>
  <c r="O281" i="1"/>
  <c r="O97" i="1"/>
  <c r="O511" i="1"/>
  <c r="O548" i="1"/>
  <c r="O1919" i="1"/>
  <c r="O98" i="1"/>
  <c r="O509" i="1"/>
  <c r="O508" i="1"/>
  <c r="O897" i="1"/>
  <c r="O1008" i="1"/>
  <c r="O1920" i="1"/>
  <c r="O521" i="1"/>
  <c r="O94" i="1"/>
  <c r="O480" i="1"/>
  <c r="O846" i="1"/>
  <c r="O280" i="1"/>
  <c r="O130" i="1"/>
  <c r="O444" i="1"/>
  <c r="O1217" i="1"/>
  <c r="O160" i="1"/>
  <c r="O842" i="1"/>
  <c r="O888" i="1"/>
  <c r="O636" i="1"/>
  <c r="O119" i="1"/>
  <c r="O279" i="1"/>
  <c r="O869" i="1"/>
  <c r="O1073" i="1"/>
  <c r="O104" i="1"/>
  <c r="O159" i="1"/>
  <c r="O1921" i="1"/>
  <c r="O1922" i="1"/>
  <c r="O1213" i="1"/>
  <c r="O838" i="1"/>
  <c r="O820" i="1"/>
  <c r="O1923" i="1"/>
  <c r="O1265" i="1"/>
  <c r="O278" i="1"/>
  <c r="O1276" i="1"/>
  <c r="O677" i="1"/>
  <c r="O277" i="1"/>
  <c r="O445" i="1"/>
  <c r="O843" i="1"/>
  <c r="O276" i="1"/>
  <c r="O1290" i="1"/>
  <c r="O89" i="1"/>
  <c r="O1924" i="1"/>
  <c r="O107" i="1"/>
  <c r="O1221" i="1"/>
  <c r="O177" i="1"/>
  <c r="O1925" i="1"/>
  <c r="O822" i="1"/>
  <c r="O92" i="1"/>
  <c r="O275" i="1"/>
  <c r="O812" i="1"/>
  <c r="O1072" i="1"/>
  <c r="O86" i="1"/>
  <c r="O446" i="1"/>
  <c r="O158" i="1"/>
  <c r="O954" i="1"/>
  <c r="O113" i="1"/>
  <c r="O1227" i="1"/>
  <c r="O543" i="1"/>
  <c r="O1926" i="1"/>
  <c r="O676" i="1"/>
  <c r="O1927" i="1"/>
  <c r="O873" i="1"/>
  <c r="O124" i="1"/>
  <c r="O1928" i="1"/>
  <c r="O541" i="1"/>
  <c r="O847" i="1"/>
  <c r="O91" i="1"/>
  <c r="O274" i="1"/>
  <c r="O176" i="1"/>
  <c r="O1223" i="1"/>
  <c r="O101" i="1"/>
  <c r="O942" i="1"/>
  <c r="O459" i="1"/>
  <c r="O81" i="1"/>
  <c r="O175" i="1"/>
  <c r="O561" i="1"/>
  <c r="O863" i="1"/>
  <c r="O741" i="1"/>
  <c r="O1071" i="1"/>
  <c r="O116" i="1"/>
  <c r="O156" i="1"/>
  <c r="O1929" i="1"/>
  <c r="O592" i="1"/>
  <c r="O538" i="1"/>
  <c r="O1930" i="1"/>
  <c r="O118" i="1"/>
  <c r="O103" i="1"/>
  <c r="O490" i="1"/>
  <c r="O128" i="1"/>
  <c r="O881" i="1"/>
  <c r="O115" i="1"/>
  <c r="O1070" i="1"/>
  <c r="O461" i="1"/>
  <c r="O1931" i="1"/>
  <c r="O551" i="1"/>
  <c r="O798" i="1"/>
  <c r="O825" i="1"/>
  <c r="O893" i="1"/>
  <c r="O169" i="1"/>
  <c r="O127" i="1"/>
  <c r="O848" i="1"/>
  <c r="O273" i="1"/>
  <c r="O95" i="1"/>
  <c r="O449" i="1"/>
  <c r="O1932" i="1"/>
  <c r="O945" i="1"/>
  <c r="O1233" i="1"/>
  <c r="O1234" i="1"/>
  <c r="O87" i="1"/>
  <c r="O587" i="1"/>
  <c r="O1063" i="1"/>
  <c r="O1933" i="1"/>
  <c r="O1934" i="1"/>
  <c r="O818" i="1"/>
  <c r="O85" i="1"/>
  <c r="O272" i="1"/>
  <c r="O519" i="1"/>
  <c r="O834" i="1"/>
  <c r="O153" i="1"/>
  <c r="O93" i="1"/>
  <c r="O1935" i="1"/>
  <c r="O510" i="1"/>
  <c r="O167" i="1"/>
  <c r="O539" i="1"/>
  <c r="O100" i="1"/>
  <c r="O1220" i="1"/>
  <c r="O1936" i="1"/>
  <c r="O152" i="1"/>
  <c r="O550" i="1"/>
  <c r="O917" i="1"/>
  <c r="O536" i="1"/>
  <c r="O986" i="1"/>
  <c r="O1937" i="1"/>
  <c r="O450" i="1"/>
  <c r="O150" i="1"/>
  <c r="O849" i="1"/>
  <c r="O1938" i="1"/>
  <c r="O1939" i="1"/>
  <c r="O82" i="1"/>
  <c r="O1940" i="1"/>
  <c r="O271" i="1"/>
  <c r="O757" i="1"/>
  <c r="O583" i="1"/>
  <c r="O1069" i="1"/>
  <c r="O96" i="1"/>
  <c r="O941" i="1"/>
  <c r="O1941" i="1"/>
  <c r="O102" i="1"/>
  <c r="O1942" i="1"/>
  <c r="O69" i="1"/>
  <c r="O532" i="1"/>
  <c r="O580" i="1"/>
  <c r="O581" i="1"/>
  <c r="O1943" i="1"/>
  <c r="O462" i="1"/>
  <c r="O940" i="1"/>
  <c r="O114" i="1"/>
  <c r="O957" i="1"/>
  <c r="O840" i="1"/>
  <c r="O133" i="1"/>
  <c r="O1944" i="1"/>
  <c r="O524" i="1"/>
  <c r="O70" i="1"/>
  <c r="O537" i="1"/>
  <c r="O853" i="1"/>
  <c r="O148" i="1"/>
  <c r="O78" i="1"/>
  <c r="O535" i="1"/>
  <c r="O1068" i="1"/>
  <c r="O851" i="1"/>
  <c r="O553" i="1"/>
  <c r="O554" i="1"/>
  <c r="O1945" i="1"/>
  <c r="O1946" i="1"/>
  <c r="O852" i="1"/>
  <c r="O77" i="1"/>
  <c r="O1947" i="1"/>
  <c r="O83" i="1"/>
  <c r="O546" i="1"/>
  <c r="O270" i="1"/>
  <c r="O1948" i="1"/>
  <c r="O75" i="1"/>
  <c r="O164" i="1"/>
  <c r="O147" i="1"/>
  <c r="O269" i="1"/>
  <c r="O1949" i="1"/>
  <c r="O268" i="1"/>
  <c r="O62" i="1"/>
  <c r="O267" i="1"/>
  <c r="O939" i="1"/>
  <c r="O1232" i="1"/>
  <c r="O938" i="1"/>
  <c r="O1235" i="1"/>
  <c r="O1225" i="1"/>
  <c r="O110" i="1"/>
  <c r="O79" i="1"/>
  <c r="O126" i="1"/>
  <c r="O952" i="1"/>
  <c r="O1215" i="1"/>
  <c r="O949" i="1"/>
  <c r="O575" i="1"/>
  <c r="O146" i="1"/>
  <c r="O899" i="1"/>
  <c r="O266" i="1"/>
  <c r="O932" i="1"/>
  <c r="O1950" i="1"/>
  <c r="O145" i="1"/>
  <c r="O106" i="1"/>
  <c r="O265" i="1"/>
  <c r="O109" i="1"/>
  <c r="O937" i="1"/>
  <c r="O837" i="1"/>
  <c r="O456" i="1"/>
  <c r="O458" i="1"/>
  <c r="O947" i="1"/>
  <c r="O80" i="1"/>
  <c r="O1951" i="1"/>
  <c r="O1200" i="1"/>
  <c r="O946" i="1"/>
  <c r="O1952" i="1"/>
  <c r="O845" i="1"/>
  <c r="O264" i="1"/>
  <c r="O1953" i="1"/>
  <c r="O144" i="1"/>
  <c r="O143" i="1"/>
  <c r="O53" i="1"/>
  <c r="O63" i="1"/>
  <c r="O841" i="1"/>
  <c r="O142" i="1"/>
  <c r="O68" i="1"/>
  <c r="O263" i="1"/>
  <c r="O262" i="1"/>
  <c r="O850" i="1"/>
  <c r="O261" i="1"/>
  <c r="O1954" i="1"/>
  <c r="O1219" i="1"/>
  <c r="O819" i="1"/>
  <c r="O514" i="1"/>
  <c r="O857" i="1"/>
  <c r="O1955" i="1"/>
  <c r="O57" i="1"/>
  <c r="O875" i="1"/>
  <c r="O931" i="1"/>
  <c r="O1204" i="1"/>
  <c r="O52" i="1"/>
  <c r="O518" i="1"/>
  <c r="O858" i="1"/>
  <c r="O675" i="1"/>
  <c r="O67" i="1"/>
  <c r="O1956" i="1"/>
  <c r="O125" i="1"/>
  <c r="O1238" i="1"/>
  <c r="O1222" i="1"/>
  <c r="O465" i="1"/>
  <c r="O1957" i="1"/>
  <c r="O1958" i="1"/>
  <c r="O542" i="1"/>
  <c r="O1959" i="1"/>
  <c r="O835" i="1"/>
  <c r="O943" i="1"/>
  <c r="O593" i="1"/>
  <c r="O540" i="1"/>
  <c r="O854" i="1"/>
  <c r="O855" i="1"/>
  <c r="O260" i="1"/>
  <c r="O466" i="1"/>
  <c r="O1960" i="1"/>
  <c r="O467" i="1"/>
  <c r="O72" i="1"/>
  <c r="O157" i="1"/>
  <c r="O59" i="1"/>
  <c r="O1961" i="1"/>
  <c r="O55" i="1"/>
  <c r="O140" i="1"/>
  <c r="O460" i="1"/>
  <c r="O47" i="1"/>
  <c r="O155" i="1"/>
  <c r="O468" i="1"/>
  <c r="O936" i="1"/>
  <c r="O1067" i="1"/>
  <c r="O56" i="1"/>
  <c r="O90" i="1"/>
  <c r="O674" i="1"/>
  <c r="O547" i="1"/>
  <c r="O88" i="1"/>
  <c r="O1226" i="1"/>
  <c r="O1209" i="1"/>
  <c r="O495" i="1"/>
  <c r="O44" i="1"/>
  <c r="O1962" i="1"/>
  <c r="O934" i="1"/>
  <c r="O529" i="1"/>
  <c r="O60" i="1"/>
  <c r="O1240" i="1"/>
  <c r="O259" i="1"/>
  <c r="O154" i="1"/>
  <c r="O1963" i="1"/>
  <c r="O73" i="1"/>
  <c r="O1964" i="1"/>
  <c r="O74" i="1"/>
  <c r="O1965" i="1"/>
  <c r="O54" i="1"/>
  <c r="O827" i="1"/>
  <c r="O151" i="1"/>
  <c r="O61" i="1"/>
  <c r="O1966" i="1"/>
  <c r="O929" i="1"/>
  <c r="O1228" i="1"/>
  <c r="O1967" i="1"/>
  <c r="O46" i="1"/>
  <c r="O544" i="1"/>
  <c r="O1968" i="1"/>
  <c r="O99" i="1"/>
  <c r="O37" i="1"/>
  <c r="O1969" i="1"/>
  <c r="O149" i="1"/>
  <c r="O379" i="1"/>
  <c r="O36" i="1"/>
  <c r="O76" i="1"/>
  <c r="O248" i="1"/>
  <c r="O673" i="1"/>
  <c r="O84" i="1"/>
  <c r="O463" i="1"/>
  <c r="O1970" i="1"/>
  <c r="O530" i="1"/>
  <c r="O257" i="1"/>
  <c r="O258" i="1"/>
  <c r="O527" i="1"/>
  <c r="O1231" i="1"/>
  <c r="O1242" i="1"/>
  <c r="O859" i="1"/>
  <c r="O49" i="1"/>
  <c r="O1971" i="1"/>
  <c r="O51" i="1"/>
  <c r="O256" i="1"/>
  <c r="O1239" i="1"/>
  <c r="O66" i="1"/>
  <c r="O1972" i="1"/>
  <c r="O1973" i="1"/>
  <c r="O1974" i="1"/>
  <c r="O814" i="1"/>
  <c r="O138" i="1"/>
  <c r="O33" i="1"/>
  <c r="O137" i="1"/>
  <c r="O43" i="1"/>
  <c r="O533" i="1"/>
  <c r="O45" i="1"/>
  <c r="O464" i="1"/>
  <c r="O531" i="1"/>
  <c r="O928" i="1"/>
  <c r="O1975" i="1"/>
  <c r="O927" i="1"/>
  <c r="O526" i="1"/>
  <c r="O935" i="1"/>
  <c r="O1241" i="1"/>
  <c r="O1066" i="1"/>
  <c r="O860" i="1"/>
  <c r="O1236" i="1"/>
  <c r="O48" i="1"/>
  <c r="O1237" i="1"/>
  <c r="O39" i="1"/>
  <c r="O856" i="1"/>
  <c r="O1243" i="1"/>
  <c r="O861" i="1"/>
  <c r="O141" i="1"/>
  <c r="O470" i="1"/>
  <c r="O933" i="1"/>
  <c r="O1065" i="1"/>
  <c r="O34" i="1"/>
  <c r="O1976" i="1"/>
  <c r="O255" i="1"/>
  <c r="O1224" i="1"/>
  <c r="O1977" i="1"/>
  <c r="O28" i="1"/>
  <c r="O1978" i="1"/>
  <c r="O136" i="1"/>
  <c r="O41" i="1"/>
  <c r="O469" i="1"/>
  <c r="O1979" i="1"/>
  <c r="O32" i="1"/>
  <c r="O35" i="1"/>
  <c r="O64" i="1"/>
  <c r="O27" i="1"/>
  <c r="O135" i="1"/>
  <c r="O40" i="1"/>
  <c r="O58" i="1"/>
  <c r="O1229" i="1"/>
  <c r="O1230" i="1"/>
  <c r="O473" i="1"/>
  <c r="O930" i="1"/>
  <c r="O71" i="1"/>
  <c r="O534" i="1"/>
  <c r="O1064" i="1"/>
  <c r="O38" i="1"/>
  <c r="O525" i="1"/>
  <c r="O864" i="1"/>
  <c r="O29" i="1"/>
  <c r="O65" i="1"/>
  <c r="O865" i="1"/>
  <c r="O30" i="1"/>
  <c r="O26" i="1"/>
  <c r="O1980" i="1"/>
  <c r="O23" i="1"/>
  <c r="O50" i="1"/>
  <c r="O21" i="1"/>
  <c r="O31" i="1"/>
  <c r="O25" i="1"/>
  <c r="O862" i="1"/>
  <c r="O1981" i="1"/>
  <c r="O42" i="1"/>
  <c r="O1246" i="1"/>
  <c r="O472" i="1"/>
  <c r="O22" i="1"/>
  <c r="O134" i="1"/>
  <c r="O867" i="1"/>
  <c r="O254" i="1"/>
  <c r="O477" i="1"/>
  <c r="O19" i="1"/>
  <c r="O20" i="1"/>
  <c r="O18" i="1"/>
  <c r="O24" i="1"/>
  <c r="O17" i="1"/>
  <c r="O16" i="1"/>
  <c r="O15" i="1"/>
  <c r="O14" i="1"/>
  <c r="O12" i="1"/>
  <c r="O13" i="1"/>
  <c r="O11" i="1"/>
  <c r="O9" i="1"/>
  <c r="O10" i="1"/>
  <c r="O8" i="1"/>
  <c r="O6" i="1"/>
  <c r="O7" i="1"/>
  <c r="O4" i="1"/>
  <c r="O3" i="1"/>
  <c r="O5" i="1"/>
  <c r="O2" i="1"/>
  <c r="M1914" i="1"/>
  <c r="M6" i="1"/>
  <c r="M878" i="1"/>
  <c r="M1299" i="1"/>
  <c r="M1499" i="1"/>
  <c r="M1579" i="1"/>
  <c r="M1543" i="1"/>
  <c r="M1856" i="1"/>
  <c r="M1027" i="1"/>
  <c r="M184" i="1"/>
  <c r="M144" i="1"/>
  <c r="M1901" i="1"/>
  <c r="M493" i="1"/>
  <c r="M1357" i="1"/>
  <c r="M1870" i="1"/>
  <c r="M494" i="1"/>
  <c r="M345" i="1"/>
  <c r="M764" i="1"/>
  <c r="M1323" i="1"/>
  <c r="M576" i="1"/>
  <c r="M1752" i="1"/>
  <c r="M394" i="1"/>
  <c r="M1337" i="1"/>
  <c r="M591" i="1"/>
  <c r="M215" i="1"/>
  <c r="M1066" i="1"/>
  <c r="M24" i="1"/>
  <c r="M198" i="1"/>
  <c r="M5" i="1"/>
  <c r="M1548" i="1"/>
  <c r="M210" i="1"/>
  <c r="M1895" i="1"/>
  <c r="M1366" i="1"/>
  <c r="M1073" i="1"/>
  <c r="M1015" i="1"/>
  <c r="M796" i="1"/>
  <c r="M1347" i="1"/>
  <c r="M870" i="1"/>
  <c r="M1425" i="1"/>
  <c r="M772" i="1"/>
  <c r="M1896" i="1"/>
  <c r="M1439" i="1"/>
  <c r="M329" i="1"/>
  <c r="M495" i="1"/>
  <c r="M830" i="1"/>
  <c r="M1245" i="1"/>
  <c r="M1238" i="1"/>
  <c r="M150" i="1"/>
  <c r="M410" i="1"/>
  <c r="M578" i="1"/>
  <c r="M1609" i="1"/>
  <c r="M1971" i="1"/>
  <c r="M848" i="1"/>
  <c r="M717" i="1"/>
  <c r="M1766" i="1"/>
  <c r="M1491" i="1"/>
  <c r="M908" i="1"/>
  <c r="M1135" i="1"/>
  <c r="M1717" i="1"/>
  <c r="M1760" i="1"/>
  <c r="M8" i="1"/>
  <c r="M1207" i="1"/>
  <c r="M996" i="1"/>
  <c r="M1068" i="1"/>
  <c r="M1440" i="1"/>
  <c r="M1145" i="1"/>
  <c r="M1109" i="1"/>
  <c r="M203" i="1"/>
  <c r="M985" i="1"/>
  <c r="M1063" i="1"/>
  <c r="M1242" i="1"/>
  <c r="M720" i="1"/>
  <c r="M1788" i="1"/>
  <c r="M1476" i="1"/>
  <c r="M656" i="1"/>
  <c r="M761" i="1"/>
  <c r="M674" i="1"/>
  <c r="M431" i="1"/>
  <c r="M36" i="1"/>
  <c r="M441" i="1"/>
  <c r="M1012" i="1"/>
  <c r="M479" i="1"/>
  <c r="M37" i="1"/>
  <c r="M1743" i="1"/>
  <c r="M1141" i="1"/>
  <c r="M713" i="1"/>
  <c r="M1513" i="1"/>
  <c r="M829" i="1"/>
  <c r="M1644" i="1"/>
  <c r="M1188" i="1"/>
  <c r="M1849" i="1"/>
  <c r="M668" i="1"/>
  <c r="M556" i="1"/>
  <c r="M1916" i="1"/>
  <c r="M747" i="1"/>
  <c r="M1264" i="1"/>
  <c r="M1078" i="1"/>
  <c r="M1326" i="1"/>
  <c r="M348" i="1"/>
  <c r="M866" i="1"/>
  <c r="M224" i="1"/>
  <c r="M276" i="1"/>
  <c r="M788" i="1"/>
  <c r="M998" i="1"/>
  <c r="M1585" i="1"/>
  <c r="M1891" i="1"/>
  <c r="M1006" i="1"/>
  <c r="M1975" i="1"/>
  <c r="M633" i="1"/>
  <c r="M1045" i="1"/>
  <c r="M549" i="1"/>
  <c r="M69" i="1"/>
  <c r="M1502" i="1"/>
  <c r="M855" i="1"/>
  <c r="M1831" i="1"/>
  <c r="M508" i="1"/>
  <c r="M1040" i="1"/>
  <c r="M1445" i="1"/>
  <c r="M1424" i="1"/>
  <c r="M795" i="1"/>
  <c r="M1660" i="1"/>
  <c r="M778" i="1"/>
  <c r="M517" i="1"/>
  <c r="M1907" i="1"/>
  <c r="M812" i="1"/>
  <c r="M666" i="1"/>
  <c r="M274" i="1"/>
  <c r="M1290" i="1"/>
  <c r="M1269" i="1"/>
  <c r="M965" i="1"/>
  <c r="M984" i="1"/>
  <c r="M66" i="1"/>
  <c r="M1253" i="1"/>
  <c r="M859" i="1"/>
  <c r="M362" i="1"/>
  <c r="M1794" i="1"/>
  <c r="M1722" i="1"/>
  <c r="M388" i="1"/>
  <c r="M708" i="1"/>
  <c r="M459" i="1"/>
  <c r="M1375" i="1"/>
  <c r="M1376" i="1"/>
  <c r="M1695" i="1"/>
  <c r="M527" i="1"/>
  <c r="M1179" i="1"/>
  <c r="M1051" i="1"/>
  <c r="M1226" i="1"/>
  <c r="M1279" i="1"/>
  <c r="M132" i="1"/>
  <c r="M1324" i="1"/>
  <c r="M258" i="1"/>
  <c r="M894" i="1"/>
  <c r="M1959" i="1"/>
  <c r="M116" i="1"/>
  <c r="M1233" i="1"/>
  <c r="M1761" i="1"/>
  <c r="M781" i="1"/>
  <c r="M1415" i="1"/>
  <c r="M1177" i="1"/>
  <c r="M703" i="1"/>
  <c r="M114" i="1"/>
  <c r="M1894" i="1"/>
  <c r="M626" i="1"/>
  <c r="M335" i="1"/>
  <c r="M942" i="1"/>
  <c r="M1270" i="1"/>
  <c r="M99" i="1"/>
  <c r="M290" i="1"/>
  <c r="M344" i="1"/>
  <c r="M952" i="1"/>
  <c r="M988" i="1"/>
  <c r="M1119" i="1"/>
  <c r="M701" i="1"/>
  <c r="M446" i="1"/>
  <c r="M1528" i="1"/>
  <c r="M1575" i="1"/>
  <c r="M169" i="1"/>
  <c r="M1566" i="1"/>
  <c r="M879" i="1"/>
  <c r="M1757" i="1"/>
  <c r="M1904" i="1"/>
  <c r="M1681" i="1"/>
  <c r="M1843" i="1"/>
  <c r="M1095" i="1"/>
  <c r="M67" i="1"/>
  <c r="M847" i="1"/>
  <c r="M1920" i="1"/>
  <c r="M60" i="1"/>
  <c r="M1807" i="1"/>
  <c r="M840" i="1"/>
  <c r="M546" i="1"/>
  <c r="M823" i="1"/>
  <c r="M1796" i="1"/>
  <c r="M539" i="1"/>
  <c r="M63" i="1"/>
  <c r="M291" i="1"/>
  <c r="M1232" i="1"/>
  <c r="M309" i="1"/>
  <c r="M1505" i="1"/>
  <c r="M28" i="1"/>
  <c r="M1353" i="1"/>
  <c r="M1036" i="1"/>
  <c r="M192" i="1"/>
  <c r="M752" i="1"/>
  <c r="M1555" i="1"/>
  <c r="M548" i="1"/>
  <c r="M1604" i="1"/>
  <c r="M1882" i="1"/>
  <c r="M457" i="1"/>
  <c r="M1203" i="1"/>
  <c r="M1256" i="1"/>
  <c r="M1969" i="1"/>
  <c r="M1420" i="1"/>
  <c r="M533" i="1"/>
  <c r="M699" i="1"/>
  <c r="M1072" i="1"/>
  <c r="M1358" i="1"/>
  <c r="M1533" i="1"/>
  <c r="M202" i="1"/>
  <c r="M117" i="1"/>
  <c r="M131" i="1"/>
  <c r="M356" i="1"/>
  <c r="M1448" i="1"/>
  <c r="M1557" i="1"/>
  <c r="M1103" i="1"/>
  <c r="M142" i="1"/>
  <c r="M138" i="1"/>
  <c r="M606" i="1"/>
  <c r="M428" i="1"/>
  <c r="M1529" i="1"/>
  <c r="M1589" i="1"/>
  <c r="M1048" i="1"/>
  <c r="M156" i="1"/>
  <c r="M445" i="1"/>
  <c r="M740" i="1"/>
  <c r="M95" i="1"/>
  <c r="M917" i="1"/>
  <c r="M995" i="1"/>
  <c r="M817" i="1"/>
  <c r="M172" i="1"/>
  <c r="M1129" i="1"/>
  <c r="M924" i="1"/>
  <c r="M456" i="1"/>
  <c r="M1186" i="1"/>
  <c r="M297" i="1"/>
  <c r="M534" i="1"/>
  <c r="M981" i="1"/>
  <c r="M889" i="1"/>
  <c r="M317" i="1"/>
  <c r="M397" i="1"/>
  <c r="M1064" i="1"/>
  <c r="M1616" i="1"/>
  <c r="M1759" i="1"/>
  <c r="M1344" i="1"/>
  <c r="M1686" i="1"/>
  <c r="M179" i="1"/>
  <c r="M135" i="1"/>
  <c r="M1656" i="1"/>
  <c r="M1329" i="1"/>
  <c r="M1389" i="1"/>
  <c r="M646" i="1"/>
  <c r="M584" i="1"/>
  <c r="M227" i="1"/>
  <c r="M1930" i="1"/>
  <c r="M315" i="1"/>
  <c r="M1965" i="1"/>
  <c r="M1792" i="1"/>
  <c r="M991" i="1"/>
  <c r="M1735" i="1"/>
  <c r="M483" i="1"/>
  <c r="M1460" i="1"/>
  <c r="M1494" i="1"/>
  <c r="M1784" i="1"/>
  <c r="M197" i="1"/>
  <c r="M147" i="1"/>
  <c r="M930" i="1"/>
  <c r="M1662" i="1"/>
  <c r="M1917" i="1"/>
  <c r="M304" i="1"/>
  <c r="M1336" i="1"/>
  <c r="M1359" i="1"/>
  <c r="M301" i="1"/>
  <c r="M121" i="1"/>
  <c r="M1277" i="1"/>
  <c r="M1611" i="1"/>
  <c r="M1126" i="1"/>
  <c r="M599" i="1"/>
  <c r="M1921" i="1"/>
  <c r="M1368" i="1"/>
  <c r="M204" i="1"/>
  <c r="M122" i="1"/>
  <c r="M1221" i="1"/>
  <c r="M1542" i="1"/>
  <c r="M381" i="1"/>
  <c r="M492" i="1"/>
  <c r="M1709" i="1"/>
  <c r="M421" i="1"/>
  <c r="M1190" i="1"/>
  <c r="M252" i="1"/>
  <c r="M912" i="1"/>
  <c r="M1592" i="1"/>
  <c r="M1496" i="1"/>
  <c r="M1157" i="1"/>
  <c r="M808" i="1"/>
  <c r="M695" i="1"/>
  <c r="M1942" i="1"/>
  <c r="M737" i="1"/>
  <c r="M1183" i="1"/>
  <c r="M1061" i="1"/>
  <c r="M910" i="1"/>
  <c r="M1260" i="1"/>
  <c r="M43" i="1"/>
  <c r="M16" i="1"/>
  <c r="M275" i="1"/>
  <c r="M842" i="1"/>
  <c r="M1687" i="1"/>
  <c r="M20" i="1"/>
  <c r="M1430" i="1"/>
  <c r="M543" i="1"/>
  <c r="M638" i="1"/>
  <c r="M1610" i="1"/>
  <c r="M1810" i="1"/>
  <c r="M861" i="1"/>
  <c r="M208" i="1"/>
  <c r="M515" i="1"/>
  <c r="M1945" i="1"/>
  <c r="M1243" i="1"/>
  <c r="M45" i="1"/>
  <c r="M1234" i="1"/>
  <c r="M1508" i="1"/>
  <c r="M1391" i="1"/>
  <c r="M382" i="1"/>
  <c r="M948" i="1"/>
  <c r="M766" i="1"/>
  <c r="M685" i="1"/>
  <c r="M725" i="1"/>
  <c r="M1813" i="1"/>
  <c r="M1174" i="1"/>
  <c r="M1216" i="1"/>
  <c r="M1606" i="1"/>
  <c r="M190" i="1"/>
  <c r="M1624" i="1"/>
  <c r="M1013" i="1"/>
  <c r="M1547" i="1"/>
  <c r="M552" i="1"/>
  <c r="M1286" i="1"/>
  <c r="M27" i="1"/>
  <c r="M824" i="1"/>
  <c r="M221" i="1"/>
  <c r="M1125" i="1"/>
  <c r="M1596" i="1"/>
  <c r="M1874" i="1"/>
  <c r="M800" i="1"/>
  <c r="M1694" i="1"/>
  <c r="M1878" i="1"/>
  <c r="M1016" i="1"/>
  <c r="M412" i="1"/>
  <c r="M1071" i="1"/>
  <c r="M1702" i="1"/>
  <c r="M429" i="1"/>
  <c r="M896" i="1"/>
  <c r="M104" i="1"/>
  <c r="M608" i="1"/>
  <c r="M1409" i="1"/>
  <c r="M350" i="1"/>
  <c r="M572" i="1"/>
  <c r="M377" i="1"/>
  <c r="M405" i="1"/>
  <c r="M1872" i="1"/>
  <c r="M967" i="1"/>
  <c r="M1658" i="1"/>
  <c r="M964" i="1"/>
  <c r="M1386" i="1"/>
  <c r="M58" i="1"/>
  <c r="M1826" i="1"/>
  <c r="M1354" i="1"/>
  <c r="M1964" i="1"/>
  <c r="M477" i="1"/>
  <c r="M1246" i="1"/>
  <c r="M1266" i="1"/>
  <c r="M1308" i="1"/>
  <c r="M1029" i="1"/>
  <c r="M530" i="1"/>
  <c r="M486" i="1"/>
  <c r="M1816" i="1"/>
  <c r="M1007" i="1"/>
  <c r="M1514" i="1"/>
  <c r="M1535" i="1"/>
  <c r="M1310" i="1"/>
  <c r="M561" i="1"/>
  <c r="M1617" i="1"/>
  <c r="M35" i="1"/>
  <c r="M472" i="1"/>
  <c r="M363" i="1"/>
  <c r="M962" i="1"/>
  <c r="M994" i="1"/>
  <c r="M820" i="1"/>
  <c r="M1671" i="1"/>
  <c r="M946" i="1"/>
  <c r="M365" i="1"/>
  <c r="M911" i="1"/>
  <c r="M1522" i="1"/>
  <c r="M160" i="1"/>
  <c r="M310" i="1"/>
  <c r="M1289" i="1"/>
  <c r="M1608" i="1"/>
  <c r="M1469" i="1"/>
  <c r="M1511" i="1"/>
  <c r="M1893" i="1"/>
  <c r="M1708" i="1"/>
  <c r="M165" i="1"/>
  <c r="M914" i="1"/>
  <c r="M443" i="1"/>
  <c r="M1316" i="1"/>
  <c r="M112" i="1"/>
  <c r="M875" i="1"/>
  <c r="M1338" i="1"/>
  <c r="M1291" i="1"/>
  <c r="M1935" i="1"/>
  <c r="M341" i="1"/>
  <c r="M1668" i="1"/>
  <c r="M1108" i="1"/>
  <c r="M1085" i="1"/>
  <c r="M1026" i="1"/>
  <c r="M1311" i="1"/>
  <c r="M1634" i="1"/>
  <c r="M484" i="1"/>
  <c r="M1340" i="1"/>
  <c r="M1626" i="1"/>
  <c r="M61" i="1"/>
  <c r="M1419" i="1"/>
  <c r="M1620" i="1"/>
  <c r="M1783" i="1"/>
  <c r="M1034" i="1"/>
  <c r="M1565" i="1"/>
  <c r="M566" i="1"/>
  <c r="M1898" i="1"/>
  <c r="M791" i="1"/>
  <c r="M152" i="1"/>
  <c r="M1333" i="1"/>
  <c r="M1258" i="1"/>
  <c r="M1278" i="1"/>
  <c r="M70" i="1"/>
  <c r="M1869" i="1"/>
  <c r="M1191" i="1"/>
  <c r="M550" i="1"/>
  <c r="M51" i="1"/>
  <c r="M1385" i="1"/>
  <c r="M687" i="1"/>
  <c r="M223" i="1"/>
  <c r="M1603" i="1"/>
  <c r="M1458" i="1"/>
  <c r="M1527" i="1"/>
  <c r="M447" i="1"/>
  <c r="M461" i="1"/>
  <c r="M1518" i="1"/>
  <c r="M1771" i="1"/>
  <c r="M522" i="1"/>
  <c r="M1700" i="1"/>
  <c r="M32" i="1"/>
  <c r="M793" i="1"/>
  <c r="M1824" i="1"/>
  <c r="M644" i="1"/>
  <c r="M1842" i="1"/>
  <c r="M636" i="1"/>
  <c r="M371" i="1"/>
  <c r="M1919" i="1"/>
  <c r="M1730" i="1"/>
  <c r="M1451" i="1"/>
  <c r="M458" i="1"/>
  <c r="M1897" i="1"/>
  <c r="M573" i="1"/>
  <c r="M1146" i="1"/>
  <c r="M1584" i="1"/>
  <c r="M705" i="1"/>
  <c r="M729" i="1"/>
  <c r="M57" i="1"/>
  <c r="M789" i="1"/>
  <c r="M613" i="1"/>
  <c r="M1599" i="1"/>
  <c r="M1885" i="1"/>
  <c r="M391" i="1"/>
  <c r="M913" i="1"/>
  <c r="M1247" i="1"/>
  <c r="M436" i="1"/>
  <c r="M1790" i="1"/>
  <c r="M481" i="1"/>
  <c r="M997" i="1"/>
  <c r="M91" i="1"/>
  <c r="M1884" i="1"/>
  <c r="M450" i="1"/>
  <c r="M1172" i="1"/>
  <c r="M1545" i="1"/>
  <c r="M1703" i="1"/>
  <c r="M1677" i="1"/>
  <c r="M1020" i="1"/>
  <c r="M758" i="1"/>
  <c r="M1092" i="1"/>
  <c r="M273" i="1"/>
  <c r="M189" i="1"/>
  <c r="M250" i="1"/>
  <c r="M423" i="1"/>
  <c r="M1195" i="1"/>
  <c r="M856" i="1"/>
  <c r="M1423" i="1"/>
  <c r="M735" i="1"/>
  <c r="M1098" i="1"/>
  <c r="M137" i="1"/>
  <c r="M765" i="1"/>
  <c r="M1131" i="1"/>
  <c r="M1972" i="1"/>
  <c r="M944" i="1"/>
  <c r="M1341" i="1"/>
  <c r="M671" i="1"/>
  <c r="M1008" i="1"/>
  <c r="M1134" i="1"/>
  <c r="M1127" i="1"/>
  <c r="M26" i="1"/>
  <c r="M722" i="1"/>
  <c r="M1725" i="1"/>
  <c r="M1466" i="1"/>
  <c r="M1212" i="1"/>
  <c r="M1833" i="1"/>
  <c r="M968" i="1"/>
  <c r="M1303" i="1"/>
  <c r="M1293" i="1"/>
  <c r="M672" i="1"/>
  <c r="M1478" i="1"/>
  <c r="M234" i="1"/>
  <c r="M1482" i="1"/>
  <c r="M1713" i="1"/>
  <c r="M277" i="1"/>
  <c r="M602" i="1"/>
  <c r="M643" i="1"/>
  <c r="M219" i="1"/>
  <c r="M1573" i="1"/>
  <c r="M1390" i="1"/>
  <c r="M424" i="1"/>
  <c r="M143" i="1"/>
  <c r="M524" i="1"/>
  <c r="M1571" i="1"/>
  <c r="M1541" i="1"/>
  <c r="M1929" i="1"/>
  <c r="M478" i="1"/>
  <c r="M905" i="1"/>
  <c r="M876" i="1"/>
  <c r="M598" i="1"/>
  <c r="M1742" i="1"/>
  <c r="M1672" i="1"/>
  <c r="M1276" i="1"/>
  <c r="M951" i="1"/>
  <c r="M1572" i="1"/>
  <c r="M849" i="1"/>
  <c r="M1166" i="1"/>
  <c r="M1383" i="1"/>
  <c r="M1355" i="1"/>
  <c r="M146" i="1"/>
  <c r="M462" i="1"/>
  <c r="M631" i="1"/>
  <c r="M645" i="1"/>
  <c r="M575" i="1"/>
  <c r="M1509" i="1"/>
  <c r="M1934" i="1"/>
  <c r="M1087" i="1"/>
  <c r="M780" i="1"/>
  <c r="M1723" i="1"/>
  <c r="M1320" i="1"/>
  <c r="M1648" i="1"/>
  <c r="M199" i="1"/>
  <c r="M1925" i="1"/>
  <c r="M485" i="1"/>
  <c r="M90" i="1"/>
  <c r="M1037" i="1"/>
  <c r="M1928" i="1"/>
  <c r="M801" i="1"/>
  <c r="M707" i="1"/>
  <c r="M1067" i="1"/>
  <c r="M353" i="1"/>
  <c r="M1180" i="1"/>
  <c r="M1350" i="1"/>
  <c r="M1456" i="1"/>
  <c r="M1643" i="1"/>
  <c r="M411" i="1"/>
  <c r="M368" i="1"/>
  <c r="M1317" i="1"/>
  <c r="M1273" i="1"/>
  <c r="M1913" i="1"/>
  <c r="M212" i="1"/>
  <c r="M1123" i="1"/>
  <c r="M1301" i="1"/>
  <c r="M871" i="1"/>
  <c r="M762" i="1"/>
  <c r="M1384" i="1"/>
  <c r="M196" i="1"/>
  <c r="M1814" i="1"/>
  <c r="M1360" i="1"/>
  <c r="M357" i="1"/>
  <c r="M1416" i="1"/>
  <c r="M68" i="1"/>
  <c r="M440" i="1"/>
  <c r="M1339" i="1"/>
  <c r="M1003" i="1"/>
  <c r="M1720" i="1"/>
  <c r="M744" i="1"/>
  <c r="M706" i="1"/>
  <c r="M586" i="1"/>
  <c r="M1653" i="1"/>
  <c r="M1778" i="1"/>
  <c r="M1900" i="1"/>
  <c r="M1804" i="1"/>
  <c r="M96" i="1"/>
  <c r="M187" i="1"/>
  <c r="M218" i="1"/>
  <c r="M1300" i="1"/>
  <c r="M661" i="1"/>
  <c r="M966" i="1"/>
  <c r="M1349" i="1"/>
  <c r="M634" i="1"/>
  <c r="M1374" i="1"/>
  <c r="M678" i="1"/>
  <c r="M797" i="1"/>
  <c r="M915" i="1"/>
  <c r="M1178" i="1"/>
  <c r="M956" i="1"/>
  <c r="M519" i="1"/>
  <c r="M647" i="1"/>
  <c r="M1968" i="1"/>
  <c r="M607" i="1"/>
  <c r="M1927" i="1"/>
  <c r="M1614" i="1"/>
  <c r="M1379" i="1"/>
  <c r="M338" i="1"/>
  <c r="M182" i="1"/>
  <c r="M50" i="1"/>
  <c r="M1947" i="1"/>
  <c r="M404" i="1"/>
  <c r="M1206" i="1"/>
  <c r="M1428" i="1"/>
  <c r="M1503" i="1"/>
  <c r="M558" i="1"/>
  <c r="M760" i="1"/>
  <c r="M307" i="1"/>
  <c r="M976" i="1"/>
  <c r="M727" i="1"/>
  <c r="M746" i="1"/>
  <c r="M330" i="1"/>
  <c r="M1328" i="1"/>
  <c r="M467" i="1"/>
  <c r="M665" i="1"/>
  <c r="M236" i="1"/>
  <c r="M1239" i="1"/>
  <c r="M884" i="1"/>
  <c r="M1688" i="1"/>
  <c r="M605" i="1"/>
  <c r="M125" i="1"/>
  <c r="M1459" i="1"/>
  <c r="M1139" i="1"/>
  <c r="M1978" i="1"/>
  <c r="M973" i="1"/>
  <c r="M1106" i="1"/>
  <c r="M1586" i="1"/>
  <c r="M529" i="1"/>
  <c r="M1973" i="1"/>
  <c r="M1801" i="1"/>
  <c r="M1598" i="1"/>
  <c r="M9" i="1"/>
  <c r="M54" i="1"/>
  <c r="M1563" i="1"/>
  <c r="M1143" i="1"/>
  <c r="M1594" i="1"/>
  <c r="M877" i="1"/>
  <c r="M887" i="1"/>
  <c r="M243" i="1"/>
  <c r="M807" i="1"/>
  <c r="M1803" i="1"/>
  <c r="M637" i="1"/>
  <c r="M1345" i="1"/>
  <c r="M1918" i="1"/>
  <c r="M1635" i="1"/>
  <c r="M442" i="1"/>
  <c r="M1727" i="1"/>
  <c r="M902" i="1"/>
  <c r="M782" i="1"/>
  <c r="M1779" i="1"/>
  <c r="M532" i="1"/>
  <c r="M513" i="1"/>
  <c r="M600" i="1"/>
  <c r="M1454" i="1"/>
  <c r="M923" i="1"/>
  <c r="M1946" i="1"/>
  <c r="M616" i="1"/>
  <c r="M1546" i="1"/>
  <c r="M107" i="1"/>
  <c r="M526" i="1"/>
  <c r="M249" i="1"/>
  <c r="M1711" i="1"/>
  <c r="M262" i="1"/>
  <c r="M1976" i="1"/>
  <c r="M409" i="1"/>
  <c r="M316" i="1"/>
  <c r="M374" i="1"/>
  <c r="M690" i="1"/>
  <c r="M1387" i="1"/>
  <c r="M1859" i="1"/>
  <c r="M1044" i="1"/>
  <c r="M1047" i="1"/>
  <c r="M180" i="1"/>
  <c r="M1655" i="1"/>
  <c r="M340" i="1"/>
  <c r="M667" i="1"/>
  <c r="M400" i="1"/>
  <c r="M343" i="1"/>
  <c r="M1879" i="1"/>
  <c r="M414" i="1"/>
  <c r="M342" i="1"/>
  <c r="M333" i="1"/>
  <c r="M1028" i="1"/>
  <c r="M284" i="1"/>
  <c r="M444" i="1"/>
  <c r="M235" i="1"/>
  <c r="M1540" i="1"/>
  <c r="M1351" i="1"/>
  <c r="M1820" i="1"/>
  <c r="M1706" i="1"/>
  <c r="M698" i="1"/>
  <c r="M686" i="1"/>
  <c r="M56" i="1"/>
  <c r="M1453" i="1"/>
  <c r="M420" i="1"/>
  <c r="M1966" i="1"/>
  <c r="M641" i="1"/>
  <c r="M1524" i="1"/>
  <c r="M693" i="1"/>
  <c r="M564" i="1"/>
  <c r="M1818" i="1"/>
  <c r="M950" i="1"/>
  <c r="M222" i="1"/>
  <c r="M1675" i="1"/>
  <c r="M1980" i="1"/>
  <c r="M59" i="1"/>
  <c r="M1418" i="1"/>
  <c r="M346" i="1"/>
  <c r="M1150" i="1"/>
  <c r="M1647" i="1"/>
  <c r="M359" i="1"/>
  <c r="M1214" i="1"/>
  <c r="M1808" i="1"/>
  <c r="M541" i="1"/>
  <c r="M1295" i="1"/>
  <c r="M425" i="1"/>
  <c r="M1408" i="1"/>
  <c r="M1443" i="1"/>
  <c r="M1262" i="1"/>
  <c r="M680" i="1"/>
  <c r="M899" i="1"/>
  <c r="M568" i="1"/>
  <c r="M48" i="1"/>
  <c r="M928" i="1"/>
  <c r="M1751" i="1"/>
  <c r="M903" i="1"/>
  <c r="M553" i="1"/>
  <c r="M1156" i="1"/>
  <c r="M1510" i="1"/>
  <c r="M535" i="1"/>
  <c r="M1570" i="1"/>
  <c r="M1021" i="1"/>
  <c r="M1296" i="1"/>
  <c r="M1197" i="1"/>
  <c r="M1122" i="1"/>
  <c r="M226" i="1"/>
  <c r="M306" i="1"/>
  <c r="M1058" i="1"/>
  <c r="M709" i="1"/>
  <c r="M2" i="1"/>
  <c r="M1104" i="1"/>
  <c r="M311" i="1"/>
  <c r="M186" i="1"/>
  <c r="M435" i="1"/>
  <c r="M1623" i="1"/>
  <c r="M1096" i="1"/>
  <c r="M1314" i="1"/>
  <c r="M449" i="1"/>
  <c r="M278" i="1"/>
  <c r="M651" i="1"/>
  <c r="M1168" i="1"/>
  <c r="M1974" i="1"/>
  <c r="M1829" i="1"/>
  <c r="M814" i="1"/>
  <c r="M1590" i="1"/>
  <c r="M1017" i="1"/>
  <c r="M1404" i="1"/>
  <c r="M413" i="1"/>
  <c r="M1230" i="1"/>
  <c r="M1076" i="1"/>
  <c r="M1228" i="1"/>
  <c r="M1079" i="1"/>
  <c r="M1054" i="1"/>
  <c r="M612" i="1"/>
  <c r="M1981" i="1"/>
  <c r="M1395" i="1"/>
  <c r="M1065" i="1"/>
  <c r="M1836" i="1"/>
  <c r="M809" i="1"/>
  <c r="M385" i="1"/>
  <c r="M1462" i="1"/>
  <c r="M1628" i="1"/>
  <c r="M502" i="1"/>
  <c r="M1107" i="1"/>
  <c r="M1284" i="1"/>
  <c r="M851" i="1"/>
  <c r="M383" i="1"/>
  <c r="M1881" i="1"/>
  <c r="M247" i="1"/>
  <c r="M1182" i="1"/>
  <c r="M1220" i="1"/>
  <c r="M1659" i="1"/>
  <c r="M1480" i="1"/>
  <c r="M1194" i="1"/>
  <c r="M15" i="1"/>
  <c r="M741" i="1"/>
  <c r="M937" i="1"/>
  <c r="M448" i="1"/>
  <c r="M65" i="1"/>
  <c r="M1689" i="1"/>
  <c r="M193" i="1"/>
  <c r="M771" i="1"/>
  <c r="M490" i="1"/>
  <c r="M649" i="1"/>
  <c r="M1160" i="1"/>
  <c r="M1018" i="1"/>
  <c r="M470" i="1"/>
  <c r="M11" i="1"/>
  <c r="M1465" i="1"/>
  <c r="M23" i="1"/>
  <c r="M1854" i="1"/>
  <c r="M1871" i="1"/>
  <c r="M195" i="1"/>
  <c r="M499" i="1"/>
  <c r="M1110" i="1"/>
  <c r="M81" i="1"/>
  <c r="M1201" i="1"/>
  <c r="M87" i="1"/>
  <c r="M925" i="1"/>
  <c r="M1121" i="1"/>
  <c r="M1746" i="1"/>
  <c r="M1937" i="1"/>
  <c r="M98" i="1"/>
  <c r="M802" i="1"/>
  <c r="M280" i="1"/>
  <c r="M1876" i="1"/>
  <c r="M1556" i="1"/>
  <c r="M1698" i="1"/>
  <c r="M251" i="1"/>
  <c r="M1627" i="1"/>
  <c r="M627" i="1"/>
  <c r="M1828" i="1"/>
  <c r="M3" i="1"/>
  <c r="M1005" i="1"/>
  <c r="M1164" i="1"/>
  <c r="M129" i="1"/>
  <c r="M398" i="1"/>
  <c r="M759" i="1"/>
  <c r="M183" i="1"/>
  <c r="M1198" i="1"/>
  <c r="M1905" i="1"/>
  <c r="M642" i="1"/>
  <c r="M1372" i="1"/>
  <c r="M80" i="1"/>
  <c r="M521" i="1"/>
  <c r="M171" i="1"/>
  <c r="M860" i="1"/>
  <c r="M1093" i="1"/>
  <c r="M438" i="1"/>
  <c r="M1641" i="1"/>
  <c r="M331" i="1"/>
  <c r="M1536" i="1"/>
  <c r="M753" i="1"/>
  <c r="M1381" i="1"/>
  <c r="M1577" i="1"/>
  <c r="M818" i="1"/>
  <c r="M577" i="1"/>
  <c r="M1397" i="1"/>
  <c r="M921" i="1"/>
  <c r="M611" i="1"/>
  <c r="M322" i="1"/>
  <c r="M1490" i="1"/>
  <c r="M1117" i="1"/>
  <c r="M718" i="1"/>
  <c r="M339" i="1"/>
  <c r="M1940" i="1"/>
  <c r="M1939" i="1"/>
  <c r="M1636" i="1"/>
  <c r="M886" i="1"/>
  <c r="M302" i="1"/>
  <c r="M1438" i="1"/>
  <c r="M1591" i="1"/>
  <c r="M248" i="1"/>
  <c r="M299" i="1"/>
  <c r="M684" i="1"/>
  <c r="M1852" i="1"/>
  <c r="M537" i="1"/>
  <c r="M971" i="1"/>
  <c r="M1888" i="1"/>
  <c r="M354" i="1"/>
  <c r="M827" i="1"/>
  <c r="M819" i="1"/>
  <c r="M1004" i="1"/>
  <c r="M975" i="1"/>
  <c r="M935" i="1"/>
  <c r="M1504" i="1"/>
  <c r="M1676" i="1"/>
  <c r="M1244" i="1"/>
  <c r="M1629" i="1"/>
  <c r="M1822" i="1"/>
  <c r="M1019" i="1"/>
  <c r="M77" i="1"/>
  <c r="M555" i="1"/>
  <c r="M1217" i="1"/>
  <c r="M1909" i="1"/>
  <c r="M516" i="1"/>
  <c r="M1517" i="1"/>
  <c r="M1335" i="1"/>
  <c r="M367" i="1"/>
  <c r="M1378" i="1"/>
  <c r="M1726" i="1"/>
  <c r="M1215" i="1"/>
  <c r="M1775" i="1"/>
  <c r="M1765" i="1"/>
  <c r="M370" i="1"/>
  <c r="M1525" i="1"/>
  <c r="M1787" i="1"/>
  <c r="M1705" i="1"/>
  <c r="M1060" i="1"/>
  <c r="M933" i="1"/>
  <c r="M336" i="1"/>
  <c r="M1721" i="1"/>
  <c r="M1294" i="1"/>
  <c r="M272" i="1"/>
  <c r="M1211" i="1"/>
  <c r="M1817" i="1"/>
  <c r="M947" i="1"/>
  <c r="M601" i="1"/>
  <c r="M662" i="1"/>
  <c r="M1877" i="1"/>
  <c r="M1763" i="1"/>
  <c r="M588" i="1"/>
  <c r="M969" i="1"/>
  <c r="M1235" i="1"/>
  <c r="M1413" i="1"/>
  <c r="M1791" i="1"/>
  <c r="M865" i="1"/>
  <c r="M904" i="1"/>
  <c r="M844" i="1"/>
  <c r="M926" i="1"/>
  <c r="M1830" i="1"/>
  <c r="M1332" i="1"/>
  <c r="M1862" i="1"/>
  <c r="M538" i="1"/>
  <c r="M721" i="1"/>
  <c r="M724" i="1"/>
  <c r="M1447" i="1"/>
  <c r="M1786" i="1"/>
  <c r="M1227" i="1"/>
  <c r="M845" i="1"/>
  <c r="M1531" i="1"/>
  <c r="M732" i="1"/>
  <c r="M1223" i="1"/>
  <c r="M1553" i="1"/>
  <c r="M1411" i="1"/>
  <c r="M1213" i="1"/>
  <c r="M1154" i="1"/>
  <c r="M148" i="1"/>
  <c r="M1486" i="1"/>
  <c r="M1661" i="1"/>
  <c r="M989" i="1"/>
  <c r="M1906" i="1"/>
  <c r="M1673" i="1"/>
  <c r="M655" i="1"/>
  <c r="M326" i="1"/>
  <c r="M1148" i="1"/>
  <c r="M1938" i="1"/>
  <c r="M1532" i="1"/>
  <c r="M993" i="1"/>
  <c r="M1520" i="1"/>
  <c r="M794" i="1"/>
  <c r="M308" i="1"/>
  <c r="M893" i="1"/>
  <c r="M669" i="1"/>
  <c r="M260" i="1"/>
  <c r="M592" i="1"/>
  <c r="M366" i="1"/>
  <c r="M954" i="1"/>
  <c r="M630" i="1"/>
  <c r="M164" i="1"/>
  <c r="M1953" i="1"/>
  <c r="M140" i="1"/>
  <c r="M1209" i="1"/>
  <c r="M1388" i="1"/>
  <c r="M1538" i="1"/>
  <c r="M1091" i="1"/>
  <c r="M1489" i="1"/>
  <c r="M934" i="1"/>
  <c r="M895" i="1"/>
  <c r="M1059" i="1"/>
  <c r="M390" i="1"/>
  <c r="M1111" i="1"/>
  <c r="M834" i="1"/>
  <c r="M1435" i="1"/>
  <c r="M832" i="1"/>
  <c r="M1699" i="1"/>
  <c r="M1473" i="1"/>
  <c r="M1756" i="1"/>
  <c r="M463" i="1"/>
  <c r="M1115" i="1"/>
  <c r="M540" i="1"/>
  <c r="M1056" i="1"/>
  <c r="M1444" i="1"/>
  <c r="M972" i="1"/>
  <c r="M1144" i="1"/>
  <c r="M1364" i="1"/>
  <c r="M1753" i="1"/>
  <c r="M1449" i="1"/>
  <c r="M916" i="1"/>
  <c r="M1682" i="1"/>
  <c r="M1437" i="1"/>
  <c r="M360" i="1"/>
  <c r="M1832" i="1"/>
  <c r="M853" i="1"/>
  <c r="M1554" i="1"/>
  <c r="M100" i="1"/>
  <c r="M1654" i="1"/>
  <c r="M289" i="1"/>
  <c r="M1282" i="1"/>
  <c r="M25" i="1"/>
  <c r="M201" i="1"/>
  <c r="M417" i="1"/>
  <c r="M960" i="1"/>
  <c r="M1173" i="1"/>
  <c r="M402" i="1"/>
  <c r="M1483" i="1"/>
  <c r="M1298" i="1"/>
  <c r="M1488" i="1"/>
  <c r="M920" i="1"/>
  <c r="M1035" i="1"/>
  <c r="M1394" i="1"/>
  <c r="M279" i="1"/>
  <c r="M1470" i="1"/>
  <c r="M145" i="1"/>
  <c r="M1622" i="1"/>
  <c r="M1485" i="1"/>
  <c r="M88" i="1"/>
  <c r="M120" i="1"/>
  <c r="M1251" i="1"/>
  <c r="M1853" i="1"/>
  <c r="M774" i="1"/>
  <c r="M593" i="1"/>
  <c r="M217" i="1"/>
  <c r="M702" i="1"/>
  <c r="M123" i="1"/>
  <c r="M1715" i="1"/>
  <c r="M1680" i="1"/>
  <c r="M1530" i="1"/>
  <c r="M1471" i="1"/>
  <c r="M1952" i="1"/>
  <c r="M84" i="1"/>
  <c r="M1707" i="1"/>
  <c r="M18" i="1"/>
  <c r="M1417" i="1"/>
  <c r="M978" i="1"/>
  <c r="M29" i="1"/>
  <c r="M1933" i="1"/>
  <c r="M93" i="1"/>
  <c r="M723" i="1"/>
  <c r="M694" i="1"/>
  <c r="M1678" i="1"/>
  <c r="M963" i="1"/>
  <c r="M562" i="1"/>
  <c r="M1167" i="1"/>
  <c r="M1147" i="1"/>
  <c r="M1162" i="1"/>
  <c r="M14" i="1"/>
  <c r="M1793" i="1"/>
  <c r="M689" i="1"/>
  <c r="M396" i="1"/>
  <c r="M1393" i="1"/>
  <c r="M900" i="1"/>
  <c r="M1011" i="1"/>
  <c r="M1120" i="1"/>
  <c r="M1202" i="1"/>
  <c r="M1414" i="1"/>
  <c r="M94" i="1"/>
  <c r="M822" i="1"/>
  <c r="M71" i="1"/>
  <c r="M407" i="1"/>
  <c r="M1642" i="1"/>
  <c r="M1772" i="1"/>
  <c r="M1477" i="1"/>
  <c r="M97" i="1"/>
  <c r="M399" i="1"/>
  <c r="M773" i="1"/>
  <c r="M1736" i="1"/>
  <c r="M296" i="1"/>
  <c r="M806" i="1"/>
  <c r="M265" i="1"/>
  <c r="M1100" i="1"/>
  <c r="M1196" i="1"/>
  <c r="M657" i="1"/>
  <c r="M536" i="1"/>
  <c r="M415" i="1"/>
  <c r="M1185" i="1"/>
  <c r="M1161" i="1"/>
  <c r="M1821" i="1"/>
  <c r="M386" i="1"/>
  <c r="M587" i="1"/>
  <c r="M1858" i="1"/>
  <c r="M261" i="1"/>
  <c r="M1268" i="1"/>
  <c r="M1639" i="1"/>
  <c r="M1377" i="1"/>
  <c r="M955" i="1"/>
  <c r="M936" i="1"/>
  <c r="M1105" i="1"/>
  <c r="M408" i="1"/>
  <c r="M358" i="1"/>
  <c r="M1261" i="1"/>
  <c r="M1931" i="1"/>
  <c r="M1055" i="1"/>
  <c r="M1769" i="1"/>
  <c r="M1762" i="1"/>
  <c r="M739" i="1"/>
  <c r="M211" i="1"/>
  <c r="M1224" i="1"/>
  <c r="M1949" i="1"/>
  <c r="M1747" i="1"/>
  <c r="M1605" i="1"/>
  <c r="M1855" i="1"/>
  <c r="M1890" i="1"/>
  <c r="M958" i="1"/>
  <c r="M379" i="1"/>
  <c r="M74" i="1"/>
  <c r="M1745" i="1"/>
  <c r="M506" i="1"/>
  <c r="M836" i="1"/>
  <c r="M239" i="1"/>
  <c r="M1315" i="1"/>
  <c r="M570" i="1"/>
  <c r="M670" i="1"/>
  <c r="M1070" i="1"/>
  <c r="M1481" i="1"/>
  <c r="M1615" i="1"/>
  <c r="M166" i="1"/>
  <c r="M880" i="1"/>
  <c r="M857" i="1"/>
  <c r="M1844" i="1"/>
  <c r="M1283" i="1"/>
  <c r="M323" i="1"/>
  <c r="M846" i="1"/>
  <c r="M557" i="1"/>
  <c r="M700" i="1"/>
  <c r="M393" i="1"/>
  <c r="M1523" i="1"/>
  <c r="M999" i="1"/>
  <c r="M270" i="1"/>
  <c r="M992" i="1"/>
  <c r="M1053" i="1"/>
  <c r="M828" i="1"/>
  <c r="M1022" i="1"/>
  <c r="M1840" i="1"/>
  <c r="M1280" i="1"/>
  <c r="M1402" i="1"/>
  <c r="M1495" i="1"/>
  <c r="M726" i="1"/>
  <c r="M1436" i="1"/>
  <c r="M742" i="1"/>
  <c r="M990" i="1"/>
  <c r="M756" i="1"/>
  <c r="M76" i="1"/>
  <c r="M1597" i="1"/>
  <c r="M1204" i="1"/>
  <c r="M755" i="1"/>
  <c r="M1716" i="1"/>
  <c r="M1492" i="1"/>
  <c r="M1857" i="1"/>
  <c r="M1568" i="1"/>
  <c r="M1880" i="1"/>
  <c r="M589" i="1"/>
  <c r="M901" i="1"/>
  <c r="M349" i="1"/>
  <c r="M1800" i="1"/>
  <c r="M1240" i="1"/>
  <c r="M1657" i="1"/>
  <c r="M507" i="1"/>
  <c r="M1664" i="1"/>
  <c r="M1306" i="1"/>
  <c r="M1313" i="1"/>
  <c r="M623" i="1"/>
  <c r="M551" i="1"/>
  <c r="M241" i="1"/>
  <c r="M754" i="1"/>
  <c r="M883" i="1"/>
  <c r="M1088" i="1"/>
  <c r="M1903" i="1"/>
  <c r="M825" i="1"/>
  <c r="M1967" i="1"/>
  <c r="M831" i="1"/>
  <c r="M1782" i="1"/>
  <c r="M1637" i="1"/>
  <c r="M1263" i="1"/>
  <c r="M927" i="1"/>
  <c r="M1033" i="1"/>
  <c r="M22" i="1"/>
  <c r="M639" i="1"/>
  <c r="M635" i="1"/>
  <c r="M1025" i="1"/>
  <c r="M1562" i="1"/>
  <c r="M200" i="1"/>
  <c r="M351" i="1"/>
  <c r="M86" i="1"/>
  <c r="M298" i="1"/>
  <c r="M1426" i="1"/>
  <c r="M1693" i="1"/>
  <c r="M267" i="1"/>
  <c r="M118" i="1"/>
  <c r="M1748" i="1"/>
  <c r="M1957" i="1"/>
  <c r="M803" i="1"/>
  <c r="M1497" i="1"/>
  <c r="M733" i="1"/>
  <c r="M1241" i="1"/>
  <c r="M1544" i="1"/>
  <c r="M545" i="1"/>
  <c r="M1010" i="1"/>
  <c r="M253" i="1"/>
  <c r="M1841" i="1"/>
  <c r="M1287" i="1"/>
  <c r="M1002" i="1"/>
  <c r="M434" i="1"/>
  <c r="M1038" i="1"/>
  <c r="M1140" i="1"/>
  <c r="M285" i="1"/>
  <c r="M328" i="1"/>
  <c r="M1102" i="1"/>
  <c r="M52" i="1"/>
  <c r="M1806" i="1"/>
  <c r="M1498" i="1"/>
  <c r="M1630" i="1"/>
  <c r="M19" i="1"/>
  <c r="M464" i="1"/>
  <c r="M890" i="1"/>
  <c r="M106" i="1"/>
  <c r="M1955" i="1"/>
  <c r="M1434" i="1"/>
  <c r="M1392" i="1"/>
  <c r="M565" i="1"/>
  <c r="M482" i="1"/>
  <c r="M1892" i="1"/>
  <c r="M1827" i="1"/>
  <c r="M232" i="1"/>
  <c r="M1225" i="1"/>
  <c r="M1285" i="1"/>
  <c r="M1733" i="1"/>
  <c r="M1812" i="1"/>
  <c r="M1956" i="1"/>
  <c r="M1193" i="1"/>
  <c r="M1815" i="1"/>
  <c r="M1868" i="1"/>
  <c r="M909" i="1"/>
  <c r="M281" i="1"/>
  <c r="M347" i="1"/>
  <c r="M62" i="1"/>
  <c r="M271" i="1"/>
  <c r="M1835" i="1"/>
  <c r="M1612" i="1"/>
  <c r="M78" i="1"/>
  <c r="M569" i="1"/>
  <c r="M843" i="1"/>
  <c r="M1691" i="1"/>
  <c r="M867" i="1"/>
  <c r="M624" i="1"/>
  <c r="M287" i="1"/>
  <c r="M1873" i="1"/>
  <c r="M799" i="1"/>
  <c r="M628" i="1"/>
  <c r="M292" i="1"/>
  <c r="M957" i="1"/>
  <c r="M82" i="1"/>
  <c r="M1770" i="1"/>
  <c r="M33" i="1"/>
  <c r="M460" i="1"/>
  <c r="M1908" i="1"/>
  <c r="M10" i="1"/>
  <c r="M136" i="1"/>
  <c r="M1755" i="1"/>
  <c r="M858" i="1"/>
  <c r="M79" i="1"/>
  <c r="M228" i="1"/>
  <c r="M1701" i="1"/>
  <c r="M1848" i="1"/>
  <c r="M1561" i="1"/>
  <c r="M941" i="1"/>
  <c r="M1346" i="1"/>
  <c r="M1380" i="1"/>
  <c r="M1665" i="1"/>
  <c r="M854" i="1"/>
  <c r="M473" i="1"/>
  <c r="M376" i="1"/>
  <c r="M949" i="1"/>
  <c r="M1205" i="1"/>
  <c r="M124" i="1"/>
  <c r="M1114" i="1"/>
  <c r="M1941" i="1"/>
  <c r="M1838" i="1"/>
  <c r="M1112" i="1"/>
  <c r="M1732" i="1"/>
  <c r="M1851" i="1"/>
  <c r="M653" i="1"/>
  <c r="M38" i="1"/>
  <c r="M157" i="1"/>
  <c r="M89" i="1"/>
  <c r="M757" i="1"/>
  <c r="M454" i="1"/>
  <c r="M505" i="1"/>
  <c r="M92" i="1"/>
  <c r="M1032" i="1"/>
  <c r="M1307" i="1"/>
  <c r="M1484" i="1"/>
  <c r="M1151" i="1"/>
  <c r="M792" i="1"/>
  <c r="M547" i="1"/>
  <c r="M1457" i="1"/>
  <c r="M719" i="1"/>
  <c r="M852" i="1"/>
  <c r="M406" i="1"/>
  <c r="M206" i="1"/>
  <c r="M1519" i="1"/>
  <c r="M622" i="1"/>
  <c r="M939" i="1"/>
  <c r="M1274" i="1"/>
  <c r="M1962" i="1"/>
  <c r="M1222" i="1"/>
  <c r="M233" i="1"/>
  <c r="M246" i="1"/>
  <c r="M1724" i="1"/>
  <c r="M119" i="1"/>
  <c r="M929" i="1"/>
  <c r="M427" i="1"/>
  <c r="M1951" i="1"/>
  <c r="M1861" i="1"/>
  <c r="M1936" i="1"/>
  <c r="M1255" i="1"/>
  <c r="M1412" i="1"/>
  <c r="M1363" i="1"/>
  <c r="M1645" i="1"/>
  <c r="M1014" i="1"/>
  <c r="M1475" i="1"/>
  <c r="M1319" i="1"/>
  <c r="M42" i="1"/>
  <c r="M321" i="1"/>
  <c r="M1552" i="1"/>
  <c r="M1305" i="1"/>
  <c r="M1631" i="1"/>
  <c r="M4" i="1"/>
  <c r="M1860" i="1"/>
  <c r="M1883" i="1"/>
  <c r="M1932" i="1"/>
  <c r="M816" i="1"/>
  <c r="M1132" i="1"/>
  <c r="M153" i="1"/>
  <c r="M1432" i="1"/>
  <c r="M403" i="1"/>
  <c r="M1302" i="1"/>
  <c r="M293" i="1"/>
  <c r="M604" i="1"/>
  <c r="M1406" i="1"/>
  <c r="M1159" i="1"/>
  <c r="M1184" i="1"/>
  <c r="M1187" i="1"/>
  <c r="M1062" i="1"/>
  <c r="M1163" i="1"/>
  <c r="M439" i="1"/>
  <c r="M869" i="1"/>
  <c r="M1607" i="1"/>
  <c r="M1809" i="1"/>
  <c r="M213" i="1"/>
  <c r="M1257" i="1"/>
  <c r="M1811" i="1"/>
  <c r="M1271" i="1"/>
  <c r="M1915" i="1"/>
  <c r="M1083" i="1"/>
  <c r="M696" i="1"/>
  <c r="M652" i="1"/>
  <c r="M21" i="1"/>
  <c r="M525" i="1"/>
  <c r="M1446" i="1"/>
  <c r="M1650" i="1"/>
  <c r="M1697" i="1"/>
  <c r="M1823" i="1"/>
  <c r="M1799" i="1"/>
  <c r="M931" i="1"/>
  <c r="M581" i="1"/>
  <c r="M567" i="1"/>
  <c r="M783" i="1"/>
  <c r="M1472" i="1"/>
  <c r="M603" i="1"/>
  <c r="M945" i="1"/>
  <c r="M518" i="1"/>
  <c r="M498" i="1"/>
  <c r="M162" i="1"/>
  <c r="M775" i="1"/>
  <c r="M1149" i="1"/>
  <c r="M1741" i="1"/>
  <c r="M1646" i="1"/>
  <c r="M620" i="1"/>
  <c r="M710" i="1"/>
  <c r="M1101" i="1"/>
  <c r="M194" i="1"/>
  <c r="M1773" i="1"/>
  <c r="M711" i="1"/>
  <c r="M1334" i="1"/>
  <c r="M1740" i="1"/>
  <c r="M841" i="1"/>
  <c r="M1704" i="1"/>
  <c r="M839" i="1"/>
  <c r="M1421" i="1"/>
  <c r="M1924" i="1"/>
  <c r="M734" i="1"/>
  <c r="M531" i="1"/>
  <c r="M31" i="1"/>
  <c r="M294" i="1"/>
  <c r="M452" i="1"/>
  <c r="M1297" i="1"/>
  <c r="M810" i="1"/>
  <c r="M105" i="1"/>
  <c r="M1619" i="1"/>
  <c r="M1136" i="1"/>
  <c r="M46" i="1"/>
  <c r="M85" i="1"/>
  <c r="M1265" i="1"/>
  <c r="M1403" i="1"/>
  <c r="M1670" i="1"/>
  <c r="M361" i="1"/>
  <c r="M1410" i="1"/>
  <c r="M1074" i="1"/>
  <c r="M1069" i="1"/>
  <c r="M1789" i="1"/>
  <c r="M259" i="1"/>
  <c r="M1422" i="1"/>
  <c r="M175" i="1"/>
  <c r="M130" i="1"/>
  <c r="M596" i="1"/>
  <c r="M654" i="1"/>
  <c r="M1958" i="1"/>
  <c r="M1171" i="1"/>
  <c r="M1507" i="1"/>
  <c r="M103" i="1"/>
  <c r="M874" i="1"/>
  <c r="M1361" i="1"/>
  <c r="M7" i="1"/>
  <c r="M770" i="1"/>
  <c r="M220" i="1" s="1"/>
  <c r="M231" i="1"/>
  <c r="M1031" i="1"/>
  <c r="M263" i="1"/>
  <c r="M736" i="1"/>
  <c r="M1267" i="1"/>
  <c r="M1576" i="1"/>
  <c r="M888" i="1"/>
  <c r="M837" i="1"/>
  <c r="M1039" i="1"/>
  <c r="M1718" i="1"/>
  <c r="M205" i="1"/>
  <c r="M850" i="1"/>
  <c r="M1714" i="1"/>
  <c r="M1169" i="1"/>
  <c r="M891" i="1"/>
  <c r="M1712" i="1"/>
  <c r="M474" i="1"/>
  <c r="M312" i="1"/>
  <c r="M501" i="1"/>
  <c r="M40" i="1"/>
  <c r="M1728" i="1"/>
  <c r="M303" i="1"/>
  <c r="M1249" i="1"/>
  <c r="M1979" i="1"/>
  <c r="M738" i="1"/>
  <c r="M1322" i="1"/>
  <c r="M862" i="1"/>
  <c r="M714" i="1"/>
  <c r="M319" i="1"/>
  <c r="M75" i="1"/>
  <c r="M1512" i="1"/>
  <c r="M509" i="1"/>
  <c r="M392" i="1"/>
  <c r="M821" i="1"/>
  <c r="M1292" i="1"/>
  <c r="M1170" i="1"/>
  <c r="M787" i="1"/>
  <c r="M681" i="1"/>
  <c r="M269" i="1"/>
  <c r="M1398" i="1"/>
  <c r="M1450" i="1"/>
  <c r="M177" i="1"/>
  <c r="M167" i="1"/>
  <c r="M1128" i="1"/>
  <c r="M1433" i="1"/>
  <c r="M364" i="1"/>
  <c r="M139" i="1"/>
  <c r="M1468" i="1"/>
  <c r="M380" i="1"/>
  <c r="M426" i="1"/>
  <c r="M683" i="1"/>
  <c r="M897" i="1"/>
  <c r="M1797" i="1"/>
  <c r="M1081" i="1"/>
  <c r="M334" i="1"/>
  <c r="M1923" i="1"/>
  <c r="M468" i="1"/>
  <c r="M1781" i="1"/>
  <c r="M1758" i="1"/>
  <c r="M1663" i="1"/>
  <c r="M433" i="1"/>
  <c r="M1304" i="1"/>
  <c r="M815" i="1"/>
  <c r="M1043" i="1"/>
  <c r="M583" i="1"/>
  <c r="M1321" i="1"/>
  <c r="M49" i="1"/>
  <c r="M864" i="1"/>
  <c r="M697" i="1"/>
  <c r="M784" i="1"/>
  <c r="M1405" i="1"/>
  <c r="M1024" i="1"/>
  <c r="M1764" i="1"/>
  <c r="M1734" i="1"/>
  <c r="M785" i="1"/>
  <c r="M1593" i="1"/>
  <c r="M30" i="1"/>
  <c r="M731" i="1"/>
  <c r="M1526" i="1"/>
  <c r="M181" i="1"/>
  <c r="M716" i="1"/>
  <c r="M1534" i="1"/>
  <c r="M1902" i="1"/>
  <c r="M743" i="1"/>
  <c r="M47" i="1"/>
  <c r="M1679" i="1"/>
  <c r="M1696" i="1"/>
  <c r="M1768" i="1"/>
  <c r="M1493" i="1"/>
  <c r="M327" i="1"/>
  <c r="M1401" i="1"/>
  <c r="M1558" i="1"/>
  <c r="M500" i="1"/>
  <c r="M811" i="1"/>
  <c r="M932" i="1"/>
  <c r="M1001" i="1"/>
  <c r="M826" i="1"/>
  <c r="M305" i="1"/>
  <c r="M283" i="1"/>
  <c r="M873" i="1"/>
  <c r="M1487" i="1"/>
  <c r="M1710" i="1"/>
  <c r="M1365" i="1"/>
  <c r="M1461" i="1"/>
  <c r="M149" i="1"/>
  <c r="M1846" i="1"/>
  <c r="M1464" i="1"/>
  <c r="M1348" i="1"/>
  <c r="M1342" i="1"/>
  <c r="M242" i="1"/>
  <c r="M885" i="1"/>
  <c r="M579" i="1"/>
  <c r="M582" i="1"/>
  <c r="M1407" i="1"/>
  <c r="M1367" i="1"/>
  <c r="M480" i="1"/>
  <c r="M355" i="1"/>
  <c r="M295" i="1"/>
  <c r="M266" i="1"/>
  <c r="M437" i="1"/>
  <c r="M1559" i="1"/>
  <c r="M1749" i="1"/>
  <c r="M1731" i="1"/>
  <c r="M1218" i="1"/>
  <c r="M1113" i="1"/>
  <c r="M892" i="1"/>
  <c r="M1312" i="1"/>
  <c r="M1845" i="1"/>
  <c r="M922" i="1"/>
  <c r="M127" i="1"/>
  <c r="M1780" i="1"/>
  <c r="M1601" i="1"/>
  <c r="M1954" i="1"/>
  <c r="M1943" i="1"/>
  <c r="M109" i="1"/>
  <c r="M1970" i="1"/>
  <c r="M1600" i="1"/>
  <c r="M1875" i="1"/>
  <c r="M244" i="1"/>
  <c r="M679" i="1"/>
  <c r="M677" i="1"/>
  <c r="M173" i="1"/>
  <c r="M314" i="1"/>
  <c r="M580" i="1"/>
  <c r="M1192" i="1"/>
  <c r="M777" i="1"/>
  <c r="M544" i="1"/>
  <c r="M511" i="1"/>
  <c r="M1737" i="1"/>
  <c r="M214" i="1"/>
  <c r="M1638" i="1"/>
  <c r="M1550" i="1"/>
  <c r="M663" i="1"/>
  <c r="M141" i="1"/>
  <c r="M101" i="1"/>
  <c r="M17" i="1"/>
  <c r="M1567" i="1"/>
  <c r="M1515" i="1"/>
  <c r="M264" i="1"/>
  <c r="M1539" i="1"/>
  <c r="M542" i="1"/>
  <c r="M1867" i="1"/>
  <c r="M1077" i="1"/>
  <c r="M751" i="1"/>
  <c r="M1692" i="1"/>
  <c r="M919" i="1"/>
  <c r="M1431" i="1"/>
  <c r="M257" i="1"/>
  <c r="M44" i="1"/>
  <c r="M763" i="1"/>
  <c r="M528" i="1"/>
  <c r="M489" i="1"/>
  <c r="M1887" i="1"/>
  <c r="M1684" i="1"/>
  <c r="M469" i="1"/>
  <c r="M986" i="1"/>
  <c r="M1009" i="1"/>
  <c r="M1750" i="1"/>
  <c r="M1777" i="1"/>
  <c r="M1889" i="1"/>
  <c r="M1839" i="1"/>
  <c r="M1564" i="1"/>
  <c r="M872" i="1"/>
  <c r="M629" i="1"/>
  <c r="M174" i="1"/>
  <c r="M1805" i="1"/>
  <c r="M835" i="1"/>
  <c r="M73" i="1"/>
  <c r="M1057" i="1"/>
  <c r="M1042" i="1"/>
  <c r="M1774" i="1"/>
  <c r="M715" i="1"/>
  <c r="M191" i="1"/>
  <c r="M332" i="1"/>
  <c r="M1652" i="1"/>
  <c r="M1165" i="1"/>
  <c r="M1281" i="1"/>
  <c r="M1795" i="1"/>
  <c r="M1583" i="1"/>
  <c r="M1049" i="1"/>
  <c r="M72" i="1"/>
  <c r="M1325" i="1"/>
  <c r="M1683" i="1"/>
  <c r="M1551" i="1"/>
  <c r="M1118" i="1"/>
  <c r="M621" i="1"/>
  <c r="M650" i="1"/>
  <c r="M1137" i="1"/>
  <c r="M1738" i="1"/>
  <c r="M961" i="1"/>
  <c r="M126" i="1"/>
  <c r="M898" i="1"/>
  <c r="M432" i="1"/>
  <c r="M255" i="1"/>
  <c r="M1155" i="1"/>
  <c r="M1124" i="1"/>
  <c r="M1427" i="1"/>
  <c r="M476" i="1"/>
  <c r="M1776" i="1"/>
  <c r="M750" i="1"/>
  <c r="M1602" i="1"/>
  <c r="M209" i="1"/>
  <c r="M1785" i="1"/>
  <c r="M320" i="1"/>
  <c r="M1651" i="1"/>
  <c r="M115" i="1"/>
  <c r="M1327" i="1"/>
  <c r="M1618" i="1"/>
  <c r="M1549" i="1"/>
  <c r="M1863" i="1"/>
  <c r="M1231" i="1"/>
  <c r="M609" i="1"/>
  <c r="M1252" i="1"/>
  <c r="M712" i="1"/>
  <c r="M779" i="1"/>
  <c r="M614" i="1"/>
  <c r="M1050" i="1"/>
  <c r="M13" i="1"/>
  <c r="M401" i="1"/>
  <c r="M554" i="1"/>
  <c r="M1500" i="1"/>
  <c r="M1719" i="1"/>
  <c r="M1625" i="1"/>
  <c r="M1084" i="1"/>
  <c r="M1588" i="1"/>
  <c r="M1250" i="1"/>
  <c r="M560" i="1"/>
  <c r="M590" i="1"/>
  <c r="M418" i="1"/>
  <c r="M1574" i="1"/>
  <c r="M1455" i="1"/>
  <c r="M1259" i="1"/>
  <c r="M1674" i="1"/>
  <c r="M1667" i="1"/>
  <c r="M1429" i="1"/>
  <c r="M134" i="1"/>
  <c r="M1362" i="1"/>
  <c r="M503" i="1"/>
  <c r="M245" i="1"/>
  <c r="M170" i="1"/>
  <c r="M523" i="1"/>
  <c r="M1175" i="1"/>
  <c r="M373" i="1"/>
  <c r="M324" i="1"/>
  <c r="M977" i="1"/>
  <c r="M691" i="1"/>
  <c r="M229" i="1"/>
  <c r="M1960" i="1"/>
  <c r="M881" i="1"/>
  <c r="M618" i="1"/>
  <c r="M1926" i="1"/>
  <c r="M1236" i="1"/>
  <c r="M1075" i="1"/>
  <c r="M159" i="1"/>
  <c r="M1219" i="1"/>
  <c r="M833" i="1"/>
  <c r="M497" i="1"/>
  <c r="M300" i="1"/>
  <c r="M185" i="1"/>
  <c r="M1819" i="1"/>
  <c r="M488" i="1"/>
  <c r="M1739" i="1"/>
  <c r="M983" i="1"/>
  <c r="M1582" i="1"/>
  <c r="M574" i="1"/>
  <c r="M1569" i="1"/>
  <c r="M1370" i="1"/>
  <c r="M1467" i="1"/>
  <c r="M1331" i="1"/>
  <c r="M510" i="1"/>
  <c r="M1950" i="1"/>
  <c r="M571" i="1"/>
  <c r="M1587" i="1"/>
  <c r="M1330" i="1"/>
  <c r="M1152" i="1"/>
  <c r="M1560" i="1"/>
  <c r="M188" i="1"/>
  <c r="M64" i="1"/>
  <c r="M237" i="1"/>
  <c r="M83" i="1"/>
  <c r="M1400" i="1"/>
  <c r="M745" i="1"/>
  <c r="M769" i="1"/>
  <c r="M1288" i="1"/>
  <c r="M1506" i="1"/>
  <c r="M1640" i="1"/>
  <c r="M1685" i="1"/>
  <c r="M1837" i="1"/>
  <c r="M813" i="1"/>
  <c r="M563" i="1"/>
  <c r="M268" i="1"/>
  <c r="M389" i="1"/>
  <c r="M728" i="1"/>
  <c r="M1189" i="1"/>
  <c r="M178" i="1"/>
  <c r="M39" i="1"/>
  <c r="M675" i="1"/>
  <c r="M906" i="1"/>
  <c r="M384" i="1"/>
  <c r="M158" i="1"/>
  <c r="M12" i="1"/>
  <c r="M378" i="1"/>
  <c r="M1649" i="1"/>
  <c r="M776" i="1"/>
  <c r="M512" i="1"/>
  <c r="M1767" i="1"/>
  <c r="M970" i="1"/>
  <c r="M1248" i="1"/>
  <c r="M1961" i="1"/>
  <c r="M1864" i="1"/>
  <c r="M768" i="1"/>
  <c r="M111" i="1"/>
  <c r="M1886" i="1"/>
  <c r="M1521" i="1"/>
  <c r="M1237" i="1"/>
  <c r="M282" i="1"/>
  <c r="M154" i="1"/>
  <c r="M918" i="1"/>
  <c r="M133" i="1"/>
  <c r="M416" i="1"/>
  <c r="M1254" i="1"/>
  <c r="M882" i="1"/>
  <c r="M102" i="1"/>
  <c r="M959" i="1"/>
  <c r="M163" i="1"/>
  <c r="M682" i="1"/>
  <c r="M496" i="1"/>
  <c r="M352" i="1"/>
  <c r="M1181" i="1"/>
  <c r="M730" i="1"/>
  <c r="M748" i="1"/>
  <c r="M974" i="1"/>
  <c r="M1850" i="1"/>
  <c r="M325" i="1"/>
  <c r="M1090" i="1"/>
  <c r="M659" i="1"/>
  <c r="M597" i="1"/>
  <c r="M1082" i="1"/>
  <c r="M1158" i="1"/>
  <c r="M1356" i="1"/>
  <c r="M980" i="1"/>
  <c r="M1899" i="1"/>
  <c r="M868" i="1"/>
  <c r="M1479" i="1"/>
  <c r="M465" i="1"/>
  <c r="M1138" i="1"/>
  <c r="M1343" i="1"/>
  <c r="M987" i="1"/>
  <c r="M676" i="1"/>
  <c r="M1369" i="1"/>
  <c r="M491" i="1"/>
  <c r="M1442" i="1"/>
  <c r="M1309" i="1"/>
  <c r="M1729" i="1"/>
  <c r="M1086" i="1"/>
  <c r="M1210" i="1"/>
  <c r="M128" i="1"/>
  <c r="M1099" i="1"/>
  <c r="M594" i="1"/>
  <c r="M216" i="1"/>
  <c r="M615" i="1"/>
  <c r="M632" i="1"/>
  <c r="M1865" i="1"/>
  <c r="M1041" i="1"/>
  <c r="M207" i="1"/>
  <c r="M625" i="1"/>
  <c r="M475" i="1"/>
  <c r="M1690" i="1"/>
  <c r="M53" i="1"/>
  <c r="M161" i="1"/>
  <c r="M1580" i="1"/>
  <c r="M471" i="1"/>
  <c r="M1371" i="1"/>
  <c r="M1666" i="1"/>
  <c r="M1944" i="1"/>
  <c r="M1744" i="1"/>
  <c r="M455" i="1"/>
  <c r="M1094" i="1"/>
  <c r="M1089" i="1"/>
  <c r="M240" i="1"/>
  <c r="M1052" i="1"/>
  <c r="M1023" i="1"/>
  <c r="M805" i="1"/>
  <c r="M1399" i="1"/>
  <c r="M487" i="1"/>
  <c r="M1912" i="1"/>
  <c r="M288" i="1"/>
  <c r="M254" i="1"/>
  <c r="M230" i="1"/>
  <c r="M979" i="1"/>
  <c r="M151" i="1"/>
  <c r="M453" i="1"/>
  <c r="M1501" i="1"/>
  <c r="M1632" i="1"/>
  <c r="M1977" i="1"/>
  <c r="M108" i="1"/>
  <c r="M1669" i="1"/>
  <c r="M617" i="1"/>
  <c r="M1080" i="1"/>
  <c r="M1000" i="1"/>
  <c r="M660" i="1"/>
  <c r="M318" i="1"/>
  <c r="M798" i="1"/>
  <c r="M451" i="1"/>
  <c r="M1176" i="1"/>
  <c r="M1318" i="1"/>
  <c r="M1847" i="1"/>
  <c r="M1516" i="1"/>
  <c r="M1046" i="1"/>
  <c r="M790" i="1"/>
  <c r="M225" i="1"/>
  <c r="M1116" i="1"/>
  <c r="M1613" i="1"/>
  <c r="M1595" i="1"/>
  <c r="M238" i="1"/>
  <c r="M1441" i="1"/>
  <c r="M1754" i="1"/>
  <c r="M1373" i="1"/>
  <c r="M610" i="1"/>
  <c r="M41" i="1"/>
  <c r="M504" i="1"/>
  <c r="M595" i="1"/>
  <c r="M804" i="1"/>
  <c r="M640" i="1"/>
  <c r="M1581" i="1"/>
  <c r="M1963" i="1"/>
  <c r="M1272" i="1"/>
  <c r="M1396" i="1"/>
  <c r="M430" i="1"/>
  <c r="M1229" i="1"/>
  <c r="M1474" i="1"/>
  <c r="M113" i="1"/>
  <c r="M155" i="1"/>
  <c r="M953" i="1"/>
  <c r="M658" i="1"/>
  <c r="M585" i="1"/>
  <c r="M520" i="1"/>
  <c r="M1948" i="1"/>
  <c r="M692" i="1"/>
  <c r="M372" i="1"/>
  <c r="M466" i="1"/>
  <c r="M1130" i="1"/>
  <c r="M34" i="1"/>
  <c r="M1537" i="1"/>
  <c r="M704" i="1"/>
  <c r="M648" i="1"/>
  <c r="M938" i="1"/>
  <c r="M786" i="1"/>
  <c r="M907" i="1"/>
  <c r="M419" i="1"/>
  <c r="M1834" i="1"/>
  <c r="M256" i="1"/>
  <c r="M369" i="1"/>
  <c r="M1275" i="1"/>
  <c r="M982" i="1"/>
  <c r="M313" i="1"/>
  <c r="M1452" i="1"/>
  <c r="M1463" i="1"/>
  <c r="M1621" i="1"/>
  <c r="M1633" i="1"/>
  <c r="M1030" i="1"/>
  <c r="M375" i="1"/>
  <c r="M1802" i="1"/>
  <c r="M1911" i="1"/>
  <c r="M387" i="1"/>
  <c r="M863" i="1"/>
  <c r="M673" i="1"/>
  <c r="M1798" i="1"/>
  <c r="M838" i="1"/>
  <c r="M1922" i="1"/>
  <c r="M1142" i="1"/>
  <c r="M1200" i="1"/>
  <c r="M664" i="1"/>
  <c r="M1352" i="1"/>
  <c r="M1910" i="1"/>
  <c r="M395" i="1"/>
  <c r="M55" i="1"/>
  <c r="M1199" i="1"/>
  <c r="M286" i="1"/>
  <c r="M940" i="1"/>
  <c r="M1866" i="1"/>
  <c r="M514" i="1"/>
  <c r="M422" i="1"/>
  <c r="M1208" i="1"/>
  <c r="M1382" i="1"/>
  <c r="M110" i="1"/>
  <c r="M767" i="1"/>
  <c r="M1133" i="1"/>
  <c r="M168" i="1"/>
  <c r="M176" i="1"/>
  <c r="M1097" i="1"/>
  <c r="M943" i="1"/>
  <c r="M1825" i="1"/>
  <c r="M1578" i="1"/>
  <c r="M688" i="1"/>
  <c r="M559" i="1"/>
  <c r="M1153" i="1"/>
  <c r="M619" i="1"/>
  <c r="M337" i="1"/>
  <c r="M749" i="1"/>
</calcChain>
</file>

<file path=xl/sharedStrings.xml><?xml version="1.0" encoding="utf-8"?>
<sst xmlns="http://schemas.openxmlformats.org/spreadsheetml/2006/main" count="5998" uniqueCount="83">
  <si>
    <t>GreenGrocer Plaza</t>
  </si>
  <si>
    <t>Produce</t>
  </si>
  <si>
    <t>Pasta</t>
  </si>
  <si>
    <t>ValuePlus Market</t>
  </si>
  <si>
    <t>Dairy</t>
  </si>
  <si>
    <t>Cheese</t>
  </si>
  <si>
    <t>Bakery</t>
  </si>
  <si>
    <t>Onions</t>
  </si>
  <si>
    <t>SuperSave Central</t>
  </si>
  <si>
    <t>Snacks &amp; Candy</t>
  </si>
  <si>
    <t>Cereal</t>
  </si>
  <si>
    <t>Canned Goods</t>
  </si>
  <si>
    <t>Orange Juice</t>
  </si>
  <si>
    <t>Corner Grocery</t>
  </si>
  <si>
    <t>Ground Beef</t>
  </si>
  <si>
    <t>City Fresh Store</t>
  </si>
  <si>
    <t>Health &amp; Wellness</t>
  </si>
  <si>
    <t>Household Items</t>
  </si>
  <si>
    <t>Apples</t>
  </si>
  <si>
    <t>QuickStop Market</t>
  </si>
  <si>
    <t>FreshMart Downtown</t>
  </si>
  <si>
    <t>Tomatoes</t>
  </si>
  <si>
    <t>Salmon</t>
  </si>
  <si>
    <t>Meat &amp; Seafood</t>
  </si>
  <si>
    <t>Frozen Foods</t>
  </si>
  <si>
    <t>MegaMart Westside</t>
  </si>
  <si>
    <t>Rice</t>
  </si>
  <si>
    <t>Personal Care</t>
  </si>
  <si>
    <t>Bananas</t>
  </si>
  <si>
    <t>Milk</t>
  </si>
  <si>
    <t>Eggs</t>
  </si>
  <si>
    <t>FamilyFood Express</t>
  </si>
  <si>
    <t>Bread</t>
  </si>
  <si>
    <t>Yogurt</t>
  </si>
  <si>
    <t>Beverages</t>
  </si>
  <si>
    <t>Carrots</t>
  </si>
  <si>
    <t>Potatoes</t>
  </si>
  <si>
    <t>Chicken Breast</t>
  </si>
  <si>
    <t>Customer_ID</t>
  </si>
  <si>
    <t>Store_Name</t>
  </si>
  <si>
    <t>Transaction_Date</t>
  </si>
  <si>
    <t>Aisle</t>
  </si>
  <si>
    <t>Product_Name</t>
  </si>
  <si>
    <t>Quantity</t>
  </si>
  <si>
    <t>Unit_Price</t>
  </si>
  <si>
    <t>Total_Amount</t>
  </si>
  <si>
    <t>Discount_Amount</t>
  </si>
  <si>
    <t>Final_Amount</t>
  </si>
  <si>
    <t>Loyalty_Points</t>
  </si>
  <si>
    <t>Unknown Store</t>
  </si>
  <si>
    <t>Sales Year</t>
  </si>
  <si>
    <t>Discount Category</t>
  </si>
  <si>
    <t>Customer Type</t>
  </si>
  <si>
    <t>Weekday</t>
  </si>
  <si>
    <t>Order Type</t>
  </si>
  <si>
    <t>Weekend/Weekday</t>
  </si>
  <si>
    <t>Sales Month</t>
  </si>
  <si>
    <t>High Value Order</t>
  </si>
  <si>
    <t>Row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</si>
  <si>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</si>
  <si>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</si>
  <si>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</si>
  <si>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</si>
  <si>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</si>
  <si>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</si>
  <si>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</si>
  <si>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</si>
  <si>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</si>
  <si>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</si>
  <si>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</si>
  <si>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</si>
  <si>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(blank)</t>
  </si>
  <si>
    <t>Grand Total</t>
  </si>
  <si>
    <t>Sum of Final_Amount</t>
  </si>
  <si>
    <t>Sales by Month</t>
  </si>
  <si>
    <t>Gold</t>
  </si>
  <si>
    <t>Platinum</t>
  </si>
  <si>
    <t>Regular</t>
  </si>
  <si>
    <t>Silver</t>
  </si>
  <si>
    <t>Medium Order</t>
  </si>
  <si>
    <t>Small Order</t>
  </si>
  <si>
    <t>Sum of Quantity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</si>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</sst>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/>
    <xf numFmtId="0" fontId="16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55.499148495372" createdVersion="8" refreshedVersion="8" minRefreshableVersion="3" recordCount="1982" xr:uid="{7A69DCBB-F0AB-4245-A364-A7B9F83C9266}">
  <cacheSource type="worksheet">
    <worksheetSource name="Table1"/>
  </cacheSource>
  <cacheFields count="19">
    <cacheField name="Customer_ID" numFmtId="0">
      <sharedItems containsString="0" containsBlank="1" containsNumber="1" containsInteger="1" minValue="1006" maxValue="9998"/>
    </cacheField>
    <cacheField name="Store_Name" numFmtId="0">
      <sharedItems containsBlank="1"/>
    </cacheField>
    <cacheField name="Transaction_Date" numFmtId="14">
      <sharedItems containsNonDate="0" containsDate="1" containsString="0" containsBlank="1" minDate="2023-08-07T00:00:00" maxDate="2025-08-06T00:00:00"/>
    </cacheField>
    <cacheField name="Aisle" numFmtId="0">
      <sharedItems containsBlank="1"/>
    </cacheField>
    <cacheField name="Product_Name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Unit_Price" numFmtId="0">
      <sharedItems containsString="0" containsBlank="1" containsNumber="1" minValue="0.99" maxValue="29.98"/>
    </cacheField>
    <cacheField name="Total_Amount" numFmtId="0">
      <sharedItems containsString="0" containsBlank="1" containsNumber="1" minValue="1.01" maxValue="149.9"/>
    </cacheField>
    <cacheField name="Discount Category" numFmtId="0">
      <sharedItems containsBlank="1"/>
    </cacheField>
    <cacheField name="Discount_Amount" numFmtId="0">
      <sharedItems containsString="0" containsBlank="1" containsNumber="1" minValue="0" maxValue="29.94"/>
    </cacheField>
    <cacheField name="Final_Amount" numFmtId="0">
      <sharedItems containsString="0" containsBlank="1" containsNumber="1" minValue="0" maxValue="147.91"/>
    </cacheField>
    <cacheField name="Sales Month" numFmtId="0">
      <sharedItems containsBlank="1" count="13">
        <s v="November"/>
        <s v="September"/>
        <s v="July"/>
        <s v="May"/>
        <s v="February"/>
        <s v="August"/>
        <s v="March"/>
        <s v="October"/>
        <s v="January"/>
        <s v="April"/>
        <s v="June"/>
        <s v="December"/>
        <m/>
      </sharedItems>
    </cacheField>
    <cacheField name="Sales Year" numFmtId="0">
      <sharedItems containsString="0" containsBlank="1" containsNumber="1" containsInteger="1" minValue="2023" maxValue="2025"/>
    </cacheField>
    <cacheField name="Loyalty_Points" numFmtId="0">
      <sharedItems containsString="0" containsBlank="1" containsNumber="1" containsInteger="1" minValue="0" maxValue="500"/>
    </cacheField>
    <cacheField name="Customer Type" numFmtId="0">
      <sharedItems containsBlank="1" count="5">
        <s v="Platinum"/>
        <s v="Regular"/>
        <s v="Gold"/>
        <s v="Silver"/>
        <m/>
      </sharedItems>
    </cacheField>
    <cacheField name="Weekday" numFmtId="0">
      <sharedItems containsBlank="1"/>
    </cacheField>
    <cacheField name="Order Type" numFmtId="0">
      <sharedItems containsBlank="1" count="3">
        <s v="Small Order"/>
        <s v="Medium Order"/>
        <m/>
      </sharedItems>
    </cacheField>
    <cacheField name="Weekend/Weekday" numFmtId="0">
      <sharedItems containsBlank="1" count="3">
        <s v="Weekend"/>
        <s v="Weekday"/>
        <m/>
      </sharedItems>
    </cacheField>
    <cacheField name="High Value Ord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2">
  <r>
    <n v="7022"/>
    <s v="FreshMart Downtown"/>
    <d v="2023-11-04T00:00:00"/>
    <s v="Canned Goods"/>
    <s v="Onions"/>
    <n v="1"/>
    <n v="1.01"/>
    <n v="1.01"/>
    <s v="Low"/>
    <n v="4.4400000000000004"/>
    <n v="0"/>
    <x v="0"/>
    <n v="2023"/>
    <n v="286"/>
    <x v="0"/>
    <s v="Saturday"/>
    <x v="0"/>
    <x v="0"/>
    <s v="Regular"/>
  </r>
  <r>
    <n v="8205"/>
    <s v="FreshMart Downtown"/>
    <d v="2023-09-29T00:00:00"/>
    <s v="Frozen Foods"/>
    <s v="Yogurt"/>
    <n v="1"/>
    <n v="1.63"/>
    <n v="1.63"/>
    <s v="Low"/>
    <n v="3.58"/>
    <n v="0"/>
    <x v="1"/>
    <n v="2023"/>
    <n v="410"/>
    <x v="0"/>
    <s v="Friday"/>
    <x v="0"/>
    <x v="1"/>
    <s v="Regular"/>
  </r>
  <r>
    <n v="9920"/>
    <s v="MegaMart Westside"/>
    <d v="2024-07-01T00:00:00"/>
    <s v="Bakery"/>
    <s v="Bread"/>
    <n v="1"/>
    <n v="1.73"/>
    <n v="1.73"/>
    <s v="Low"/>
    <n v="3.47"/>
    <n v="0"/>
    <x v="2"/>
    <n v="2024"/>
    <n v="5"/>
    <x v="1"/>
    <s v="Monday"/>
    <x v="0"/>
    <x v="1"/>
    <s v="Regular"/>
  </r>
  <r>
    <n v="5803"/>
    <s v="GreenGrocer Plaza"/>
    <d v="2025-05-12T00:00:00"/>
    <s v="Beverages"/>
    <s v="Onions"/>
    <n v="1"/>
    <n v="2.46"/>
    <n v="2.46"/>
    <s v="Low"/>
    <n v="4.71"/>
    <n v="0"/>
    <x v="3"/>
    <n v="2025"/>
    <n v="276"/>
    <x v="0"/>
    <s v="Monday"/>
    <x v="0"/>
    <x v="1"/>
    <s v="Regular"/>
  </r>
  <r>
    <n v="5506"/>
    <s v="ValuePlus Market"/>
    <d v="2024-02-13T00:00:00"/>
    <s v="Dairy"/>
    <s v="Cheese"/>
    <n v="1"/>
    <n v="1.85"/>
    <n v="1.85"/>
    <s v="Low"/>
    <n v="3.41"/>
    <n v="0"/>
    <x v="4"/>
    <n v="2024"/>
    <n v="111"/>
    <x v="2"/>
    <s v="Tuesday"/>
    <x v="0"/>
    <x v="1"/>
    <s v="Regular"/>
  </r>
  <r>
    <n v="2217"/>
    <s v="SuperSave Central"/>
    <d v="2025-05-03T00:00:00"/>
    <s v="Snacks &amp; Candy"/>
    <s v="Cheese"/>
    <n v="1"/>
    <n v="2.79"/>
    <n v="2.79"/>
    <s v="Low"/>
    <n v="4.3899999999999997"/>
    <n v="0"/>
    <x v="3"/>
    <n v="2025"/>
    <n v="128"/>
    <x v="2"/>
    <s v="Saturday"/>
    <x v="0"/>
    <x v="0"/>
    <s v="Regular"/>
  </r>
  <r>
    <n v="7543"/>
    <s v="QuickStop Market"/>
    <d v="2024-05-14T00:00:00"/>
    <s v="Bakery"/>
    <s v="Yogurt"/>
    <n v="2"/>
    <n v="1.7"/>
    <n v="3.4"/>
    <s v="Low"/>
    <n v="4.4000000000000004"/>
    <n v="0"/>
    <x v="3"/>
    <n v="2024"/>
    <n v="125"/>
    <x v="2"/>
    <s v="Tuesday"/>
    <x v="0"/>
    <x v="1"/>
    <s v="Regular"/>
  </r>
  <r>
    <n v="5332"/>
    <s v="Corner Grocery"/>
    <d v="2024-09-26T00:00:00"/>
    <s v="Health &amp; Wellness"/>
    <s v="Cereal"/>
    <n v="1"/>
    <n v="3.78"/>
    <n v="3.78"/>
    <s v="Low"/>
    <n v="4.34"/>
    <n v="0"/>
    <x v="1"/>
    <n v="2024"/>
    <n v="337"/>
    <x v="0"/>
    <s v="Thursday"/>
    <x v="0"/>
    <x v="1"/>
    <s v="Regular"/>
  </r>
  <r>
    <n v="3303"/>
    <s v="ValuePlus Market"/>
    <d v="2024-08-11T00:00:00"/>
    <s v="Dairy"/>
    <s v="Bananas"/>
    <n v="1"/>
    <n v="3.97"/>
    <n v="3.97"/>
    <s v="Low"/>
    <n v="4.55"/>
    <n v="0"/>
    <x v="5"/>
    <n v="2024"/>
    <n v="151"/>
    <x v="2"/>
    <s v="Sunday"/>
    <x v="0"/>
    <x v="0"/>
    <s v="Regular"/>
  </r>
  <r>
    <n v="8538"/>
    <s v="FreshMart Downtown"/>
    <d v="2025-05-14T00:00:00"/>
    <s v="Beverages"/>
    <s v="Carrots"/>
    <n v="1"/>
    <n v="3.04"/>
    <n v="3.04"/>
    <s v="Low"/>
    <n v="3.32"/>
    <n v="0"/>
    <x v="3"/>
    <n v="2025"/>
    <n v="120"/>
    <x v="2"/>
    <s v="Wednesday"/>
    <x v="0"/>
    <x v="1"/>
    <s v="Regular"/>
  </r>
  <r>
    <n v="4496"/>
    <s v="FamilyFood Express"/>
    <d v="2024-08-11T00:00:00"/>
    <s v="Beverages"/>
    <s v="Yogurt"/>
    <n v="2"/>
    <n v="1.35"/>
    <n v="2.7"/>
    <s v="Low"/>
    <n v="2.93"/>
    <n v="0"/>
    <x v="5"/>
    <n v="2024"/>
    <n v="124"/>
    <x v="2"/>
    <s v="Sunday"/>
    <x v="0"/>
    <x v="0"/>
    <s v="Regular"/>
  </r>
  <r>
    <n v="4613"/>
    <s v="QuickStop Market"/>
    <d v="2024-03-20T00:00:00"/>
    <s v="Snacks &amp; Candy"/>
    <s v="Tomatoes"/>
    <n v="4"/>
    <n v="1.1499999999999999"/>
    <n v="4.5999999999999996"/>
    <s v="Low"/>
    <n v="4.87"/>
    <n v="0"/>
    <x v="6"/>
    <n v="2024"/>
    <n v="481"/>
    <x v="0"/>
    <s v="Wednesday"/>
    <x v="1"/>
    <x v="1"/>
    <s v="Regular"/>
  </r>
  <r>
    <n v="6912"/>
    <s v="ValuePlus Market"/>
    <d v="2024-10-10T00:00:00"/>
    <s v="Canned Goods"/>
    <s v="Yogurt"/>
    <n v="1"/>
    <n v="3.97"/>
    <n v="3.97"/>
    <s v="Low"/>
    <n v="4.16"/>
    <n v="0"/>
    <x v="7"/>
    <n v="2024"/>
    <n v="304"/>
    <x v="0"/>
    <s v="Thursday"/>
    <x v="0"/>
    <x v="1"/>
    <s v="Regular"/>
  </r>
  <r>
    <n v="4770"/>
    <s v="SuperSave Central"/>
    <d v="2024-08-29T00:00:00"/>
    <s v="Household Items"/>
    <s v="Bread"/>
    <n v="1"/>
    <n v="4.3"/>
    <n v="4.3"/>
    <s v="Low"/>
    <n v="4.22"/>
    <n v="8.0000000000000071E-2"/>
    <x v="5"/>
    <n v="2024"/>
    <n v="304"/>
    <x v="0"/>
    <s v="Thursday"/>
    <x v="0"/>
    <x v="1"/>
    <s v="Regular"/>
  </r>
  <r>
    <n v="9976"/>
    <s v="City Fresh Store"/>
    <d v="2024-07-18T00:00:00"/>
    <s v="Health &amp; Wellness"/>
    <s v="Potatoes"/>
    <n v="1"/>
    <n v="1.18"/>
    <n v="1.18"/>
    <s v="Low"/>
    <n v="1.07"/>
    <n v="0.10999999999999988"/>
    <x v="2"/>
    <n v="2024"/>
    <n v="282"/>
    <x v="0"/>
    <s v="Thursday"/>
    <x v="0"/>
    <x v="1"/>
    <s v="Regular"/>
  </r>
  <r>
    <n v="1172"/>
    <s v="SuperSave Central"/>
    <d v="2023-10-22T00:00:00"/>
    <s v="Health &amp; Wellness"/>
    <s v="Onions"/>
    <n v="3"/>
    <n v="1.1299999999999999"/>
    <n v="3.39"/>
    <s v="Low"/>
    <n v="2.88"/>
    <n v="0.51000000000000023"/>
    <x v="7"/>
    <n v="2023"/>
    <n v="81"/>
    <x v="3"/>
    <s v="Sunday"/>
    <x v="1"/>
    <x v="0"/>
    <s v="Regular"/>
  </r>
  <r>
    <n v="3828"/>
    <s v="SuperSave Central"/>
    <d v="2025-07-05T00:00:00"/>
    <s v="Dairy"/>
    <s v="Eggs"/>
    <n v="1"/>
    <n v="4.6900000000000004"/>
    <n v="4.6900000000000004"/>
    <s v="Low"/>
    <n v="3.92"/>
    <n v="0.77000000000000046"/>
    <x v="2"/>
    <n v="2025"/>
    <n v="477"/>
    <x v="0"/>
    <s v="Saturday"/>
    <x v="0"/>
    <x v="0"/>
    <s v="Regular"/>
  </r>
  <r>
    <n v="1831"/>
    <s v="SuperSave Central"/>
    <d v="2025-01-08T00:00:00"/>
    <s v="Snacks &amp; Candy"/>
    <s v="Orange Juice"/>
    <n v="1"/>
    <n v="3.93"/>
    <n v="3.93"/>
    <s v="Low"/>
    <n v="3.12"/>
    <n v="0.81"/>
    <x v="8"/>
    <n v="2025"/>
    <n v="251"/>
    <x v="0"/>
    <s v="Wednesday"/>
    <x v="0"/>
    <x v="1"/>
    <s v="Regular"/>
  </r>
  <r>
    <n v="5050"/>
    <s v="FamilyFood Express"/>
    <d v="2025-05-20T00:00:00"/>
    <s v="Frozen Foods"/>
    <s v="Bread"/>
    <n v="1"/>
    <n v="3.7"/>
    <n v="3.7"/>
    <s v="Low"/>
    <n v="2.9"/>
    <n v="0.80000000000000027"/>
    <x v="3"/>
    <n v="2025"/>
    <n v="194"/>
    <x v="2"/>
    <s v="Tuesday"/>
    <x v="0"/>
    <x v="1"/>
    <s v="Regular"/>
  </r>
  <r>
    <n v="7244"/>
    <s v="Corner Grocery"/>
    <d v="2025-04-08T00:00:00"/>
    <s v="Bakery"/>
    <s v="Apples"/>
    <n v="1"/>
    <n v="6.53"/>
    <n v="6.53"/>
    <s v="Low"/>
    <n v="4.96"/>
    <n v="1.5700000000000003"/>
    <x v="9"/>
    <n v="2025"/>
    <n v="461"/>
    <x v="0"/>
    <s v="Tuesday"/>
    <x v="0"/>
    <x v="1"/>
    <s v="Regular"/>
  </r>
  <r>
    <n v="9221"/>
    <s v="Corner Grocery"/>
    <d v="2025-03-30T00:00:00"/>
    <s v="Frozen Foods"/>
    <s v="Salmon"/>
    <n v="3"/>
    <n v="1.33"/>
    <n v="3.99"/>
    <s v="Low"/>
    <n v="2.96"/>
    <n v="1.0300000000000002"/>
    <x v="6"/>
    <n v="2025"/>
    <n v="59"/>
    <x v="3"/>
    <s v="Sunday"/>
    <x v="1"/>
    <x v="0"/>
    <s v="Regular"/>
  </r>
  <r>
    <n v="8155"/>
    <s v="Corner Grocery"/>
    <d v="2025-05-23T00:00:00"/>
    <s v="Bakery"/>
    <s v="Tomatoes"/>
    <n v="2"/>
    <n v="3.12"/>
    <n v="6.24"/>
    <s v="Low"/>
    <n v="4.5599999999999996"/>
    <n v="1.6800000000000006"/>
    <x v="3"/>
    <n v="2025"/>
    <n v="299"/>
    <x v="0"/>
    <s v="Friday"/>
    <x v="0"/>
    <x v="1"/>
    <s v="Regular"/>
  </r>
  <r>
    <n v="3045"/>
    <s v="Corner Grocery"/>
    <d v="2025-07-23T00:00:00"/>
    <s v="Beverages"/>
    <s v="Milk"/>
    <n v="1"/>
    <n v="2.75"/>
    <n v="2.75"/>
    <s v="Low"/>
    <n v="1.99"/>
    <n v="0.76"/>
    <x v="2"/>
    <n v="2025"/>
    <n v="372"/>
    <x v="0"/>
    <s v="Wednesday"/>
    <x v="0"/>
    <x v="1"/>
    <s v="Regular"/>
  </r>
  <r>
    <n v="8272"/>
    <s v="GreenGrocer Plaza"/>
    <d v="2024-05-06T00:00:00"/>
    <s v="Household Items"/>
    <s v="Cheese"/>
    <n v="1"/>
    <n v="4.5"/>
    <n v="4.5"/>
    <s v="Low"/>
    <n v="3.09"/>
    <n v="1.4100000000000001"/>
    <x v="3"/>
    <n v="2024"/>
    <n v="292"/>
    <x v="0"/>
    <s v="Monday"/>
    <x v="0"/>
    <x v="1"/>
    <s v="Regular"/>
  </r>
  <r>
    <n v="2713"/>
    <s v="Corner Grocery"/>
    <d v="2025-06-03T00:00:00"/>
    <s v="Produce"/>
    <s v="Onions"/>
    <n v="5"/>
    <n v="0.99"/>
    <n v="4.95"/>
    <s v="Low"/>
    <n v="3.25"/>
    <n v="1.7000000000000002"/>
    <x v="10"/>
    <n v="2025"/>
    <n v="46"/>
    <x v="1"/>
    <s v="Tuesday"/>
    <x v="1"/>
    <x v="1"/>
    <s v="Regular"/>
  </r>
  <r>
    <n v="7624"/>
    <s v="City Fresh Store"/>
    <d v="2025-02-19T00:00:00"/>
    <s v="Canned Goods"/>
    <s v="Bread"/>
    <n v="3"/>
    <n v="2.29"/>
    <n v="6.87"/>
    <s v="Low"/>
    <n v="4.4000000000000004"/>
    <n v="2.4699999999999998"/>
    <x v="4"/>
    <n v="2025"/>
    <n v="363"/>
    <x v="0"/>
    <s v="Wednesday"/>
    <x v="1"/>
    <x v="1"/>
    <s v="Regular"/>
  </r>
  <r>
    <n v="6617"/>
    <s v="SuperSave Central"/>
    <d v="2024-01-12T00:00:00"/>
    <s v="Bakery"/>
    <s v="Eggs"/>
    <n v="3"/>
    <n v="2.5"/>
    <n v="7.5"/>
    <s v="Low"/>
    <n v="4.74"/>
    <n v="2.76"/>
    <x v="8"/>
    <n v="2024"/>
    <n v="246"/>
    <x v="0"/>
    <s v="Friday"/>
    <x v="1"/>
    <x v="1"/>
    <s v="Regular"/>
  </r>
  <r>
    <n v="6692"/>
    <s v="MegaMart Westside"/>
    <d v="2025-02-08T00:00:00"/>
    <s v="Personal Care"/>
    <s v="Milk"/>
    <n v="2"/>
    <n v="2.35"/>
    <n v="4.7"/>
    <s v="Low"/>
    <n v="2.8"/>
    <n v="1.9000000000000004"/>
    <x v="4"/>
    <n v="2025"/>
    <n v="470"/>
    <x v="0"/>
    <s v="Saturday"/>
    <x v="0"/>
    <x v="0"/>
    <s v="Regular"/>
  </r>
  <r>
    <n v="3527"/>
    <s v="City Fresh Store"/>
    <d v="2025-03-03T00:00:00"/>
    <s v="Personal Care"/>
    <s v="Yogurt"/>
    <n v="2"/>
    <n v="2.12"/>
    <n v="4.24"/>
    <s v="Low"/>
    <n v="2.52"/>
    <n v="1.7200000000000002"/>
    <x v="6"/>
    <n v="2025"/>
    <n v="352"/>
    <x v="0"/>
    <s v="Monday"/>
    <x v="0"/>
    <x v="1"/>
    <s v="Regular"/>
  </r>
  <r>
    <n v="8639"/>
    <s v="GreenGrocer Plaza"/>
    <d v="2024-09-24T00:00:00"/>
    <s v="Produce"/>
    <s v="Potatoes"/>
    <n v="3"/>
    <n v="1.1399999999999999"/>
    <n v="3.42"/>
    <s v="Low"/>
    <n v="2.0099999999999998"/>
    <n v="1.4100000000000001"/>
    <x v="1"/>
    <n v="2024"/>
    <n v="180"/>
    <x v="2"/>
    <s v="Tuesday"/>
    <x v="1"/>
    <x v="1"/>
    <s v="Regular"/>
  </r>
  <r>
    <n v="1878"/>
    <s v="City Fresh Store"/>
    <d v="2023-12-02T00:00:00"/>
    <s v="Household Items"/>
    <s v="Potatoes"/>
    <n v="1"/>
    <n v="5.98"/>
    <n v="5.98"/>
    <s v="Low"/>
    <n v="3.43"/>
    <n v="2.5500000000000003"/>
    <x v="11"/>
    <n v="2023"/>
    <n v="206"/>
    <x v="0"/>
    <s v="Saturday"/>
    <x v="0"/>
    <x v="0"/>
    <s v="Regular"/>
  </r>
  <r>
    <n v="6372"/>
    <s v="FreshMart Downtown"/>
    <d v="2023-10-13T00:00:00"/>
    <s v="Meat &amp; Seafood"/>
    <s v="Ground Beef"/>
    <n v="1"/>
    <n v="8.75"/>
    <n v="8.75"/>
    <s v="Low"/>
    <n v="4.83"/>
    <n v="3.92"/>
    <x v="7"/>
    <n v="2023"/>
    <n v="480"/>
    <x v="0"/>
    <s v="Friday"/>
    <x v="0"/>
    <x v="1"/>
    <s v="Regular"/>
  </r>
  <r>
    <n v="1719"/>
    <s v="City Fresh Store"/>
    <d v="2025-07-22T00:00:00"/>
    <s v="Personal Care"/>
    <s v="Rice"/>
    <n v="2"/>
    <n v="3.24"/>
    <n v="6.48"/>
    <s v="Low"/>
    <n v="3.48"/>
    <n v="3.0000000000000004"/>
    <x v="2"/>
    <n v="2025"/>
    <n v="54"/>
    <x v="3"/>
    <s v="Tuesday"/>
    <x v="0"/>
    <x v="1"/>
    <s v="Regular"/>
  </r>
  <r>
    <n v="7882"/>
    <s v="GreenGrocer Plaza"/>
    <d v="2025-05-06T00:00:00"/>
    <s v="Frozen Foods"/>
    <s v="Cheese"/>
    <n v="2"/>
    <n v="2.67"/>
    <n v="5.34"/>
    <s v="Low"/>
    <n v="2.81"/>
    <n v="2.5299999999999998"/>
    <x v="3"/>
    <n v="2025"/>
    <n v="44"/>
    <x v="1"/>
    <s v="Tuesday"/>
    <x v="0"/>
    <x v="1"/>
    <s v="Regular"/>
  </r>
  <r>
    <n v="3591"/>
    <s v="FreshMart Downtown"/>
    <d v="2024-07-24T00:00:00"/>
    <s v="Household Items"/>
    <s v="Eggs"/>
    <n v="2"/>
    <n v="4.6500000000000004"/>
    <n v="9.3000000000000007"/>
    <s v="Low"/>
    <n v="4.79"/>
    <n v="4.5100000000000007"/>
    <x v="2"/>
    <n v="2024"/>
    <n v="342"/>
    <x v="0"/>
    <s v="Wednesday"/>
    <x v="0"/>
    <x v="1"/>
    <s v="Regular"/>
  </r>
  <r>
    <n v="2743"/>
    <s v="MegaMart Westside"/>
    <d v="2025-06-13T00:00:00"/>
    <s v="Personal Care"/>
    <s v="Cheese"/>
    <n v="3"/>
    <n v="2.99"/>
    <n v="8.9700000000000006"/>
    <s v="Low"/>
    <n v="4.4000000000000004"/>
    <n v="4.57"/>
    <x v="10"/>
    <n v="2025"/>
    <n v="331"/>
    <x v="0"/>
    <s v="Friday"/>
    <x v="1"/>
    <x v="1"/>
    <s v="Regular"/>
  </r>
  <r>
    <n v="2341"/>
    <s v="Corner Grocery"/>
    <d v="2024-09-18T00:00:00"/>
    <s v="Bakery"/>
    <s v="Pasta"/>
    <n v="1"/>
    <n v="4.0199999999999996"/>
    <n v="4.0199999999999996"/>
    <s v="Low"/>
    <n v="1.96"/>
    <n v="2.0599999999999996"/>
    <x v="1"/>
    <n v="2024"/>
    <n v="185"/>
    <x v="2"/>
    <s v="Wednesday"/>
    <x v="0"/>
    <x v="1"/>
    <s v="Regular"/>
  </r>
  <r>
    <n v="7493"/>
    <s v="SuperSave Central"/>
    <d v="2024-12-04T00:00:00"/>
    <s v="Canned Goods"/>
    <s v="Bananas"/>
    <n v="1"/>
    <n v="6.49"/>
    <n v="6.49"/>
    <s v="Low"/>
    <n v="3.15"/>
    <n v="3.3400000000000003"/>
    <x v="11"/>
    <n v="2024"/>
    <n v="158"/>
    <x v="2"/>
    <s v="Wednesday"/>
    <x v="0"/>
    <x v="1"/>
    <s v="Regular"/>
  </r>
  <r>
    <n v="4144"/>
    <s v="FamilyFood Express"/>
    <d v="2024-11-30T00:00:00"/>
    <s v="Produce"/>
    <s v="Bread"/>
    <n v="1"/>
    <n v="4.66"/>
    <n v="4.66"/>
    <s v="Low"/>
    <n v="2.2599999999999998"/>
    <n v="2.4000000000000004"/>
    <x v="0"/>
    <n v="2024"/>
    <n v="92"/>
    <x v="3"/>
    <s v="Saturday"/>
    <x v="0"/>
    <x v="0"/>
    <s v="Regular"/>
  </r>
  <r>
    <n v="8483"/>
    <s v="QuickStop Market"/>
    <d v="2023-08-13T00:00:00"/>
    <s v="Bakery"/>
    <s v="Eggs"/>
    <n v="3"/>
    <n v="1.72"/>
    <n v="5.16"/>
    <s v="Low"/>
    <n v="2.4700000000000002"/>
    <n v="2.69"/>
    <x v="5"/>
    <n v="2023"/>
    <n v="333"/>
    <x v="0"/>
    <s v="Sunday"/>
    <x v="1"/>
    <x v="0"/>
    <s v="Regular"/>
  </r>
  <r>
    <n v="3086"/>
    <s v="QuickStop Market"/>
    <d v="2025-02-22T00:00:00"/>
    <s v="Frozen Foods"/>
    <s v="Cheese"/>
    <n v="2"/>
    <n v="1.1100000000000001"/>
    <n v="2.2200000000000002"/>
    <s v="Low"/>
    <n v="1.06"/>
    <n v="1.1600000000000001"/>
    <x v="4"/>
    <n v="2025"/>
    <n v="465"/>
    <x v="0"/>
    <s v="Saturday"/>
    <x v="0"/>
    <x v="0"/>
    <s v="Regular"/>
  </r>
  <r>
    <n v="9270"/>
    <s v="FamilyFood Express"/>
    <d v="2024-07-03T00:00:00"/>
    <s v="Dairy"/>
    <s v="Eggs"/>
    <n v="1"/>
    <n v="7.33"/>
    <n v="7.33"/>
    <s v="Low"/>
    <n v="3.47"/>
    <n v="3.86"/>
    <x v="2"/>
    <n v="2024"/>
    <n v="233"/>
    <x v="0"/>
    <s v="Wednesday"/>
    <x v="0"/>
    <x v="1"/>
    <s v="Regular"/>
  </r>
  <r>
    <n v="6110"/>
    <s v="ValuePlus Market"/>
    <d v="2024-04-29T00:00:00"/>
    <s v="Household Items"/>
    <s v="Salmon"/>
    <n v="4"/>
    <n v="2.4"/>
    <n v="9.6"/>
    <s v="Low"/>
    <n v="4.47"/>
    <n v="5.13"/>
    <x v="9"/>
    <n v="2024"/>
    <n v="144"/>
    <x v="2"/>
    <s v="Monday"/>
    <x v="1"/>
    <x v="1"/>
    <s v="Regular"/>
  </r>
  <r>
    <n v="3503"/>
    <s v="MegaMart Westside"/>
    <d v="2025-02-05T00:00:00"/>
    <s v="Frozen Foods"/>
    <s v="Chicken Breast"/>
    <n v="2"/>
    <n v="3.52"/>
    <n v="7.04"/>
    <s v="Low"/>
    <n v="3.22"/>
    <n v="3.82"/>
    <x v="4"/>
    <n v="2025"/>
    <n v="220"/>
    <x v="0"/>
    <s v="Wednesday"/>
    <x v="0"/>
    <x v="1"/>
    <s v="Regular"/>
  </r>
  <r>
    <n v="4328"/>
    <s v="Corner Grocery"/>
    <d v="2024-05-20T00:00:00"/>
    <s v="Beverages"/>
    <s v="Bananas"/>
    <n v="5"/>
    <n v="1.76"/>
    <n v="8.8000000000000007"/>
    <s v="Low"/>
    <n v="4.0199999999999996"/>
    <n v="4.7800000000000011"/>
    <x v="3"/>
    <n v="2024"/>
    <n v="392"/>
    <x v="0"/>
    <s v="Monday"/>
    <x v="1"/>
    <x v="1"/>
    <s v="Regular"/>
  </r>
  <r>
    <n v="4070"/>
    <s v="City Fresh Store"/>
    <d v="2024-07-06T00:00:00"/>
    <s v="Bakery"/>
    <s v="Cereal"/>
    <n v="1"/>
    <n v="9.94"/>
    <n v="9.94"/>
    <s v="Low"/>
    <n v="4.5"/>
    <n v="5.4399999999999995"/>
    <x v="2"/>
    <n v="2024"/>
    <n v="209"/>
    <x v="0"/>
    <s v="Saturday"/>
    <x v="0"/>
    <x v="0"/>
    <s v="Regular"/>
  </r>
  <r>
    <n v="2494"/>
    <s v="SuperSave Central"/>
    <d v="2025-05-14T00:00:00"/>
    <s v="Frozen Foods"/>
    <s v="Ground Beef"/>
    <n v="2"/>
    <n v="3.06"/>
    <n v="6.12"/>
    <s v="Low"/>
    <n v="2.77"/>
    <n v="3.35"/>
    <x v="3"/>
    <n v="2025"/>
    <n v="313"/>
    <x v="0"/>
    <s v="Wednesday"/>
    <x v="0"/>
    <x v="1"/>
    <s v="Regular"/>
  </r>
  <r>
    <n v="8381"/>
    <s v="FamilyFood Express"/>
    <d v="2024-08-22T00:00:00"/>
    <s v="Health &amp; Wellness"/>
    <s v="Pasta"/>
    <n v="2"/>
    <n v="3.77"/>
    <n v="7.54"/>
    <s v="Low"/>
    <n v="3.39"/>
    <n v="4.1500000000000004"/>
    <x v="5"/>
    <n v="2024"/>
    <n v="282"/>
    <x v="0"/>
    <s v="Thursday"/>
    <x v="0"/>
    <x v="1"/>
    <s v="Regular"/>
  </r>
  <r>
    <n v="7484"/>
    <s v="SuperSave Central"/>
    <d v="2024-03-07T00:00:00"/>
    <s v="Snacks &amp; Candy"/>
    <s v="Chicken Breast"/>
    <n v="1"/>
    <n v="2.84"/>
    <n v="2.84"/>
    <s v="Low"/>
    <n v="1.22"/>
    <n v="1.6199999999999999"/>
    <x v="6"/>
    <n v="2024"/>
    <n v="449"/>
    <x v="0"/>
    <s v="Thursday"/>
    <x v="0"/>
    <x v="1"/>
    <s v="Regular"/>
  </r>
  <r>
    <n v="5494"/>
    <s v="City Fresh Store"/>
    <d v="2023-09-11T00:00:00"/>
    <s v="Bakery"/>
    <s v="Chicken Breast"/>
    <n v="1"/>
    <n v="6.99"/>
    <n v="6.99"/>
    <s v="Low"/>
    <n v="2.89"/>
    <n v="4.0999999999999996"/>
    <x v="1"/>
    <n v="2023"/>
    <n v="326"/>
    <x v="0"/>
    <s v="Monday"/>
    <x v="0"/>
    <x v="1"/>
    <s v="Regular"/>
  </r>
  <r>
    <n v="9824"/>
    <s v="Corner Grocery"/>
    <d v="2024-03-04T00:00:00"/>
    <s v="Meat &amp; Seafood"/>
    <s v="Orange Juice"/>
    <n v="1"/>
    <n v="10.79"/>
    <n v="10.79"/>
    <s v="Low"/>
    <n v="4.4000000000000004"/>
    <n v="6.3899999999999988"/>
    <x v="6"/>
    <n v="2024"/>
    <n v="347"/>
    <x v="0"/>
    <s v="Monday"/>
    <x v="0"/>
    <x v="1"/>
    <s v="Regular"/>
  </r>
  <r>
    <n v="2083"/>
    <s v="SuperSave Central"/>
    <d v="2024-04-03T00:00:00"/>
    <s v="Bakery"/>
    <s v="Rice"/>
    <n v="1"/>
    <n v="11.52"/>
    <n v="11.52"/>
    <s v="Low"/>
    <n v="4.62"/>
    <n v="6.8999999999999995"/>
    <x v="9"/>
    <n v="2024"/>
    <n v="465"/>
    <x v="0"/>
    <s v="Wednesday"/>
    <x v="0"/>
    <x v="1"/>
    <s v="Regular"/>
  </r>
  <r>
    <n v="3024"/>
    <s v="SuperSave Central"/>
    <d v="2024-07-25T00:00:00"/>
    <s v="Meat &amp; Seafood"/>
    <s v="Milk"/>
    <n v="2"/>
    <n v="4.09"/>
    <n v="8.18"/>
    <s v="Low"/>
    <n v="3.28"/>
    <n v="4.9000000000000004"/>
    <x v="2"/>
    <n v="2024"/>
    <n v="98"/>
    <x v="3"/>
    <s v="Thursday"/>
    <x v="0"/>
    <x v="1"/>
    <s v="Regular"/>
  </r>
  <r>
    <n v="1802"/>
    <s v="City Fresh Store"/>
    <d v="2025-01-13T00:00:00"/>
    <s v="Frozen Foods"/>
    <s v="Apples"/>
    <n v="1"/>
    <n v="9.41"/>
    <n v="9.41"/>
    <s v="Low"/>
    <n v="3.75"/>
    <n v="5.66"/>
    <x v="8"/>
    <n v="2025"/>
    <n v="169"/>
    <x v="2"/>
    <s v="Monday"/>
    <x v="0"/>
    <x v="1"/>
    <s v="Regular"/>
  </r>
  <r>
    <n v="2786"/>
    <s v="QuickStop Market"/>
    <d v="2024-07-23T00:00:00"/>
    <s v="Beverages"/>
    <s v="Rice"/>
    <n v="2"/>
    <n v="4.4000000000000004"/>
    <n v="8.8000000000000007"/>
    <s v="Low"/>
    <n v="3.49"/>
    <n v="5.3100000000000005"/>
    <x v="2"/>
    <n v="2024"/>
    <n v="67"/>
    <x v="3"/>
    <s v="Tuesday"/>
    <x v="0"/>
    <x v="1"/>
    <s v="Regular"/>
  </r>
  <r>
    <n v="1043"/>
    <s v="QuickStop Market"/>
    <d v="2024-06-19T00:00:00"/>
    <s v="Health &amp; Wellness"/>
    <s v="Rice"/>
    <n v="2"/>
    <n v="5.34"/>
    <n v="10.68"/>
    <s v="Low"/>
    <n v="4.22"/>
    <n v="6.46"/>
    <x v="10"/>
    <n v="2024"/>
    <n v="391"/>
    <x v="0"/>
    <s v="Wednesday"/>
    <x v="0"/>
    <x v="1"/>
    <s v="Regular"/>
  </r>
  <r>
    <n v="4571"/>
    <s v="MegaMart Westside"/>
    <d v="2024-08-02T00:00:00"/>
    <s v="Health &amp; Wellness"/>
    <s v="Milk"/>
    <n v="1"/>
    <n v="3.88"/>
    <n v="3.88"/>
    <s v="Low"/>
    <n v="1.5"/>
    <n v="2.38"/>
    <x v="5"/>
    <n v="2024"/>
    <n v="401"/>
    <x v="0"/>
    <s v="Friday"/>
    <x v="0"/>
    <x v="1"/>
    <s v="Regular"/>
  </r>
  <r>
    <n v="9984"/>
    <s v="FamilyFood Express"/>
    <d v="2025-02-10T00:00:00"/>
    <s v="Household Items"/>
    <s v="Cheese"/>
    <n v="4"/>
    <n v="2.31"/>
    <n v="9.24"/>
    <s v="Low"/>
    <n v="3.56"/>
    <n v="5.68"/>
    <x v="4"/>
    <n v="2025"/>
    <n v="179"/>
    <x v="2"/>
    <s v="Monday"/>
    <x v="1"/>
    <x v="1"/>
    <s v="Regular"/>
  </r>
  <r>
    <n v="8179"/>
    <s v="GreenGrocer Plaza"/>
    <d v="2025-05-15T00:00:00"/>
    <s v="Personal Care"/>
    <s v="Apples"/>
    <n v="1"/>
    <n v="8.17"/>
    <n v="8.17"/>
    <s v="Low"/>
    <n v="3.09"/>
    <n v="5.08"/>
    <x v="3"/>
    <n v="2025"/>
    <n v="224"/>
    <x v="0"/>
    <s v="Thursday"/>
    <x v="0"/>
    <x v="1"/>
    <s v="Regular"/>
  </r>
  <r>
    <n v="6419"/>
    <s v="City Fresh Store"/>
    <d v="2024-05-06T00:00:00"/>
    <s v="Produce"/>
    <s v="Bread"/>
    <n v="1"/>
    <n v="7.74"/>
    <n v="7.74"/>
    <s v="Low"/>
    <n v="2.91"/>
    <n v="4.83"/>
    <x v="3"/>
    <n v="2024"/>
    <n v="112"/>
    <x v="2"/>
    <s v="Monday"/>
    <x v="0"/>
    <x v="1"/>
    <s v="Regular"/>
  </r>
  <r>
    <n v="2758"/>
    <s v="ValuePlus Market"/>
    <d v="2025-07-28T00:00:00"/>
    <s v="Meat &amp; Seafood"/>
    <s v="Milk"/>
    <n v="2"/>
    <n v="6.55"/>
    <n v="13.1"/>
    <s v="Low"/>
    <n v="4.9000000000000004"/>
    <n v="8.1999999999999993"/>
    <x v="2"/>
    <n v="2025"/>
    <n v="281"/>
    <x v="0"/>
    <s v="Monday"/>
    <x v="0"/>
    <x v="1"/>
    <s v="Regular"/>
  </r>
  <r>
    <n v="2891"/>
    <s v="City Fresh Store"/>
    <d v="2025-06-28T00:00:00"/>
    <s v="Bakery"/>
    <s v="Ground Beef"/>
    <n v="2"/>
    <n v="5.48"/>
    <n v="10.96"/>
    <s v="Low"/>
    <n v="4.08"/>
    <n v="6.8800000000000008"/>
    <x v="10"/>
    <n v="2025"/>
    <n v="151"/>
    <x v="2"/>
    <s v="Saturday"/>
    <x v="0"/>
    <x v="0"/>
    <s v="Regular"/>
  </r>
  <r>
    <n v="5646"/>
    <s v="City Fresh Store"/>
    <d v="2024-04-25T00:00:00"/>
    <s v="Meat &amp; Seafood"/>
    <s v="Pasta"/>
    <n v="3"/>
    <n v="1.3"/>
    <n v="3.9"/>
    <s v="Low"/>
    <n v="1.41"/>
    <n v="2.4900000000000002"/>
    <x v="9"/>
    <n v="2024"/>
    <n v="60"/>
    <x v="3"/>
    <s v="Thursday"/>
    <x v="1"/>
    <x v="1"/>
    <s v="Regular"/>
  </r>
  <r>
    <n v="1307"/>
    <s v="GreenGrocer Plaza"/>
    <d v="2024-07-29T00:00:00"/>
    <s v="Health &amp; Wellness"/>
    <s v="Tomatoes"/>
    <n v="2"/>
    <n v="1.44"/>
    <n v="2.88"/>
    <s v="Low"/>
    <n v="1.03"/>
    <n v="1.8499999999999999"/>
    <x v="2"/>
    <n v="2024"/>
    <n v="249"/>
    <x v="0"/>
    <s v="Monday"/>
    <x v="0"/>
    <x v="1"/>
    <s v="Regular"/>
  </r>
  <r>
    <n v="2612"/>
    <s v="QuickStop Market"/>
    <d v="2023-09-23T00:00:00"/>
    <s v="Health &amp; Wellness"/>
    <s v="Onions"/>
    <n v="2"/>
    <n v="3.13"/>
    <n v="6.26"/>
    <s v="Low"/>
    <n v="2.2000000000000002"/>
    <n v="4.0599999999999996"/>
    <x v="1"/>
    <n v="2023"/>
    <n v="483"/>
    <x v="0"/>
    <s v="Saturday"/>
    <x v="0"/>
    <x v="0"/>
    <s v="Regular"/>
  </r>
  <r>
    <n v="2127"/>
    <s v="FreshMart Downtown"/>
    <d v="2025-06-19T00:00:00"/>
    <s v="Produce"/>
    <s v="Orange Juice"/>
    <n v="3"/>
    <n v="3.22"/>
    <n v="9.66"/>
    <s v="Low"/>
    <n v="3.38"/>
    <n v="6.28"/>
    <x v="10"/>
    <n v="2025"/>
    <n v="442"/>
    <x v="0"/>
    <s v="Thursday"/>
    <x v="1"/>
    <x v="1"/>
    <s v="Regular"/>
  </r>
  <r>
    <n v="2612"/>
    <s v="FamilyFood Express"/>
    <d v="2025-03-19T00:00:00"/>
    <s v="Canned Goods"/>
    <s v="Bread"/>
    <n v="5"/>
    <n v="2.08"/>
    <n v="10.4"/>
    <s v="Low"/>
    <n v="3.62"/>
    <n v="6.78"/>
    <x v="6"/>
    <n v="2025"/>
    <n v="196"/>
    <x v="2"/>
    <s v="Wednesday"/>
    <x v="1"/>
    <x v="1"/>
    <s v="Regular"/>
  </r>
  <r>
    <n v="6539"/>
    <s v="Corner Grocery"/>
    <d v="2023-08-23T00:00:00"/>
    <s v="Personal Care"/>
    <s v="Milk"/>
    <n v="4"/>
    <n v="3.54"/>
    <n v="14.16"/>
    <s v="Low"/>
    <n v="4.88"/>
    <n v="9.2800000000000011"/>
    <x v="5"/>
    <n v="2023"/>
    <n v="129"/>
    <x v="2"/>
    <s v="Wednesday"/>
    <x v="1"/>
    <x v="1"/>
    <s v="Regular"/>
  </r>
  <r>
    <n v="4727"/>
    <s v="GreenGrocer Plaza"/>
    <d v="2024-05-13T00:00:00"/>
    <s v="Canned Goods"/>
    <s v="Potatoes"/>
    <n v="1"/>
    <n v="13.5"/>
    <n v="13.5"/>
    <s v="Low"/>
    <n v="4.5599999999999996"/>
    <n v="8.9400000000000013"/>
    <x v="3"/>
    <n v="2024"/>
    <n v="334"/>
    <x v="0"/>
    <s v="Monday"/>
    <x v="0"/>
    <x v="1"/>
    <s v="Regular"/>
  </r>
  <r>
    <n v="9476"/>
    <s v="ValuePlus Market"/>
    <d v="2024-04-30T00:00:00"/>
    <s v="Bakery"/>
    <s v="Apples"/>
    <n v="2"/>
    <n v="1.61"/>
    <n v="3.22"/>
    <s v="Low"/>
    <n v="1.08"/>
    <n v="2.14"/>
    <x v="9"/>
    <n v="2024"/>
    <n v="431"/>
    <x v="0"/>
    <s v="Tuesday"/>
    <x v="0"/>
    <x v="1"/>
    <s v="Regular"/>
  </r>
  <r>
    <n v="2867"/>
    <s v="FamilyFood Express"/>
    <d v="2024-02-26T00:00:00"/>
    <s v="Canned Goods"/>
    <s v="Eggs"/>
    <n v="3"/>
    <n v="2.87"/>
    <n v="8.61"/>
    <s v="Low"/>
    <n v="2.84"/>
    <n v="5.77"/>
    <x v="4"/>
    <n v="2024"/>
    <n v="15"/>
    <x v="1"/>
    <s v="Monday"/>
    <x v="1"/>
    <x v="1"/>
    <s v="Regular"/>
  </r>
  <r>
    <n v="4022"/>
    <s v="QuickStop Market"/>
    <d v="2023-12-29T00:00:00"/>
    <s v="Canned Goods"/>
    <s v="Salmon"/>
    <n v="4"/>
    <n v="1.85"/>
    <n v="7.4"/>
    <s v="Low"/>
    <n v="2.41"/>
    <n v="4.99"/>
    <x v="11"/>
    <n v="2023"/>
    <n v="319"/>
    <x v="0"/>
    <s v="Friday"/>
    <x v="1"/>
    <x v="1"/>
    <s v="Regular"/>
  </r>
  <r>
    <n v="3308"/>
    <s v="FamilyFood Express"/>
    <d v="2023-10-21T00:00:00"/>
    <s v="Canned Goods"/>
    <s v="Ground Beef"/>
    <n v="2"/>
    <n v="3.64"/>
    <n v="7.28"/>
    <s v="Low"/>
    <n v="2.35"/>
    <n v="4.93"/>
    <x v="7"/>
    <n v="2023"/>
    <n v="215"/>
    <x v="0"/>
    <s v="Saturday"/>
    <x v="0"/>
    <x v="0"/>
    <s v="Regular"/>
  </r>
  <r>
    <n v="7640"/>
    <s v="Corner Grocery"/>
    <d v="2024-05-27T00:00:00"/>
    <s v="Meat &amp; Seafood"/>
    <s v="Cheese"/>
    <n v="5"/>
    <n v="2.5099999999999998"/>
    <n v="12.55"/>
    <s v="Low"/>
    <n v="4.05"/>
    <n v="8.5"/>
    <x v="3"/>
    <n v="2024"/>
    <n v="156"/>
    <x v="2"/>
    <s v="Monday"/>
    <x v="1"/>
    <x v="1"/>
    <s v="Regular"/>
  </r>
  <r>
    <n v="3363"/>
    <s v="Corner Grocery"/>
    <d v="2024-01-08T00:00:00"/>
    <s v="Beverages"/>
    <s v="Chicken Breast"/>
    <n v="2"/>
    <n v="3.3"/>
    <n v="6.6"/>
    <s v="Low"/>
    <n v="2.11"/>
    <n v="4.49"/>
    <x v="8"/>
    <n v="2024"/>
    <n v="43"/>
    <x v="1"/>
    <s v="Monday"/>
    <x v="0"/>
    <x v="1"/>
    <s v="Regular"/>
  </r>
  <r>
    <n v="3658"/>
    <s v="ValuePlus Market"/>
    <d v="2023-12-25T00:00:00"/>
    <s v="Meat &amp; Seafood"/>
    <s v="Carrots"/>
    <n v="1"/>
    <n v="12.34"/>
    <n v="12.34"/>
    <s v="Low"/>
    <n v="3.71"/>
    <n v="8.629999999999999"/>
    <x v="11"/>
    <n v="2023"/>
    <n v="253"/>
    <x v="0"/>
    <s v="Monday"/>
    <x v="0"/>
    <x v="1"/>
    <s v="Regular"/>
  </r>
  <r>
    <n v="9092"/>
    <s v="Corner Grocery"/>
    <d v="2025-06-27T00:00:00"/>
    <s v="Snacks &amp; Candy"/>
    <s v="Pasta"/>
    <n v="2"/>
    <n v="6.33"/>
    <n v="12.66"/>
    <s v="Low"/>
    <n v="3.79"/>
    <n v="8.870000000000001"/>
    <x v="10"/>
    <n v="2025"/>
    <n v="81"/>
    <x v="3"/>
    <s v="Friday"/>
    <x v="0"/>
    <x v="1"/>
    <s v="Regular"/>
  </r>
  <r>
    <n v="4858"/>
    <s v="GreenGrocer Plaza"/>
    <d v="2024-07-18T00:00:00"/>
    <s v="Household Items"/>
    <s v="Cereal"/>
    <n v="1"/>
    <n v="11.44"/>
    <n v="11.44"/>
    <s v="Low"/>
    <n v="3.42"/>
    <n v="8.02"/>
    <x v="2"/>
    <n v="2024"/>
    <n v="473"/>
    <x v="0"/>
    <s v="Thursday"/>
    <x v="0"/>
    <x v="1"/>
    <s v="Regular"/>
  </r>
  <r>
    <n v="9307"/>
    <s v="FamilyFood Express"/>
    <d v="2024-05-31T00:00:00"/>
    <s v="Beverages"/>
    <s v="Orange Juice"/>
    <n v="1"/>
    <n v="10.45"/>
    <n v="10.45"/>
    <s v="Low"/>
    <n v="3.11"/>
    <n v="7.34"/>
    <x v="3"/>
    <n v="2024"/>
    <n v="311"/>
    <x v="0"/>
    <s v="Friday"/>
    <x v="0"/>
    <x v="1"/>
    <s v="Regular"/>
  </r>
  <r>
    <n v="6562"/>
    <s v="QuickStop Market"/>
    <d v="2024-01-26T00:00:00"/>
    <s v="Produce"/>
    <s v="Cheese"/>
    <n v="2"/>
    <n v="8.18"/>
    <n v="16.36"/>
    <s v="Low"/>
    <n v="4.79"/>
    <n v="11.57"/>
    <x v="8"/>
    <n v="2024"/>
    <n v="222"/>
    <x v="0"/>
    <s v="Friday"/>
    <x v="0"/>
    <x v="1"/>
    <s v="Regular"/>
  </r>
  <r>
    <n v="7643"/>
    <s v="FamilyFood Express"/>
    <d v="2025-05-10T00:00:00"/>
    <s v="Dairy"/>
    <s v="Eggs"/>
    <n v="1"/>
    <n v="13.36"/>
    <n v="13.36"/>
    <s v="Low"/>
    <n v="3.9"/>
    <n v="9.4599999999999991"/>
    <x v="3"/>
    <n v="2025"/>
    <n v="232"/>
    <x v="0"/>
    <s v="Saturday"/>
    <x v="0"/>
    <x v="0"/>
    <s v="Regular"/>
  </r>
  <r>
    <n v="3139"/>
    <s v="GreenGrocer Plaza"/>
    <d v="2024-10-19T00:00:00"/>
    <s v="Canned Goods"/>
    <s v="Pasta"/>
    <n v="1"/>
    <n v="12.05"/>
    <n v="12.05"/>
    <s v="Low"/>
    <n v="3.51"/>
    <n v="8.5400000000000009"/>
    <x v="7"/>
    <n v="2024"/>
    <n v="456"/>
    <x v="0"/>
    <s v="Saturday"/>
    <x v="0"/>
    <x v="0"/>
    <s v="Regular"/>
  </r>
  <r>
    <n v="3009"/>
    <s v="FamilyFood Express"/>
    <d v="2023-11-20T00:00:00"/>
    <s v="Bakery"/>
    <s v="Potatoes"/>
    <n v="3"/>
    <n v="2.06"/>
    <n v="6.18"/>
    <s v="Low"/>
    <n v="1.78"/>
    <n v="4.3999999999999995"/>
    <x v="0"/>
    <n v="2023"/>
    <n v="252"/>
    <x v="0"/>
    <s v="Monday"/>
    <x v="1"/>
    <x v="1"/>
    <s v="Regular"/>
  </r>
  <r>
    <n v="6126"/>
    <s v="QuickStop Market"/>
    <d v="2024-06-23T00:00:00"/>
    <s v="Bakery"/>
    <s v="Carrots"/>
    <n v="3"/>
    <n v="4.68"/>
    <n v="14.04"/>
    <s v="Low"/>
    <n v="4.0199999999999996"/>
    <n v="10.02"/>
    <x v="10"/>
    <n v="2024"/>
    <n v="278"/>
    <x v="0"/>
    <s v="Sunday"/>
    <x v="1"/>
    <x v="0"/>
    <s v="Regular"/>
  </r>
  <r>
    <n v="7173"/>
    <s v="FamilyFood Express"/>
    <d v="2024-04-06T00:00:00"/>
    <s v="Health &amp; Wellness"/>
    <s v="Apples"/>
    <n v="1"/>
    <n v="17.3"/>
    <n v="17.3"/>
    <s v="Low"/>
    <n v="4.92"/>
    <n v="12.38"/>
    <x v="9"/>
    <n v="2024"/>
    <n v="435"/>
    <x v="0"/>
    <s v="Saturday"/>
    <x v="0"/>
    <x v="0"/>
    <s v="Regular"/>
  </r>
  <r>
    <n v="3754"/>
    <s v="ValuePlus Market"/>
    <d v="2023-10-05T00:00:00"/>
    <s v="Snacks &amp; Candy"/>
    <s v="Potatoes"/>
    <n v="1"/>
    <n v="14.11"/>
    <n v="14.11"/>
    <s v="Low"/>
    <n v="4.01"/>
    <n v="10.1"/>
    <x v="7"/>
    <n v="2023"/>
    <n v="123"/>
    <x v="2"/>
    <s v="Thursday"/>
    <x v="0"/>
    <x v="1"/>
    <s v="Regular"/>
  </r>
  <r>
    <n v="7095"/>
    <s v="ValuePlus Market"/>
    <d v="2024-07-16T00:00:00"/>
    <s v="Snacks &amp; Candy"/>
    <s v="Bread"/>
    <n v="4"/>
    <n v="1.83"/>
    <n v="7.32"/>
    <s v="Low"/>
    <n v="2.08"/>
    <n v="5.24"/>
    <x v="2"/>
    <n v="2024"/>
    <n v="324"/>
    <x v="0"/>
    <s v="Tuesday"/>
    <x v="1"/>
    <x v="1"/>
    <s v="Regular"/>
  </r>
  <r>
    <n v="6927"/>
    <s v="ValuePlus Market"/>
    <d v="2023-10-06T00:00:00"/>
    <s v="Bakery"/>
    <s v="Milk"/>
    <n v="2"/>
    <n v="8.8000000000000007"/>
    <n v="17.600000000000001"/>
    <s v="Low"/>
    <n v="4.95"/>
    <n v="12.650000000000002"/>
    <x v="7"/>
    <n v="2023"/>
    <n v="500"/>
    <x v="0"/>
    <s v="Friday"/>
    <x v="0"/>
    <x v="1"/>
    <s v="Regular"/>
  </r>
  <r>
    <n v="7274"/>
    <s v="SuperSave Central"/>
    <d v="2024-02-04T00:00:00"/>
    <s v="Beverages"/>
    <s v="Orange Juice"/>
    <n v="1"/>
    <n v="7.34"/>
    <n v="7.34"/>
    <s v="Low"/>
    <n v="2.06"/>
    <n v="5.2799999999999994"/>
    <x v="4"/>
    <n v="2024"/>
    <n v="249"/>
    <x v="0"/>
    <s v="Sunday"/>
    <x v="0"/>
    <x v="0"/>
    <s v="Regular"/>
  </r>
  <r>
    <n v="3441"/>
    <s v="City Fresh Store"/>
    <d v="2025-07-12T00:00:00"/>
    <s v="Snacks &amp; Candy"/>
    <s v="Bananas"/>
    <n v="1"/>
    <n v="16.47"/>
    <n v="16.47"/>
    <s v="Low"/>
    <n v="4.57"/>
    <n v="11.899999999999999"/>
    <x v="2"/>
    <n v="2025"/>
    <n v="374"/>
    <x v="0"/>
    <s v="Saturday"/>
    <x v="0"/>
    <x v="0"/>
    <s v="Regular"/>
  </r>
  <r>
    <n v="9792"/>
    <s v="Corner Grocery"/>
    <d v="2023-12-01T00:00:00"/>
    <s v="Beverages"/>
    <s v="Milk"/>
    <n v="3"/>
    <n v="5.67"/>
    <n v="17.010000000000002"/>
    <s v="Low"/>
    <n v="4.54"/>
    <n v="12.470000000000002"/>
    <x v="11"/>
    <n v="2023"/>
    <n v="349"/>
    <x v="0"/>
    <s v="Friday"/>
    <x v="1"/>
    <x v="1"/>
    <s v="Regular"/>
  </r>
  <r>
    <n v="9882"/>
    <s v="FamilyFood Express"/>
    <d v="2024-03-19T00:00:00"/>
    <s v="Snacks &amp; Candy"/>
    <s v="Bread"/>
    <n v="2"/>
    <n v="6.7"/>
    <n v="13.4"/>
    <s v="Low"/>
    <n v="3.5"/>
    <n v="9.9"/>
    <x v="6"/>
    <n v="2024"/>
    <n v="168"/>
    <x v="2"/>
    <s v="Tuesday"/>
    <x v="0"/>
    <x v="1"/>
    <s v="Regular"/>
  </r>
  <r>
    <n v="2215"/>
    <s v="FreshMart Downtown"/>
    <d v="2024-07-21T00:00:00"/>
    <s v="Personal Care"/>
    <s v="Chicken Breast"/>
    <n v="2"/>
    <n v="9.42"/>
    <n v="18.84"/>
    <s v="Low"/>
    <n v="4.9000000000000004"/>
    <n v="13.94"/>
    <x v="2"/>
    <n v="2024"/>
    <n v="99"/>
    <x v="3"/>
    <s v="Sunday"/>
    <x v="0"/>
    <x v="0"/>
    <s v="Regular"/>
  </r>
  <r>
    <n v="8711"/>
    <s v="FamilyFood Express"/>
    <d v="2024-01-26T00:00:00"/>
    <s v="Health &amp; Wellness"/>
    <s v="Onions"/>
    <n v="3"/>
    <n v="4.62"/>
    <n v="13.86"/>
    <s v="Low"/>
    <n v="3.56"/>
    <n v="10.299999999999999"/>
    <x v="8"/>
    <n v="2024"/>
    <n v="155"/>
    <x v="2"/>
    <s v="Friday"/>
    <x v="1"/>
    <x v="1"/>
    <s v="Regular"/>
  </r>
  <r>
    <n v="3868"/>
    <s v="QuickStop Market"/>
    <d v="2023-10-07T00:00:00"/>
    <s v="Bakery"/>
    <s v="Rice"/>
    <n v="1"/>
    <n v="12.56"/>
    <n v="12.56"/>
    <s v="Low"/>
    <n v="3.22"/>
    <n v="9.34"/>
    <x v="7"/>
    <n v="2023"/>
    <n v="383"/>
    <x v="0"/>
    <s v="Saturday"/>
    <x v="0"/>
    <x v="0"/>
    <s v="Regular"/>
  </r>
  <r>
    <n v="1907"/>
    <s v="SuperSave Central"/>
    <d v="2025-05-13T00:00:00"/>
    <s v="Canned Goods"/>
    <s v="Ground Beef"/>
    <n v="1"/>
    <n v="19.239999999999998"/>
    <n v="19.239999999999998"/>
    <s v="Low"/>
    <n v="4.87"/>
    <n v="14.369999999999997"/>
    <x v="3"/>
    <n v="2025"/>
    <n v="143"/>
    <x v="2"/>
    <s v="Tuesday"/>
    <x v="0"/>
    <x v="1"/>
    <s v="Regular"/>
  </r>
  <r>
    <n v="3419"/>
    <s v="ValuePlus Market"/>
    <d v="2024-02-06T00:00:00"/>
    <s v="Household Items"/>
    <s v="Yogurt"/>
    <n v="1"/>
    <n v="18.98"/>
    <n v="18.98"/>
    <s v="Low"/>
    <n v="4.78"/>
    <n v="14.2"/>
    <x v="4"/>
    <n v="2024"/>
    <n v="171"/>
    <x v="2"/>
    <s v="Tuesday"/>
    <x v="0"/>
    <x v="1"/>
    <s v="Regular"/>
  </r>
  <r>
    <n v="2964"/>
    <s v="QuickStop Market"/>
    <d v="2025-06-28T00:00:00"/>
    <s v="Canned Goods"/>
    <s v="Orange Juice"/>
    <n v="1"/>
    <n v="6.25"/>
    <n v="6.25"/>
    <s v="Low"/>
    <n v="1.57"/>
    <n v="4.68"/>
    <x v="10"/>
    <n v="2025"/>
    <n v="73"/>
    <x v="3"/>
    <s v="Saturday"/>
    <x v="0"/>
    <x v="0"/>
    <s v="Regular"/>
  </r>
  <r>
    <n v="6372"/>
    <s v="SuperSave Central"/>
    <d v="2025-01-01T00:00:00"/>
    <s v="Beverages"/>
    <s v="Yogurt"/>
    <n v="4"/>
    <n v="3.25"/>
    <n v="13"/>
    <s v="Low"/>
    <n v="3.24"/>
    <n v="9.76"/>
    <x v="8"/>
    <n v="2025"/>
    <n v="346"/>
    <x v="0"/>
    <s v="Wednesday"/>
    <x v="1"/>
    <x v="1"/>
    <s v="Regular"/>
  </r>
  <r>
    <n v="8052"/>
    <s v="QuickStop Market"/>
    <d v="2023-10-28T00:00:00"/>
    <s v="Frozen Foods"/>
    <s v="Bread"/>
    <n v="2"/>
    <n v="7.84"/>
    <n v="15.68"/>
    <s v="Low"/>
    <n v="3.9"/>
    <n v="11.78"/>
    <x v="7"/>
    <n v="2023"/>
    <n v="104"/>
    <x v="2"/>
    <s v="Saturday"/>
    <x v="0"/>
    <x v="0"/>
    <s v="Regular"/>
  </r>
  <r>
    <n v="3480"/>
    <s v="ValuePlus Market"/>
    <d v="2025-07-21T00:00:00"/>
    <s v="Dairy"/>
    <s v="Rice"/>
    <n v="3"/>
    <n v="4.12"/>
    <n v="12.36"/>
    <s v="Low"/>
    <n v="3.07"/>
    <n v="9.2899999999999991"/>
    <x v="2"/>
    <n v="2025"/>
    <n v="349"/>
    <x v="0"/>
    <s v="Monday"/>
    <x v="1"/>
    <x v="1"/>
    <s v="Regular"/>
  </r>
  <r>
    <n v="9882"/>
    <s v="ValuePlus Market"/>
    <d v="2024-12-17T00:00:00"/>
    <s v="Health &amp; Wellness"/>
    <s v="Carrots"/>
    <n v="3"/>
    <n v="4.74"/>
    <n v="14.22"/>
    <s v="Low"/>
    <n v="3.47"/>
    <n v="10.75"/>
    <x v="11"/>
    <n v="2024"/>
    <n v="165"/>
    <x v="2"/>
    <s v="Tuesday"/>
    <x v="1"/>
    <x v="1"/>
    <s v="Regular"/>
  </r>
  <r>
    <n v="2341"/>
    <s v="City Fresh Store"/>
    <d v="2024-08-06T00:00:00"/>
    <s v="Personal Care"/>
    <s v="Carrots"/>
    <n v="1"/>
    <n v="17.600000000000001"/>
    <n v="17.600000000000001"/>
    <s v="Low"/>
    <n v="4.29"/>
    <n v="13.310000000000002"/>
    <x v="5"/>
    <n v="2024"/>
    <n v="137"/>
    <x v="2"/>
    <s v="Tuesday"/>
    <x v="0"/>
    <x v="1"/>
    <s v="Regular"/>
  </r>
  <r>
    <n v="2615"/>
    <s v="SuperSave Central"/>
    <d v="2025-04-21T00:00:00"/>
    <s v="Snacks &amp; Candy"/>
    <s v="Onions"/>
    <n v="2"/>
    <n v="9.7200000000000006"/>
    <n v="19.440000000000001"/>
    <s v="Low"/>
    <n v="4.71"/>
    <n v="14.73"/>
    <x v="9"/>
    <n v="2025"/>
    <n v="43"/>
    <x v="1"/>
    <s v="Monday"/>
    <x v="0"/>
    <x v="1"/>
    <s v="Regular"/>
  </r>
  <r>
    <n v="2641"/>
    <s v="GreenGrocer Plaza"/>
    <d v="2024-06-23T00:00:00"/>
    <s v="Beverages"/>
    <s v="Salmon"/>
    <n v="2"/>
    <n v="5.05"/>
    <n v="10.1"/>
    <s v="Low"/>
    <n v="2.44"/>
    <n v="7.66"/>
    <x v="10"/>
    <n v="2024"/>
    <n v="382"/>
    <x v="0"/>
    <s v="Sunday"/>
    <x v="0"/>
    <x v="0"/>
    <s v="Regular"/>
  </r>
  <r>
    <n v="5583"/>
    <s v="FreshMart Downtown"/>
    <d v="2023-09-01T00:00:00"/>
    <s v="Bakery"/>
    <s v="Yogurt"/>
    <n v="3"/>
    <n v="5.51"/>
    <n v="16.53"/>
    <s v="Low"/>
    <n v="3.96"/>
    <n v="12.57"/>
    <x v="1"/>
    <n v="2023"/>
    <n v="372"/>
    <x v="0"/>
    <s v="Friday"/>
    <x v="1"/>
    <x v="1"/>
    <s v="Regular"/>
  </r>
  <r>
    <n v="2685"/>
    <s v="FreshMart Downtown"/>
    <d v="2025-07-01T00:00:00"/>
    <s v="Household Items"/>
    <s v="Cheese"/>
    <n v="1"/>
    <n v="20.54"/>
    <n v="20.54"/>
    <s v="Low"/>
    <n v="4.91"/>
    <n v="15.629999999999999"/>
    <x v="2"/>
    <n v="2025"/>
    <n v="460"/>
    <x v="0"/>
    <s v="Tuesday"/>
    <x v="0"/>
    <x v="1"/>
    <s v="Regular"/>
  </r>
  <r>
    <n v="9180"/>
    <s v="ValuePlus Market"/>
    <d v="2023-11-23T00:00:00"/>
    <s v="Snacks &amp; Candy"/>
    <s v="Apples"/>
    <n v="1"/>
    <n v="10.01"/>
    <n v="10.01"/>
    <s v="Low"/>
    <n v="2.37"/>
    <n v="7.64"/>
    <x v="0"/>
    <n v="2023"/>
    <n v="287"/>
    <x v="0"/>
    <s v="Thursday"/>
    <x v="0"/>
    <x v="1"/>
    <s v="Regular"/>
  </r>
  <r>
    <n v="4641"/>
    <s v="ValuePlus Market"/>
    <d v="2023-11-16T00:00:00"/>
    <s v="Produce"/>
    <s v="Ground Beef"/>
    <n v="2"/>
    <n v="5.26"/>
    <n v="10.52"/>
    <s v="Low"/>
    <n v="2.4900000000000002"/>
    <n v="8.0299999999999994"/>
    <x v="0"/>
    <n v="2023"/>
    <n v="68"/>
    <x v="3"/>
    <s v="Thursday"/>
    <x v="0"/>
    <x v="1"/>
    <s v="Regular"/>
  </r>
  <r>
    <n v="2678"/>
    <s v="FamilyFood Express"/>
    <d v="2023-10-26T00:00:00"/>
    <s v="Household Items"/>
    <s v="Carrots"/>
    <n v="4"/>
    <n v="5.17"/>
    <n v="20.68"/>
    <s v="Low"/>
    <n v="4.88"/>
    <n v="15.8"/>
    <x v="7"/>
    <n v="2023"/>
    <n v="276"/>
    <x v="0"/>
    <s v="Thursday"/>
    <x v="1"/>
    <x v="1"/>
    <s v="Regular"/>
  </r>
  <r>
    <n v="5526"/>
    <s v="MegaMart Westside"/>
    <d v="2024-10-11T00:00:00"/>
    <s v="Snacks &amp; Candy"/>
    <s v="Carrots"/>
    <n v="1"/>
    <n v="20.63"/>
    <n v="20.63"/>
    <s v="Low"/>
    <n v="4.8099999999999996"/>
    <n v="15.82"/>
    <x v="7"/>
    <n v="2024"/>
    <n v="133"/>
    <x v="2"/>
    <s v="Friday"/>
    <x v="0"/>
    <x v="1"/>
    <s v="Regular"/>
  </r>
  <r>
    <n v="4817"/>
    <s v="Corner Grocery"/>
    <d v="2024-09-30T00:00:00"/>
    <s v="Health &amp; Wellness"/>
    <s v="Tomatoes"/>
    <n v="1"/>
    <n v="15.79"/>
    <n v="15.79"/>
    <s v="Low"/>
    <n v="3.68"/>
    <n v="12.11"/>
    <x v="1"/>
    <n v="2024"/>
    <n v="148"/>
    <x v="2"/>
    <s v="Monday"/>
    <x v="0"/>
    <x v="1"/>
    <s v="Regular"/>
  </r>
  <r>
    <n v="9701"/>
    <s v="QuickStop Market"/>
    <d v="2023-12-07T00:00:00"/>
    <s v="Canned Goods"/>
    <s v="Eggs"/>
    <n v="4"/>
    <n v="2.94"/>
    <n v="11.76"/>
    <s v="Low"/>
    <n v="2.73"/>
    <n v="9.0299999999999994"/>
    <x v="11"/>
    <n v="2023"/>
    <n v="425"/>
    <x v="0"/>
    <s v="Thursday"/>
    <x v="1"/>
    <x v="1"/>
    <s v="Regular"/>
  </r>
  <r>
    <n v="8389"/>
    <s v="GreenGrocer Plaza"/>
    <d v="2024-11-30T00:00:00"/>
    <s v="Bakery"/>
    <s v="Potatoes"/>
    <n v="1"/>
    <n v="13.81"/>
    <n v="13.81"/>
    <s v="Low"/>
    <n v="3.17"/>
    <n v="10.64"/>
    <x v="0"/>
    <n v="2024"/>
    <n v="243"/>
    <x v="0"/>
    <s v="Saturday"/>
    <x v="0"/>
    <x v="0"/>
    <s v="Regular"/>
  </r>
  <r>
    <n v="8973"/>
    <s v="Corner Grocery"/>
    <d v="2023-12-05T00:00:00"/>
    <s v="Personal Care"/>
    <s v="Chicken Breast"/>
    <n v="1"/>
    <n v="14.8"/>
    <n v="14.8"/>
    <s v="Low"/>
    <n v="3.37"/>
    <n v="11.43"/>
    <x v="11"/>
    <n v="2023"/>
    <n v="398"/>
    <x v="0"/>
    <s v="Tuesday"/>
    <x v="0"/>
    <x v="1"/>
    <s v="Regular"/>
  </r>
  <r>
    <n v="6862"/>
    <s v="City Fresh Store"/>
    <d v="2024-01-17T00:00:00"/>
    <s v="Canned Goods"/>
    <s v="Salmon"/>
    <n v="1"/>
    <n v="22.07"/>
    <n v="22.07"/>
    <s v="Low"/>
    <n v="4.99"/>
    <n v="17.079999999999998"/>
    <x v="8"/>
    <n v="2024"/>
    <n v="466"/>
    <x v="0"/>
    <s v="Wednesday"/>
    <x v="0"/>
    <x v="1"/>
    <s v="Regular"/>
  </r>
  <r>
    <n v="8932"/>
    <s v="ValuePlus Market"/>
    <d v="2024-01-03T00:00:00"/>
    <s v="Bakery"/>
    <s v="Orange Juice"/>
    <n v="3"/>
    <n v="4.72"/>
    <n v="14.16"/>
    <s v="Low"/>
    <n v="3.2"/>
    <n v="10.96"/>
    <x v="8"/>
    <n v="2024"/>
    <n v="318"/>
    <x v="0"/>
    <s v="Wednesday"/>
    <x v="1"/>
    <x v="1"/>
    <s v="Regular"/>
  </r>
  <r>
    <n v="2130"/>
    <s v="Corner Grocery"/>
    <d v="2025-08-01T00:00:00"/>
    <s v="Canned Goods"/>
    <s v="Tomatoes"/>
    <n v="1"/>
    <n v="17.260000000000002"/>
    <n v="17.260000000000002"/>
    <s v="Low"/>
    <n v="3.89"/>
    <n v="13.370000000000001"/>
    <x v="5"/>
    <n v="2025"/>
    <n v="457"/>
    <x v="0"/>
    <s v="Friday"/>
    <x v="0"/>
    <x v="1"/>
    <s v="Regular"/>
  </r>
  <r>
    <n v="2259"/>
    <s v="GreenGrocer Plaza"/>
    <d v="2024-10-25T00:00:00"/>
    <s v="Bakery"/>
    <s v="Onions"/>
    <n v="2"/>
    <n v="9.82"/>
    <n v="19.64"/>
    <s v="Low"/>
    <n v="4.3899999999999997"/>
    <n v="15.25"/>
    <x v="7"/>
    <n v="2024"/>
    <n v="208"/>
    <x v="0"/>
    <s v="Friday"/>
    <x v="0"/>
    <x v="1"/>
    <s v="Regular"/>
  </r>
  <r>
    <n v="8752"/>
    <s v="MegaMart Westside"/>
    <d v="2025-04-14T00:00:00"/>
    <s v="Personal Care"/>
    <s v="Salmon"/>
    <n v="1"/>
    <n v="20.72"/>
    <n v="20.72"/>
    <s v="Low"/>
    <n v="4.5999999999999996"/>
    <n v="16.119999999999997"/>
    <x v="9"/>
    <n v="2025"/>
    <n v="367"/>
    <x v="0"/>
    <s v="Monday"/>
    <x v="0"/>
    <x v="1"/>
    <s v="Regular"/>
  </r>
  <r>
    <n v="1400"/>
    <s v="City Fresh Store"/>
    <d v="2023-09-11T00:00:00"/>
    <s v="Canned Goods"/>
    <s v="Eggs"/>
    <n v="3"/>
    <n v="6.46"/>
    <n v="19.38"/>
    <s v="Low"/>
    <n v="4.24"/>
    <n v="15.139999999999999"/>
    <x v="1"/>
    <n v="2023"/>
    <n v="448"/>
    <x v="0"/>
    <s v="Monday"/>
    <x v="1"/>
    <x v="1"/>
    <s v="Regular"/>
  </r>
  <r>
    <n v="9482"/>
    <s v="FamilyFood Express"/>
    <d v="2024-06-02T00:00:00"/>
    <s v="Health &amp; Wellness"/>
    <s v="Cereal"/>
    <n v="3"/>
    <n v="7.1"/>
    <n v="21.3"/>
    <s v="Low"/>
    <n v="4.66"/>
    <n v="16.64"/>
    <x v="10"/>
    <n v="2024"/>
    <n v="491"/>
    <x v="0"/>
    <s v="Sunday"/>
    <x v="1"/>
    <x v="0"/>
    <s v="Regular"/>
  </r>
  <r>
    <n v="3188"/>
    <s v="SuperSave Central"/>
    <d v="2024-08-12T00:00:00"/>
    <s v="Produce"/>
    <s v="Eggs"/>
    <n v="3"/>
    <n v="5.09"/>
    <n v="15.27"/>
    <s v="Low"/>
    <n v="3.28"/>
    <n v="11.99"/>
    <x v="5"/>
    <n v="2024"/>
    <n v="125"/>
    <x v="2"/>
    <s v="Monday"/>
    <x v="1"/>
    <x v="1"/>
    <s v="Regular"/>
  </r>
  <r>
    <n v="5465"/>
    <s v="FreshMart Downtown"/>
    <d v="2025-05-13T00:00:00"/>
    <s v="Health &amp; Wellness"/>
    <s v="Yogurt"/>
    <n v="1"/>
    <n v="7.83"/>
    <n v="7.83"/>
    <s v="Low"/>
    <n v="1.67"/>
    <n v="6.16"/>
    <x v="3"/>
    <n v="2025"/>
    <n v="222"/>
    <x v="0"/>
    <s v="Tuesday"/>
    <x v="0"/>
    <x v="1"/>
    <s v="Regular"/>
  </r>
  <r>
    <n v="2388"/>
    <s v="QuickStop Market"/>
    <d v="2025-01-10T00:00:00"/>
    <s v="Household Items"/>
    <s v="Pasta"/>
    <n v="5"/>
    <n v="2.0299999999999998"/>
    <n v="10.15"/>
    <s v="Low"/>
    <n v="2.15"/>
    <n v="8"/>
    <x v="8"/>
    <n v="2025"/>
    <n v="71"/>
    <x v="3"/>
    <s v="Friday"/>
    <x v="1"/>
    <x v="1"/>
    <s v="Regular"/>
  </r>
  <r>
    <n v="8563"/>
    <s v="SuperSave Central"/>
    <d v="2025-02-07T00:00:00"/>
    <s v="Meat &amp; Seafood"/>
    <s v="Eggs"/>
    <n v="1"/>
    <n v="13.16"/>
    <n v="13.16"/>
    <s v="Low"/>
    <n v="2.77"/>
    <n v="10.39"/>
    <x v="4"/>
    <n v="2025"/>
    <n v="433"/>
    <x v="0"/>
    <s v="Friday"/>
    <x v="0"/>
    <x v="1"/>
    <s v="Regular"/>
  </r>
  <r>
    <n v="7520"/>
    <s v="QuickStop Market"/>
    <d v="2024-09-03T00:00:00"/>
    <s v="Meat &amp; Seafood"/>
    <s v="Orange Juice"/>
    <n v="1"/>
    <n v="13.51"/>
    <n v="13.51"/>
    <s v="Low"/>
    <n v="2.84"/>
    <n v="10.67"/>
    <x v="1"/>
    <n v="2024"/>
    <n v="153"/>
    <x v="2"/>
    <s v="Tuesday"/>
    <x v="0"/>
    <x v="1"/>
    <s v="Regular"/>
  </r>
  <r>
    <n v="5500"/>
    <s v="MegaMart Westside"/>
    <d v="2024-11-08T00:00:00"/>
    <s v="Frozen Foods"/>
    <s v="Milk"/>
    <n v="2"/>
    <n v="11.23"/>
    <n v="22.46"/>
    <s v="Low"/>
    <n v="4.7"/>
    <n v="17.760000000000002"/>
    <x v="0"/>
    <n v="2024"/>
    <n v="233"/>
    <x v="0"/>
    <s v="Friday"/>
    <x v="0"/>
    <x v="1"/>
    <s v="Regular"/>
  </r>
  <r>
    <n v="9037"/>
    <s v="FreshMart Downtown"/>
    <d v="2024-07-29T00:00:00"/>
    <s v="Frozen Foods"/>
    <s v="Salmon"/>
    <n v="1"/>
    <n v="17.350000000000001"/>
    <n v="17.350000000000001"/>
    <s v="Low"/>
    <n v="3.58"/>
    <n v="13.770000000000001"/>
    <x v="2"/>
    <n v="2024"/>
    <n v="5"/>
    <x v="1"/>
    <s v="Monday"/>
    <x v="0"/>
    <x v="1"/>
    <s v="Regular"/>
  </r>
  <r>
    <n v="5088"/>
    <s v="QuickStop Market"/>
    <d v="2025-01-06T00:00:00"/>
    <s v="Health &amp; Wellness"/>
    <s v="Milk"/>
    <n v="1"/>
    <n v="20.45"/>
    <n v="20.45"/>
    <s v="Low"/>
    <n v="4.2"/>
    <n v="16.25"/>
    <x v="8"/>
    <n v="2025"/>
    <n v="207"/>
    <x v="0"/>
    <s v="Monday"/>
    <x v="0"/>
    <x v="1"/>
    <s v="Regular"/>
  </r>
  <r>
    <n v="1960"/>
    <s v="FamilyFood Express"/>
    <d v="2023-12-12T00:00:00"/>
    <s v="Dairy"/>
    <s v="Salmon"/>
    <n v="1"/>
    <n v="20.21"/>
    <n v="20.21"/>
    <s v="Low"/>
    <n v="4.1500000000000004"/>
    <n v="16.060000000000002"/>
    <x v="11"/>
    <n v="2023"/>
    <n v="328"/>
    <x v="0"/>
    <s v="Tuesday"/>
    <x v="0"/>
    <x v="1"/>
    <s v="Regular"/>
  </r>
  <r>
    <n v="1138"/>
    <s v="FreshMart Downtown"/>
    <d v="2024-11-23T00:00:00"/>
    <s v="Personal Care"/>
    <s v="Milk"/>
    <n v="3"/>
    <n v="3.76"/>
    <n v="11.28"/>
    <s v="Low"/>
    <n v="2.31"/>
    <n v="8.9699999999999989"/>
    <x v="0"/>
    <n v="2024"/>
    <n v="0"/>
    <x v="1"/>
    <s v="Saturday"/>
    <x v="1"/>
    <x v="0"/>
    <s v="Regular"/>
  </r>
  <r>
    <n v="2923"/>
    <s v="QuickStop Market"/>
    <d v="2025-03-31T00:00:00"/>
    <s v="Produce"/>
    <s v="Tomatoes"/>
    <n v="1"/>
    <n v="1.24"/>
    <n v="1.24"/>
    <s v="Low"/>
    <n v="0.25"/>
    <n v="0.99"/>
    <x v="6"/>
    <n v="2025"/>
    <n v="165"/>
    <x v="2"/>
    <s v="Monday"/>
    <x v="0"/>
    <x v="1"/>
    <s v="Regular"/>
  </r>
  <r>
    <n v="1727"/>
    <s v="FamilyFood Express"/>
    <d v="2025-02-07T00:00:00"/>
    <s v="Produce"/>
    <s v="Chicken Breast"/>
    <n v="2"/>
    <n v="1.54"/>
    <n v="3.08"/>
    <s v="Low"/>
    <n v="0.62"/>
    <n v="2.46"/>
    <x v="4"/>
    <n v="2025"/>
    <n v="160"/>
    <x v="2"/>
    <s v="Friday"/>
    <x v="0"/>
    <x v="1"/>
    <s v="Regular"/>
  </r>
  <r>
    <n v="6301"/>
    <s v="Corner Grocery"/>
    <d v="2025-08-02T00:00:00"/>
    <s v="Meat &amp; Seafood"/>
    <s v="Bananas"/>
    <n v="2"/>
    <n v="1.69"/>
    <n v="3.38"/>
    <s v="Low"/>
    <n v="0.68"/>
    <n v="2.6999999999999997"/>
    <x v="5"/>
    <n v="2025"/>
    <n v="218"/>
    <x v="0"/>
    <s v="Saturday"/>
    <x v="0"/>
    <x v="0"/>
    <s v="Regular"/>
  </r>
  <r>
    <n v="1659"/>
    <s v="City Fresh Store"/>
    <d v="2025-03-21T00:00:00"/>
    <s v="Snacks &amp; Candy"/>
    <s v="Apples"/>
    <n v="1"/>
    <n v="4.83"/>
    <n v="4.83"/>
    <s v="Low"/>
    <n v="0.97"/>
    <n v="3.8600000000000003"/>
    <x v="6"/>
    <n v="2025"/>
    <n v="371"/>
    <x v="0"/>
    <s v="Friday"/>
    <x v="0"/>
    <x v="1"/>
    <s v="Regular"/>
  </r>
  <r>
    <n v="3900"/>
    <s v="QuickStop Market"/>
    <d v="2025-06-21T00:00:00"/>
    <s v="Beverages"/>
    <s v="Yogurt"/>
    <n v="1"/>
    <n v="4.93"/>
    <n v="4.93"/>
    <s v="Low"/>
    <n v="0.99"/>
    <n v="3.9399999999999995"/>
    <x v="10"/>
    <n v="2025"/>
    <n v="37"/>
    <x v="1"/>
    <s v="Saturday"/>
    <x v="0"/>
    <x v="0"/>
    <s v="Regular"/>
  </r>
  <r>
    <n v="1539"/>
    <s v="Corner Grocery"/>
    <d v="2023-12-24T00:00:00"/>
    <s v="Household Items"/>
    <s v="Milk"/>
    <n v="2"/>
    <n v="12.04"/>
    <n v="24.08"/>
    <s v="Low"/>
    <n v="4.83"/>
    <n v="19.25"/>
    <x v="11"/>
    <n v="2023"/>
    <n v="332"/>
    <x v="0"/>
    <s v="Sunday"/>
    <x v="0"/>
    <x v="0"/>
    <s v="Regular"/>
  </r>
  <r>
    <n v="1726"/>
    <s v="FamilyFood Express"/>
    <d v="2024-05-06T00:00:00"/>
    <s v="Snacks &amp; Candy"/>
    <s v="Onions"/>
    <n v="2"/>
    <n v="3.49"/>
    <n v="6.98"/>
    <s v="Low"/>
    <n v="1.4"/>
    <n v="5.58"/>
    <x v="3"/>
    <n v="2024"/>
    <n v="394"/>
    <x v="0"/>
    <s v="Monday"/>
    <x v="0"/>
    <x v="1"/>
    <s v="Regular"/>
  </r>
  <r>
    <n v="6432"/>
    <s v="City Fresh Store"/>
    <d v="2025-04-16T00:00:00"/>
    <s v="Snacks &amp; Candy"/>
    <s v="Apples"/>
    <n v="4"/>
    <n v="1.01"/>
    <n v="4.04"/>
    <s v="Low"/>
    <n v="0.81"/>
    <n v="3.23"/>
    <x v="9"/>
    <n v="2025"/>
    <n v="75"/>
    <x v="3"/>
    <s v="Wednesday"/>
    <x v="1"/>
    <x v="1"/>
    <s v="Regular"/>
  </r>
  <r>
    <n v="3662"/>
    <s v="ValuePlus Market"/>
    <d v="2025-04-19T00:00:00"/>
    <s v="Snacks &amp; Candy"/>
    <s v="Onions"/>
    <n v="1"/>
    <n v="8.58"/>
    <n v="8.58"/>
    <s v="Low"/>
    <n v="1.72"/>
    <n v="6.86"/>
    <x v="9"/>
    <n v="2025"/>
    <n v="133"/>
    <x v="2"/>
    <s v="Saturday"/>
    <x v="0"/>
    <x v="0"/>
    <s v="Regular"/>
  </r>
  <r>
    <n v="5719"/>
    <s v="SuperSave Central"/>
    <d v="2024-07-12T00:00:00"/>
    <s v="Personal Care"/>
    <s v="Chicken Breast"/>
    <n v="4"/>
    <n v="2.17"/>
    <n v="8.68"/>
    <s v="Low"/>
    <n v="1.74"/>
    <n v="6.9399999999999995"/>
    <x v="2"/>
    <n v="2024"/>
    <n v="142"/>
    <x v="2"/>
    <s v="Friday"/>
    <x v="1"/>
    <x v="1"/>
    <s v="Regular"/>
  </r>
  <r>
    <n v="4257"/>
    <s v="FreshMart Downtown"/>
    <d v="2025-02-13T00:00:00"/>
    <s v="Canned Goods"/>
    <s v="Tomatoes"/>
    <n v="3"/>
    <n v="2.91"/>
    <n v="8.73"/>
    <s v="Low"/>
    <n v="1.75"/>
    <n v="6.98"/>
    <x v="4"/>
    <n v="2025"/>
    <n v="467"/>
    <x v="0"/>
    <s v="Thursday"/>
    <x v="1"/>
    <x v="1"/>
    <s v="Regular"/>
  </r>
  <r>
    <n v="1530"/>
    <s v="MegaMart Westside"/>
    <d v="2024-11-18T00:00:00"/>
    <s v="Meat &amp; Seafood"/>
    <s v="Bananas"/>
    <n v="1"/>
    <n v="9.6300000000000008"/>
    <n v="9.6300000000000008"/>
    <s v="Low"/>
    <n v="1.93"/>
    <n v="7.7000000000000011"/>
    <x v="0"/>
    <n v="2024"/>
    <n v="50"/>
    <x v="3"/>
    <s v="Monday"/>
    <x v="0"/>
    <x v="1"/>
    <s v="Regular"/>
  </r>
  <r>
    <n v="3236"/>
    <s v="Corner Grocery"/>
    <d v="2025-06-08T00:00:00"/>
    <s v="Personal Care"/>
    <s v="Onions"/>
    <n v="1"/>
    <n v="9.83"/>
    <n v="9.83"/>
    <s v="Low"/>
    <n v="1.97"/>
    <n v="7.86"/>
    <x v="10"/>
    <n v="2025"/>
    <n v="383"/>
    <x v="0"/>
    <s v="Sunday"/>
    <x v="0"/>
    <x v="0"/>
    <s v="Regular"/>
  </r>
  <r>
    <n v="5930"/>
    <s v="Corner Grocery"/>
    <d v="2024-06-17T00:00:00"/>
    <s v="Snacks &amp; Candy"/>
    <s v="Carrots"/>
    <n v="3"/>
    <n v="3.51"/>
    <n v="10.53"/>
    <s v="Low"/>
    <n v="2.11"/>
    <n v="8.42"/>
    <x v="10"/>
    <n v="2024"/>
    <n v="342"/>
    <x v="0"/>
    <s v="Monday"/>
    <x v="1"/>
    <x v="1"/>
    <s v="Regular"/>
  </r>
  <r>
    <n v="8489"/>
    <s v="City Fresh Store"/>
    <d v="2023-09-24T00:00:00"/>
    <s v="Dairy"/>
    <s v="Eggs"/>
    <n v="1"/>
    <n v="11.13"/>
    <n v="11.13"/>
    <s v="Low"/>
    <n v="2.23"/>
    <n v="8.9"/>
    <x v="1"/>
    <n v="2023"/>
    <n v="104"/>
    <x v="2"/>
    <s v="Sunday"/>
    <x v="0"/>
    <x v="0"/>
    <s v="Regular"/>
  </r>
  <r>
    <n v="8933"/>
    <s v="GreenGrocer Plaza"/>
    <d v="2025-04-05T00:00:00"/>
    <s v="Snacks &amp; Candy"/>
    <s v="Eggs"/>
    <n v="1"/>
    <n v="5.69"/>
    <n v="5.69"/>
    <s v="Low"/>
    <n v="1.1399999999999999"/>
    <n v="4.5500000000000007"/>
    <x v="9"/>
    <n v="2025"/>
    <n v="383"/>
    <x v="0"/>
    <s v="Saturday"/>
    <x v="0"/>
    <x v="0"/>
    <s v="Regular"/>
  </r>
  <r>
    <n v="6313"/>
    <s v="FamilyFood Express"/>
    <d v="2025-05-22T00:00:00"/>
    <s v="Frozen Foods"/>
    <s v="Apples"/>
    <n v="1"/>
    <n v="12.08"/>
    <n v="12.08"/>
    <s v="Low"/>
    <n v="2.42"/>
    <n v="9.66"/>
    <x v="3"/>
    <n v="2025"/>
    <n v="19"/>
    <x v="1"/>
    <s v="Thursday"/>
    <x v="0"/>
    <x v="1"/>
    <s v="Regular"/>
  </r>
  <r>
    <n v="8457"/>
    <s v="SuperSave Central"/>
    <d v="2024-09-06T00:00:00"/>
    <s v="Personal Care"/>
    <s v="Bananas"/>
    <n v="1"/>
    <n v="6.09"/>
    <n v="6.09"/>
    <s v="Low"/>
    <n v="1.22"/>
    <n v="4.87"/>
    <x v="1"/>
    <n v="2024"/>
    <n v="101"/>
    <x v="2"/>
    <s v="Friday"/>
    <x v="0"/>
    <x v="1"/>
    <s v="Regular"/>
  </r>
  <r>
    <n v="8933"/>
    <s v="QuickStop Market"/>
    <d v="2024-03-08T00:00:00"/>
    <s v="Dairy"/>
    <s v="Bananas"/>
    <n v="1"/>
    <n v="12.18"/>
    <n v="12.18"/>
    <s v="Low"/>
    <n v="2.44"/>
    <n v="9.74"/>
    <x v="6"/>
    <n v="2024"/>
    <n v="375"/>
    <x v="0"/>
    <s v="Friday"/>
    <x v="0"/>
    <x v="1"/>
    <s v="Regular"/>
  </r>
  <r>
    <n v="2848"/>
    <s v="GreenGrocer Plaza"/>
    <d v="2023-09-01T00:00:00"/>
    <s v="Beverages"/>
    <s v="Bananas"/>
    <n v="4"/>
    <n v="3.12"/>
    <n v="12.48"/>
    <s v="Low"/>
    <n v="2.5"/>
    <n v="9.98"/>
    <x v="1"/>
    <n v="2023"/>
    <n v="491"/>
    <x v="0"/>
    <s v="Friday"/>
    <x v="1"/>
    <x v="1"/>
    <s v="Regular"/>
  </r>
  <r>
    <n v="3340"/>
    <s v="Corner Grocery"/>
    <d v="2023-09-29T00:00:00"/>
    <s v="Frozen Foods"/>
    <s v="Potatoes"/>
    <n v="1"/>
    <n v="6.34"/>
    <n v="6.34"/>
    <s v="Low"/>
    <n v="1.27"/>
    <n v="5.07"/>
    <x v="1"/>
    <n v="2023"/>
    <n v="205"/>
    <x v="0"/>
    <s v="Friday"/>
    <x v="0"/>
    <x v="1"/>
    <s v="Regular"/>
  </r>
  <r>
    <n v="6675"/>
    <s v="Corner Grocery"/>
    <d v="2024-12-12T00:00:00"/>
    <s v="Personal Care"/>
    <s v="Bread"/>
    <n v="1"/>
    <n v="6.79"/>
    <n v="6.79"/>
    <s v="Low"/>
    <n v="1.36"/>
    <n v="5.43"/>
    <x v="11"/>
    <n v="2024"/>
    <n v="18"/>
    <x v="1"/>
    <s v="Thursday"/>
    <x v="0"/>
    <x v="1"/>
    <s v="Regular"/>
  </r>
  <r>
    <n v="3608"/>
    <s v="City Fresh Store"/>
    <d v="2025-04-09T00:00:00"/>
    <s v="Health &amp; Wellness"/>
    <s v="Carrots"/>
    <n v="3"/>
    <n v="4.71"/>
    <n v="14.13"/>
    <s v="Low"/>
    <n v="2.83"/>
    <n v="11.3"/>
    <x v="9"/>
    <n v="2025"/>
    <n v="424"/>
    <x v="0"/>
    <s v="Wednesday"/>
    <x v="1"/>
    <x v="1"/>
    <s v="Regular"/>
  </r>
  <r>
    <n v="8319"/>
    <s v="SuperSave Central"/>
    <d v="2024-09-20T00:00:00"/>
    <s v="Personal Care"/>
    <s v="Chicken Breast"/>
    <n v="1"/>
    <n v="7.14"/>
    <n v="7.14"/>
    <s v="Low"/>
    <n v="1.43"/>
    <n v="5.71"/>
    <x v="1"/>
    <n v="2024"/>
    <n v="5"/>
    <x v="1"/>
    <s v="Friday"/>
    <x v="0"/>
    <x v="1"/>
    <s v="Regular"/>
  </r>
  <r>
    <n v="2559"/>
    <s v="ValuePlus Market"/>
    <d v="2023-08-07T00:00:00"/>
    <s v="Meat &amp; Seafood"/>
    <s v="Pasta"/>
    <n v="1"/>
    <n v="15.33"/>
    <n v="15.33"/>
    <s v="Low"/>
    <n v="3.07"/>
    <n v="12.26"/>
    <x v="5"/>
    <n v="2023"/>
    <n v="426"/>
    <x v="0"/>
    <s v="Monday"/>
    <x v="0"/>
    <x v="1"/>
    <s v="Regular"/>
  </r>
  <r>
    <n v="3078"/>
    <s v="FreshMart Downtown"/>
    <d v="2025-02-01T00:00:00"/>
    <s v="Meat &amp; Seafood"/>
    <s v="Cheese"/>
    <n v="1"/>
    <n v="16.63"/>
    <n v="16.63"/>
    <s v="Low"/>
    <n v="3.33"/>
    <n v="13.299999999999999"/>
    <x v="4"/>
    <n v="2025"/>
    <n v="390"/>
    <x v="0"/>
    <s v="Saturday"/>
    <x v="0"/>
    <x v="0"/>
    <s v="Regular"/>
  </r>
  <r>
    <n v="5397"/>
    <s v="QuickStop Market"/>
    <d v="2024-04-13T00:00:00"/>
    <s v="Frozen Foods"/>
    <s v="Cereal"/>
    <n v="1"/>
    <n v="17.03"/>
    <n v="17.03"/>
    <s v="Low"/>
    <n v="3.41"/>
    <n v="13.620000000000001"/>
    <x v="9"/>
    <n v="2024"/>
    <n v="4"/>
    <x v="1"/>
    <s v="Saturday"/>
    <x v="0"/>
    <x v="0"/>
    <s v="Regular"/>
  </r>
  <r>
    <n v="8167"/>
    <s v="City Fresh Store"/>
    <d v="2025-02-23T00:00:00"/>
    <s v="Beverages"/>
    <s v="Cereal"/>
    <n v="2"/>
    <n v="9.39"/>
    <n v="18.78"/>
    <s v="Low"/>
    <n v="3.76"/>
    <n v="15.020000000000001"/>
    <x v="4"/>
    <n v="2025"/>
    <n v="51"/>
    <x v="3"/>
    <s v="Sunday"/>
    <x v="0"/>
    <x v="0"/>
    <s v="Regular"/>
  </r>
  <r>
    <n v="2295"/>
    <s v="ValuePlus Market"/>
    <d v="2025-07-23T00:00:00"/>
    <s v="Snacks &amp; Candy"/>
    <s v="Chicken Breast"/>
    <n v="1"/>
    <n v="19.73"/>
    <n v="19.73"/>
    <s v="Low"/>
    <n v="3.95"/>
    <n v="15.780000000000001"/>
    <x v="2"/>
    <n v="2025"/>
    <n v="490"/>
    <x v="0"/>
    <s v="Wednesday"/>
    <x v="0"/>
    <x v="1"/>
    <s v="Regular"/>
  </r>
  <r>
    <n v="8248"/>
    <s v="ValuePlus Market"/>
    <d v="2025-06-04T00:00:00"/>
    <s v="Snacks &amp; Candy"/>
    <s v="Salmon"/>
    <n v="1"/>
    <n v="20.38"/>
    <n v="20.38"/>
    <s v="Low"/>
    <n v="4.08"/>
    <n v="16.299999999999997"/>
    <x v="10"/>
    <n v="2025"/>
    <n v="33"/>
    <x v="1"/>
    <s v="Wednesday"/>
    <x v="0"/>
    <x v="1"/>
    <s v="Regular"/>
  </r>
  <r>
    <n v="2698"/>
    <s v="MegaMart Westside"/>
    <d v="2025-03-28T00:00:00"/>
    <s v="Health &amp; Wellness"/>
    <s v="Tomatoes"/>
    <n v="3"/>
    <n v="3.53"/>
    <n v="10.59"/>
    <s v="Low"/>
    <n v="2.12"/>
    <n v="8.4699999999999989"/>
    <x v="6"/>
    <n v="2025"/>
    <n v="69"/>
    <x v="3"/>
    <s v="Friday"/>
    <x v="1"/>
    <x v="1"/>
    <s v="Regular"/>
  </r>
  <r>
    <n v="8988"/>
    <s v="MegaMart Westside"/>
    <d v="2024-01-18T00:00:00"/>
    <s v="Canned Goods"/>
    <s v="Salmon"/>
    <n v="3"/>
    <n v="7.76"/>
    <n v="23.28"/>
    <s v="Low"/>
    <n v="4.66"/>
    <n v="18.62"/>
    <x v="8"/>
    <n v="2024"/>
    <n v="483"/>
    <x v="0"/>
    <s v="Thursday"/>
    <x v="1"/>
    <x v="1"/>
    <s v="Regular"/>
  </r>
  <r>
    <n v="1379"/>
    <s v="City Fresh Store"/>
    <d v="2023-10-15T00:00:00"/>
    <s v="Frozen Foods"/>
    <s v="Yogurt"/>
    <n v="2"/>
    <n v="11.89"/>
    <n v="23.78"/>
    <s v="Low"/>
    <n v="4.76"/>
    <n v="19.020000000000003"/>
    <x v="7"/>
    <n v="2023"/>
    <n v="328"/>
    <x v="0"/>
    <s v="Sunday"/>
    <x v="0"/>
    <x v="0"/>
    <s v="Regular"/>
  </r>
  <r>
    <n v="1762"/>
    <s v="FamilyFood Express"/>
    <d v="2025-07-24T00:00:00"/>
    <s v="Canned Goods"/>
    <s v="Orange Juice"/>
    <n v="4"/>
    <n v="3.06"/>
    <n v="12.24"/>
    <s v="Low"/>
    <n v="2.4500000000000002"/>
    <n v="9.7899999999999991"/>
    <x v="2"/>
    <n v="2025"/>
    <n v="218"/>
    <x v="0"/>
    <s v="Thursday"/>
    <x v="1"/>
    <x v="1"/>
    <s v="Regular"/>
  </r>
  <r>
    <n v="2376"/>
    <s v="City Fresh Store"/>
    <d v="2024-11-01T00:00:00"/>
    <s v="Bakery"/>
    <s v="Chicken Breast"/>
    <n v="2"/>
    <n v="12.24"/>
    <n v="24.48"/>
    <s v="Low"/>
    <n v="4.9000000000000004"/>
    <n v="19.579999999999998"/>
    <x v="0"/>
    <n v="2024"/>
    <n v="324"/>
    <x v="0"/>
    <s v="Friday"/>
    <x v="0"/>
    <x v="1"/>
    <s v="Regular"/>
  </r>
  <r>
    <n v="6180"/>
    <s v="Corner Grocery"/>
    <d v="2025-07-28T00:00:00"/>
    <s v="Health &amp; Wellness"/>
    <s v="Cheese"/>
    <n v="3"/>
    <n v="4.33"/>
    <n v="12.99"/>
    <s v="Low"/>
    <n v="2.6"/>
    <n v="10.39"/>
    <x v="2"/>
    <n v="2025"/>
    <n v="10"/>
    <x v="1"/>
    <s v="Monday"/>
    <x v="1"/>
    <x v="1"/>
    <s v="Regular"/>
  </r>
  <r>
    <n v="3281"/>
    <s v="FamilyFood Express"/>
    <d v="2025-04-07T00:00:00"/>
    <s v="Bakery"/>
    <s v="Rice"/>
    <n v="2"/>
    <n v="13.29"/>
    <n v="26.58"/>
    <s v="Medium"/>
    <n v="5.32"/>
    <n v="21.259999999999998"/>
    <x v="9"/>
    <n v="2025"/>
    <n v="138"/>
    <x v="2"/>
    <s v="Monday"/>
    <x v="0"/>
    <x v="1"/>
    <s v="Regular"/>
  </r>
  <r>
    <n v="1672"/>
    <s v="City Fresh Store"/>
    <d v="2024-07-21T00:00:00"/>
    <s v="Canned Goods"/>
    <s v="Carrots"/>
    <n v="1"/>
    <n v="27.33"/>
    <n v="27.33"/>
    <s v="Medium"/>
    <n v="5.47"/>
    <n v="21.86"/>
    <x v="2"/>
    <n v="2024"/>
    <n v="184"/>
    <x v="2"/>
    <s v="Sunday"/>
    <x v="0"/>
    <x v="0"/>
    <s v="Regular"/>
  </r>
  <r>
    <n v="4728"/>
    <s v="City Fresh Store"/>
    <d v="2024-01-27T00:00:00"/>
    <s v="Dairy"/>
    <s v="Milk"/>
    <n v="2"/>
    <n v="13.74"/>
    <n v="27.48"/>
    <s v="Medium"/>
    <n v="5.5"/>
    <n v="21.98"/>
    <x v="8"/>
    <n v="2024"/>
    <n v="247"/>
    <x v="0"/>
    <s v="Saturday"/>
    <x v="0"/>
    <x v="0"/>
    <s v="Regular"/>
  </r>
  <r>
    <n v="8851"/>
    <s v="ValuePlus Market"/>
    <d v="2024-11-01T00:00:00"/>
    <s v="Beverages"/>
    <s v="Apples"/>
    <n v="1"/>
    <n v="28.53"/>
    <n v="28.53"/>
    <s v="Medium"/>
    <n v="5.71"/>
    <n v="22.82"/>
    <x v="0"/>
    <n v="2024"/>
    <n v="299"/>
    <x v="0"/>
    <s v="Friday"/>
    <x v="0"/>
    <x v="1"/>
    <s v="Regular"/>
  </r>
  <r>
    <n v="7985"/>
    <s v="MegaMart Westside"/>
    <d v="2024-07-30T00:00:00"/>
    <s v="Canned Goods"/>
    <s v="Salmon"/>
    <n v="2"/>
    <n v="14.39"/>
    <n v="28.78"/>
    <s v="Medium"/>
    <n v="5.76"/>
    <n v="23.020000000000003"/>
    <x v="2"/>
    <n v="2024"/>
    <n v="380"/>
    <x v="0"/>
    <s v="Tuesday"/>
    <x v="0"/>
    <x v="1"/>
    <s v="Regular"/>
  </r>
  <r>
    <n v="9005"/>
    <s v="QuickStop Market"/>
    <d v="2025-02-19T00:00:00"/>
    <s v="Snacks &amp; Candy"/>
    <s v="Tomatoes"/>
    <n v="1"/>
    <n v="14.44"/>
    <n v="14.44"/>
    <s v="Low"/>
    <n v="2.89"/>
    <n v="11.549999999999999"/>
    <x v="4"/>
    <n v="2025"/>
    <n v="416"/>
    <x v="0"/>
    <s v="Wednesday"/>
    <x v="0"/>
    <x v="1"/>
    <s v="Regular"/>
  </r>
  <r>
    <n v="5240"/>
    <s v="SuperSave Central"/>
    <d v="2025-07-19T00:00:00"/>
    <s v="Personal Care"/>
    <s v="Eggs"/>
    <n v="1"/>
    <n v="14.84"/>
    <n v="14.84"/>
    <s v="Low"/>
    <n v="2.97"/>
    <n v="11.87"/>
    <x v="2"/>
    <n v="2025"/>
    <n v="37"/>
    <x v="1"/>
    <s v="Saturday"/>
    <x v="0"/>
    <x v="0"/>
    <s v="Regular"/>
  </r>
  <r>
    <n v="8790"/>
    <s v="FamilyFood Express"/>
    <d v="2024-03-04T00:00:00"/>
    <s v="Canned Goods"/>
    <s v="Chicken Breast"/>
    <n v="1"/>
    <n v="15.69"/>
    <n v="15.69"/>
    <s v="Low"/>
    <n v="3.14"/>
    <n v="12.549999999999999"/>
    <x v="6"/>
    <n v="2024"/>
    <n v="57"/>
    <x v="3"/>
    <s v="Monday"/>
    <x v="0"/>
    <x v="1"/>
    <s v="Regular"/>
  </r>
  <r>
    <n v="3711"/>
    <s v="FamilyFood Express"/>
    <d v="2023-09-16T00:00:00"/>
    <s v="Frozen Foods"/>
    <s v="Potatoes"/>
    <n v="3"/>
    <n v="10.76"/>
    <n v="32.28"/>
    <s v="Medium"/>
    <n v="6.46"/>
    <n v="25.82"/>
    <x v="1"/>
    <n v="2023"/>
    <n v="224"/>
    <x v="0"/>
    <s v="Saturday"/>
    <x v="1"/>
    <x v="0"/>
    <s v="Regular"/>
  </r>
  <r>
    <n v="4114"/>
    <s v="FreshMart Downtown"/>
    <d v="2024-02-20T00:00:00"/>
    <s v="Household Items"/>
    <s v="Potatoes"/>
    <n v="2"/>
    <n v="16.190000000000001"/>
    <n v="32.380000000000003"/>
    <s v="Medium"/>
    <n v="6.48"/>
    <n v="25.900000000000002"/>
    <x v="4"/>
    <n v="2024"/>
    <n v="369"/>
    <x v="0"/>
    <s v="Tuesday"/>
    <x v="0"/>
    <x v="1"/>
    <s v="Regular"/>
  </r>
  <r>
    <n v="4362"/>
    <s v="ValuePlus Market"/>
    <d v="2023-09-29T00:00:00"/>
    <s v="Meat &amp; Seafood"/>
    <s v="Yogurt"/>
    <n v="2"/>
    <n v="17.84"/>
    <n v="35.68"/>
    <s v="Medium"/>
    <n v="7.14"/>
    <n v="28.54"/>
    <x v="1"/>
    <n v="2023"/>
    <n v="350"/>
    <x v="0"/>
    <s v="Friday"/>
    <x v="0"/>
    <x v="1"/>
    <s v="Regular"/>
  </r>
  <r>
    <n v="2499"/>
    <s v="GreenGrocer Plaza"/>
    <d v="2023-08-11T00:00:00"/>
    <s v="Bakery"/>
    <s v="Chicken Breast"/>
    <n v="3"/>
    <n v="13.16"/>
    <n v="39.479999999999997"/>
    <s v="Medium"/>
    <n v="7.9"/>
    <n v="31.58"/>
    <x v="5"/>
    <n v="2023"/>
    <n v="228"/>
    <x v="0"/>
    <s v="Friday"/>
    <x v="1"/>
    <x v="1"/>
    <s v="Regular"/>
  </r>
  <r>
    <n v="5837"/>
    <s v="SuperSave Central"/>
    <d v="2023-08-24T00:00:00"/>
    <s v="Produce"/>
    <s v="Eggs"/>
    <n v="2"/>
    <n v="20.190000000000001"/>
    <n v="40.380000000000003"/>
    <s v="Medium"/>
    <n v="8.08"/>
    <n v="32.300000000000004"/>
    <x v="5"/>
    <n v="2023"/>
    <n v="481"/>
    <x v="0"/>
    <s v="Thursday"/>
    <x v="0"/>
    <x v="1"/>
    <s v="Regular"/>
  </r>
  <r>
    <n v="6085"/>
    <s v="SuperSave Central"/>
    <d v="2024-07-30T00:00:00"/>
    <s v="Bakery"/>
    <s v="Onions"/>
    <n v="1"/>
    <n v="20.29"/>
    <n v="20.29"/>
    <s v="Low"/>
    <n v="4.0599999999999996"/>
    <n v="16.23"/>
    <x v="2"/>
    <n v="2024"/>
    <n v="500"/>
    <x v="0"/>
    <s v="Tuesday"/>
    <x v="0"/>
    <x v="1"/>
    <s v="Regular"/>
  </r>
  <r>
    <n v="1434"/>
    <s v="QuickStop Market"/>
    <d v="2024-10-15T00:00:00"/>
    <s v="Health &amp; Wellness"/>
    <s v="Onions"/>
    <n v="2"/>
    <n v="20.84"/>
    <n v="41.68"/>
    <s v="Medium"/>
    <n v="8.34"/>
    <n v="33.340000000000003"/>
    <x v="7"/>
    <n v="2024"/>
    <n v="431"/>
    <x v="0"/>
    <s v="Tuesday"/>
    <x v="0"/>
    <x v="1"/>
    <s v="Regular"/>
  </r>
  <r>
    <n v="7434"/>
    <s v="FamilyFood Express"/>
    <d v="2024-08-21T00:00:00"/>
    <s v="Health &amp; Wellness"/>
    <s v="Bread"/>
    <n v="1"/>
    <n v="21.79"/>
    <n v="21.79"/>
    <s v="Low"/>
    <n v="4.3600000000000003"/>
    <n v="17.43"/>
    <x v="5"/>
    <n v="2024"/>
    <n v="144"/>
    <x v="2"/>
    <s v="Wednesday"/>
    <x v="0"/>
    <x v="1"/>
    <s v="Regular"/>
  </r>
  <r>
    <n v="8030"/>
    <s v="ValuePlus Market"/>
    <d v="2025-05-24T00:00:00"/>
    <s v="Snacks &amp; Candy"/>
    <s v="Orange Juice"/>
    <n v="4"/>
    <n v="5.46"/>
    <n v="21.84"/>
    <s v="Low"/>
    <n v="4.37"/>
    <n v="17.47"/>
    <x v="3"/>
    <n v="2025"/>
    <n v="446"/>
    <x v="0"/>
    <s v="Saturday"/>
    <x v="1"/>
    <x v="0"/>
    <s v="Regular"/>
  </r>
  <r>
    <n v="7267"/>
    <s v="SuperSave Central"/>
    <d v="2024-11-30T00:00:00"/>
    <s v="Beverages"/>
    <s v="Cereal"/>
    <n v="3"/>
    <n v="7.33"/>
    <n v="21.99"/>
    <s v="Low"/>
    <n v="4.4000000000000004"/>
    <n v="17.589999999999996"/>
    <x v="0"/>
    <n v="2024"/>
    <n v="293"/>
    <x v="0"/>
    <s v="Saturday"/>
    <x v="1"/>
    <x v="0"/>
    <s v="Regular"/>
  </r>
  <r>
    <n v="5399"/>
    <s v="QuickStop Market"/>
    <d v="2024-04-13T00:00:00"/>
    <s v="Meat &amp; Seafood"/>
    <s v="Tomatoes"/>
    <n v="1"/>
    <n v="22.04"/>
    <n v="22.04"/>
    <s v="Low"/>
    <n v="4.41"/>
    <n v="17.63"/>
    <x v="9"/>
    <n v="2024"/>
    <n v="299"/>
    <x v="0"/>
    <s v="Saturday"/>
    <x v="0"/>
    <x v="0"/>
    <s v="Regular"/>
  </r>
  <r>
    <n v="2317"/>
    <s v="FamilyFood Express"/>
    <d v="2024-11-13T00:00:00"/>
    <s v="Frozen Foods"/>
    <s v="Carrots"/>
    <n v="2"/>
    <n v="11.37"/>
    <n v="22.74"/>
    <s v="Low"/>
    <n v="4.55"/>
    <n v="18.189999999999998"/>
    <x v="0"/>
    <n v="2024"/>
    <n v="209"/>
    <x v="0"/>
    <s v="Wednesday"/>
    <x v="0"/>
    <x v="1"/>
    <s v="Regular"/>
  </r>
  <r>
    <n v="9947"/>
    <s v="MegaMart Westside"/>
    <d v="2025-04-19T00:00:00"/>
    <s v="Personal Care"/>
    <s v="Bread"/>
    <n v="1"/>
    <n v="23.29"/>
    <n v="23.29"/>
    <s v="Low"/>
    <n v="4.66"/>
    <n v="18.63"/>
    <x v="9"/>
    <n v="2025"/>
    <n v="336"/>
    <x v="0"/>
    <s v="Saturday"/>
    <x v="0"/>
    <x v="0"/>
    <s v="Regular"/>
  </r>
  <r>
    <n v="1072"/>
    <s v="MegaMart Westside"/>
    <d v="2025-02-04T00:00:00"/>
    <s v="Health &amp; Wellness"/>
    <s v="Chicken Breast"/>
    <n v="3"/>
    <n v="15.56"/>
    <n v="46.68"/>
    <s v="Medium"/>
    <n v="9.34"/>
    <n v="37.340000000000003"/>
    <x v="4"/>
    <n v="2025"/>
    <n v="272"/>
    <x v="0"/>
    <s v="Tuesday"/>
    <x v="1"/>
    <x v="1"/>
    <s v="Regular"/>
  </r>
  <r>
    <n v="1832"/>
    <s v="FreshMart Downtown"/>
    <d v="2023-10-17T00:00:00"/>
    <s v="Snacks &amp; Candy"/>
    <s v="Carrots"/>
    <n v="3"/>
    <n v="7.83"/>
    <n v="23.49"/>
    <s v="Low"/>
    <n v="4.7"/>
    <n v="18.79"/>
    <x v="7"/>
    <n v="2023"/>
    <n v="41"/>
    <x v="1"/>
    <s v="Tuesday"/>
    <x v="1"/>
    <x v="1"/>
    <s v="Regular"/>
  </r>
  <r>
    <n v="6129"/>
    <s v="SuperSave Central"/>
    <d v="2024-10-27T00:00:00"/>
    <s v="Bakery"/>
    <s v="Eggs"/>
    <n v="3"/>
    <n v="16.16"/>
    <n v="48.48"/>
    <s v="Medium"/>
    <n v="9.6999999999999993"/>
    <n v="38.78"/>
    <x v="7"/>
    <n v="2024"/>
    <n v="210"/>
    <x v="0"/>
    <s v="Sunday"/>
    <x v="1"/>
    <x v="0"/>
    <s v="Regular"/>
  </r>
  <r>
    <n v="4555"/>
    <s v="FamilyFood Express"/>
    <d v="2024-08-13T00:00:00"/>
    <s v="Beverages"/>
    <s v="Chicken Breast"/>
    <n v="1"/>
    <n v="24.74"/>
    <n v="24.74"/>
    <s v="Low"/>
    <n v="4.95"/>
    <n v="19.79"/>
    <x v="5"/>
    <n v="2024"/>
    <n v="290"/>
    <x v="0"/>
    <s v="Tuesday"/>
    <x v="0"/>
    <x v="1"/>
    <s v="Regular"/>
  </r>
  <r>
    <n v="7560"/>
    <s v="FreshMart Downtown"/>
    <d v="2024-09-16T00:00:00"/>
    <s v="Frozen Foods"/>
    <s v="Eggs"/>
    <n v="1"/>
    <n v="25.69"/>
    <n v="25.69"/>
    <s v="Medium"/>
    <n v="5.14"/>
    <n v="20.55"/>
    <x v="1"/>
    <n v="2024"/>
    <n v="234"/>
    <x v="0"/>
    <s v="Monday"/>
    <x v="0"/>
    <x v="1"/>
    <s v="Regular"/>
  </r>
  <r>
    <n v="8994"/>
    <s v="QuickStop Market"/>
    <d v="2025-06-14T00:00:00"/>
    <s v="Health &amp; Wellness"/>
    <s v="Tomatoes"/>
    <n v="2"/>
    <n v="12.97"/>
    <n v="25.94"/>
    <s v="Medium"/>
    <n v="5.19"/>
    <n v="20.75"/>
    <x v="10"/>
    <n v="2025"/>
    <n v="401"/>
    <x v="0"/>
    <s v="Saturday"/>
    <x v="0"/>
    <x v="0"/>
    <s v="Regular"/>
  </r>
  <r>
    <n v="3851"/>
    <s v="SuperSave Central"/>
    <d v="2024-11-27T00:00:00"/>
    <s v="Produce"/>
    <s v="Cereal"/>
    <n v="3"/>
    <n v="17.46"/>
    <n v="52.38"/>
    <s v="High"/>
    <n v="10.48"/>
    <n v="41.900000000000006"/>
    <x v="0"/>
    <n v="2024"/>
    <n v="387"/>
    <x v="0"/>
    <s v="Wednesday"/>
    <x v="1"/>
    <x v="1"/>
    <s v="Regular"/>
  </r>
  <r>
    <n v="7201"/>
    <s v="FamilyFood Express"/>
    <d v="2023-10-07T00:00:00"/>
    <s v="Personal Care"/>
    <s v="Salmon"/>
    <n v="2"/>
    <n v="13.22"/>
    <n v="26.44"/>
    <s v="Medium"/>
    <n v="5.29"/>
    <n v="21.150000000000002"/>
    <x v="7"/>
    <n v="2023"/>
    <n v="142"/>
    <x v="2"/>
    <s v="Saturday"/>
    <x v="0"/>
    <x v="0"/>
    <s v="Regular"/>
  </r>
  <r>
    <n v="6272"/>
    <s v="SuperSave Central"/>
    <d v="2025-06-12T00:00:00"/>
    <s v="Canned Goods"/>
    <s v="Tomatoes"/>
    <n v="2"/>
    <n v="26.84"/>
    <n v="53.68"/>
    <s v="High"/>
    <n v="10.74"/>
    <n v="42.94"/>
    <x v="10"/>
    <n v="2025"/>
    <n v="301"/>
    <x v="0"/>
    <s v="Thursday"/>
    <x v="0"/>
    <x v="1"/>
    <s v="Regular"/>
  </r>
  <r>
    <n v="6325"/>
    <s v="ValuePlus Market"/>
    <d v="2025-01-02T00:00:00"/>
    <s v="Health &amp; Wellness"/>
    <s v="Chicken Breast"/>
    <n v="2"/>
    <n v="28.99"/>
    <n v="57.98"/>
    <s v="High"/>
    <n v="11.6"/>
    <n v="46.379999999999995"/>
    <x v="8"/>
    <n v="2025"/>
    <n v="459"/>
    <x v="0"/>
    <s v="Thursday"/>
    <x v="0"/>
    <x v="1"/>
    <s v="Regular"/>
  </r>
  <r>
    <n v="8325"/>
    <s v="GreenGrocer Plaza"/>
    <d v="2023-09-08T00:00:00"/>
    <s v="Canned Goods"/>
    <s v="Rice"/>
    <n v="3"/>
    <n v="9.7799999999999994"/>
    <n v="29.34"/>
    <s v="Medium"/>
    <n v="5.87"/>
    <n v="23.47"/>
    <x v="1"/>
    <n v="2023"/>
    <n v="248"/>
    <x v="0"/>
    <s v="Friday"/>
    <x v="1"/>
    <x v="1"/>
    <s v="Regular"/>
  </r>
  <r>
    <n v="1653"/>
    <s v="GreenGrocer Plaza"/>
    <d v="2025-07-05T00:00:00"/>
    <s v="Dairy"/>
    <s v="Cereal"/>
    <n v="3"/>
    <n v="9.8800000000000008"/>
    <n v="29.64"/>
    <s v="Medium"/>
    <n v="5.93"/>
    <n v="23.71"/>
    <x v="2"/>
    <n v="2025"/>
    <n v="308"/>
    <x v="0"/>
    <s v="Saturday"/>
    <x v="1"/>
    <x v="0"/>
    <s v="Regular"/>
  </r>
  <r>
    <n v="7916"/>
    <s v="GreenGrocer Plaza"/>
    <d v="2024-11-12T00:00:00"/>
    <s v="Frozen Foods"/>
    <s v="Ground Beef"/>
    <n v="3"/>
    <n v="10.73"/>
    <n v="32.19"/>
    <s v="Medium"/>
    <n v="6.44"/>
    <n v="25.749999999999996"/>
    <x v="0"/>
    <n v="2024"/>
    <n v="457"/>
    <x v="0"/>
    <s v="Tuesday"/>
    <x v="1"/>
    <x v="1"/>
    <s v="Regular"/>
  </r>
  <r>
    <n v="4262"/>
    <s v="QuickStop Market"/>
    <d v="2023-11-29T00:00:00"/>
    <s v="Beverages"/>
    <s v="Onions"/>
    <n v="4"/>
    <n v="16.420000000000002"/>
    <n v="65.680000000000007"/>
    <s v="High"/>
    <n v="13.14"/>
    <n v="52.540000000000006"/>
    <x v="0"/>
    <n v="2023"/>
    <n v="421"/>
    <x v="0"/>
    <s v="Wednesday"/>
    <x v="1"/>
    <x v="1"/>
    <s v="Regular"/>
  </r>
  <r>
    <n v="7739"/>
    <s v="FreshMart Downtown"/>
    <d v="2023-08-16T00:00:00"/>
    <s v="Produce"/>
    <s v="Cereal"/>
    <n v="4"/>
    <n v="8.56"/>
    <n v="34.24"/>
    <s v="Medium"/>
    <n v="6.85"/>
    <n v="27.39"/>
    <x v="5"/>
    <n v="2023"/>
    <n v="171"/>
    <x v="2"/>
    <s v="Wednesday"/>
    <x v="1"/>
    <x v="1"/>
    <s v="Regular"/>
  </r>
  <r>
    <n v="8575"/>
    <s v="GreenGrocer Plaza"/>
    <d v="2025-01-10T00:00:00"/>
    <s v="Frozen Foods"/>
    <s v="Tomatoes"/>
    <n v="2"/>
    <n v="17.52"/>
    <n v="35.04"/>
    <s v="Medium"/>
    <n v="7.01"/>
    <n v="28.03"/>
    <x v="8"/>
    <n v="2025"/>
    <n v="437"/>
    <x v="0"/>
    <s v="Friday"/>
    <x v="0"/>
    <x v="1"/>
    <s v="Regular"/>
  </r>
  <r>
    <n v="2294"/>
    <s v="SuperSave Central"/>
    <d v="2024-09-07T00:00:00"/>
    <s v="Frozen Foods"/>
    <s v="Eggs"/>
    <n v="4"/>
    <n v="17.670000000000002"/>
    <n v="70.680000000000007"/>
    <s v="High"/>
    <n v="14.14"/>
    <n v="56.540000000000006"/>
    <x v="1"/>
    <n v="2024"/>
    <n v="410"/>
    <x v="0"/>
    <s v="Saturday"/>
    <x v="1"/>
    <x v="0"/>
    <s v="Regular"/>
  </r>
  <r>
    <n v="6238"/>
    <s v="Corner Grocery"/>
    <d v="2025-06-30T00:00:00"/>
    <s v="Canned Goods"/>
    <s v="Bananas"/>
    <n v="3"/>
    <n v="23.71"/>
    <n v="71.13"/>
    <s v="High"/>
    <n v="14.23"/>
    <n v="56.899999999999991"/>
    <x v="10"/>
    <n v="2025"/>
    <n v="230"/>
    <x v="0"/>
    <s v="Monday"/>
    <x v="1"/>
    <x v="1"/>
    <s v="Regular"/>
  </r>
  <r>
    <n v="3838"/>
    <s v="ValuePlus Market"/>
    <d v="2024-10-11T00:00:00"/>
    <s v="Bakery"/>
    <s v="Ground Beef"/>
    <n v="3"/>
    <n v="24.11"/>
    <n v="72.33"/>
    <s v="High"/>
    <n v="14.47"/>
    <n v="57.86"/>
    <x v="7"/>
    <n v="2024"/>
    <n v="93"/>
    <x v="3"/>
    <s v="Friday"/>
    <x v="1"/>
    <x v="1"/>
    <s v="Regular"/>
  </r>
  <r>
    <n v="4150"/>
    <s v="FreshMart Downtown"/>
    <d v="2025-02-04T00:00:00"/>
    <s v="Snacks &amp; Candy"/>
    <s v="Pasta"/>
    <n v="4"/>
    <n v="9.26"/>
    <n v="37.04"/>
    <s v="Medium"/>
    <n v="7.41"/>
    <n v="29.63"/>
    <x v="4"/>
    <n v="2025"/>
    <n v="356"/>
    <x v="0"/>
    <s v="Tuesday"/>
    <x v="1"/>
    <x v="1"/>
    <s v="Regular"/>
  </r>
  <r>
    <n v="3353"/>
    <s v="GreenGrocer Plaza"/>
    <d v="2024-04-05T00:00:00"/>
    <s v="Dairy"/>
    <s v="Carrots"/>
    <n v="3"/>
    <n v="12.88"/>
    <n v="38.64"/>
    <s v="Medium"/>
    <n v="7.73"/>
    <n v="30.91"/>
    <x v="9"/>
    <n v="2024"/>
    <n v="84"/>
    <x v="3"/>
    <s v="Friday"/>
    <x v="1"/>
    <x v="1"/>
    <s v="Regular"/>
  </r>
  <r>
    <n v="5342"/>
    <s v="Corner Grocery"/>
    <d v="2024-04-25T00:00:00"/>
    <s v="Personal Care"/>
    <s v="Cheese"/>
    <n v="3"/>
    <n v="26.36"/>
    <n v="79.08"/>
    <s v="High"/>
    <n v="15.82"/>
    <n v="63.26"/>
    <x v="9"/>
    <n v="2024"/>
    <n v="357"/>
    <x v="0"/>
    <s v="Thursday"/>
    <x v="1"/>
    <x v="1"/>
    <s v="Regular"/>
  </r>
  <r>
    <n v="3347"/>
    <s v="GreenGrocer Plaza"/>
    <d v="2024-12-31T00:00:00"/>
    <s v="Household Items"/>
    <s v="Cheese"/>
    <n v="4"/>
    <n v="10.210000000000001"/>
    <n v="40.840000000000003"/>
    <s v="Medium"/>
    <n v="8.17"/>
    <n v="32.67"/>
    <x v="11"/>
    <n v="2024"/>
    <n v="163"/>
    <x v="2"/>
    <s v="Tuesday"/>
    <x v="1"/>
    <x v="1"/>
    <s v="Regular"/>
  </r>
  <r>
    <n v="5067"/>
    <s v="MegaMart Westside"/>
    <d v="2024-12-29T00:00:00"/>
    <s v="Household Items"/>
    <s v="Cereal"/>
    <n v="4"/>
    <n v="20.67"/>
    <n v="82.68"/>
    <s v="High"/>
    <n v="16.54"/>
    <n v="66.140000000000015"/>
    <x v="11"/>
    <n v="2024"/>
    <n v="153"/>
    <x v="2"/>
    <s v="Sunday"/>
    <x v="1"/>
    <x v="0"/>
    <s v="Regular"/>
  </r>
  <r>
    <n v="1711"/>
    <s v="City Fresh Store"/>
    <d v="2025-02-23T00:00:00"/>
    <s v="Bakery"/>
    <s v="Onions"/>
    <n v="2"/>
    <n v="21.97"/>
    <n v="43.94"/>
    <s v="Medium"/>
    <n v="8.7899999999999991"/>
    <n v="35.15"/>
    <x v="4"/>
    <n v="2025"/>
    <n v="451"/>
    <x v="0"/>
    <s v="Sunday"/>
    <x v="0"/>
    <x v="0"/>
    <s v="Regular"/>
  </r>
  <r>
    <n v="7806"/>
    <s v="MegaMart Westside"/>
    <d v="2024-07-01T00:00:00"/>
    <s v="Canned Goods"/>
    <s v="Tomatoes"/>
    <n v="2"/>
    <n v="21.97"/>
    <n v="43.94"/>
    <s v="Medium"/>
    <n v="8.7899999999999991"/>
    <n v="35.15"/>
    <x v="2"/>
    <n v="2024"/>
    <n v="105"/>
    <x v="2"/>
    <s v="Monday"/>
    <x v="0"/>
    <x v="1"/>
    <s v="Regular"/>
  </r>
  <r>
    <n v="2858"/>
    <s v="GreenGrocer Plaza"/>
    <d v="2023-08-27T00:00:00"/>
    <s v="Snacks &amp; Candy"/>
    <s v="Chicken Breast"/>
    <n v="2"/>
    <n v="22.02"/>
    <n v="44.04"/>
    <s v="Medium"/>
    <n v="8.81"/>
    <n v="35.229999999999997"/>
    <x v="5"/>
    <n v="2023"/>
    <n v="143"/>
    <x v="2"/>
    <s v="Sunday"/>
    <x v="0"/>
    <x v="0"/>
    <s v="Regular"/>
  </r>
  <r>
    <n v="4945"/>
    <s v="FamilyFood Express"/>
    <d v="2024-08-27T00:00:00"/>
    <s v="Beverages"/>
    <s v="Yogurt"/>
    <n v="2"/>
    <n v="22.32"/>
    <n v="44.64"/>
    <s v="Medium"/>
    <n v="8.93"/>
    <n v="35.71"/>
    <x v="5"/>
    <n v="2024"/>
    <n v="446"/>
    <x v="0"/>
    <s v="Tuesday"/>
    <x v="0"/>
    <x v="1"/>
    <s v="Regular"/>
  </r>
  <r>
    <n v="8242"/>
    <s v="City Fresh Store"/>
    <d v="2025-03-19T00:00:00"/>
    <s v="Dairy"/>
    <s v="Onions"/>
    <n v="2"/>
    <n v="22.52"/>
    <n v="45.04"/>
    <s v="Medium"/>
    <n v="9.01"/>
    <n v="36.03"/>
    <x v="6"/>
    <n v="2025"/>
    <n v="287"/>
    <x v="0"/>
    <s v="Wednesday"/>
    <x v="0"/>
    <x v="1"/>
    <s v="Regular"/>
  </r>
  <r>
    <n v="4267"/>
    <s v="Unknown Store"/>
    <d v="2025-03-16T00:00:00"/>
    <s v="Beverages"/>
    <s v="Rice"/>
    <n v="3"/>
    <n v="15.08"/>
    <n v="45.24"/>
    <s v="Medium"/>
    <n v="9.0500000000000007"/>
    <n v="36.19"/>
    <x v="6"/>
    <n v="2025"/>
    <n v="389"/>
    <x v="0"/>
    <s v="Sunday"/>
    <x v="1"/>
    <x v="0"/>
    <s v="Regular"/>
  </r>
  <r>
    <n v="8657"/>
    <s v="ValuePlus Market"/>
    <d v="2025-07-21T00:00:00"/>
    <s v="Snacks &amp; Candy"/>
    <s v="Salmon"/>
    <n v="2"/>
    <n v="24.12"/>
    <n v="48.24"/>
    <s v="Medium"/>
    <n v="9.65"/>
    <n v="38.590000000000003"/>
    <x v="2"/>
    <n v="2025"/>
    <n v="322"/>
    <x v="0"/>
    <s v="Monday"/>
    <x v="0"/>
    <x v="1"/>
    <s v="Regular"/>
  </r>
  <r>
    <n v="2323"/>
    <s v="QuickStop Market"/>
    <d v="2024-04-13T00:00:00"/>
    <s v="Snacks &amp; Candy"/>
    <s v="Cereal"/>
    <n v="3"/>
    <n v="16.23"/>
    <n v="48.69"/>
    <s v="Medium"/>
    <n v="9.74"/>
    <n v="38.949999999999996"/>
    <x v="9"/>
    <n v="2024"/>
    <n v="319"/>
    <x v="0"/>
    <s v="Saturday"/>
    <x v="1"/>
    <x v="0"/>
    <s v="Regular"/>
  </r>
  <r>
    <n v="3068"/>
    <s v="City Fresh Store"/>
    <d v="2024-12-14T00:00:00"/>
    <s v="Beverages"/>
    <s v="Pasta"/>
    <n v="2"/>
    <n v="25.27"/>
    <n v="50.54"/>
    <s v="High"/>
    <n v="10.11"/>
    <n v="40.43"/>
    <x v="11"/>
    <n v="2024"/>
    <n v="288"/>
    <x v="0"/>
    <s v="Saturday"/>
    <x v="0"/>
    <x v="0"/>
    <s v="Regular"/>
  </r>
  <r>
    <n v="8787"/>
    <s v="City Fresh Store"/>
    <d v="2024-10-07T00:00:00"/>
    <s v="Frozen Foods"/>
    <s v="Cheese"/>
    <n v="3"/>
    <n v="17.48"/>
    <n v="52.44"/>
    <s v="High"/>
    <n v="10.49"/>
    <n v="41.949999999999996"/>
    <x v="7"/>
    <n v="2024"/>
    <n v="30"/>
    <x v="1"/>
    <s v="Monday"/>
    <x v="1"/>
    <x v="1"/>
    <s v="Regular"/>
  </r>
  <r>
    <n v="9225"/>
    <s v="City Fresh Store"/>
    <d v="2025-01-10T00:00:00"/>
    <s v="Frozen Foods"/>
    <s v="Onions"/>
    <n v="3"/>
    <n v="17.73"/>
    <n v="53.19"/>
    <s v="High"/>
    <n v="10.64"/>
    <n v="42.55"/>
    <x v="8"/>
    <n v="2025"/>
    <n v="169"/>
    <x v="2"/>
    <s v="Friday"/>
    <x v="1"/>
    <x v="1"/>
    <s v="Regular"/>
  </r>
  <r>
    <n v="9313"/>
    <s v="FreshMart Downtown"/>
    <d v="2024-01-19T00:00:00"/>
    <s v="Dairy"/>
    <s v="Yogurt"/>
    <n v="2"/>
    <n v="26.72"/>
    <n v="53.44"/>
    <s v="High"/>
    <n v="10.69"/>
    <n v="42.75"/>
    <x v="8"/>
    <n v="2024"/>
    <n v="462"/>
    <x v="0"/>
    <s v="Friday"/>
    <x v="0"/>
    <x v="1"/>
    <s v="Regular"/>
  </r>
  <r>
    <n v="6409"/>
    <s v="GreenGrocer Plaza"/>
    <d v="2024-12-03T00:00:00"/>
    <s v="Household Items"/>
    <s v="Onions"/>
    <n v="4"/>
    <n v="26.97"/>
    <n v="107.88"/>
    <s v="Very High"/>
    <n v="21.58"/>
    <n v="86.3"/>
    <x v="11"/>
    <n v="2024"/>
    <n v="202"/>
    <x v="0"/>
    <s v="Tuesday"/>
    <x v="1"/>
    <x v="1"/>
    <s v="Regular"/>
  </r>
  <r>
    <n v="5374"/>
    <s v="SuperSave Central"/>
    <d v="2024-04-19T00:00:00"/>
    <s v="Snacks &amp; Candy"/>
    <s v="Carrots"/>
    <n v="3"/>
    <n v="18.38"/>
    <n v="55.14"/>
    <s v="High"/>
    <n v="11.03"/>
    <n v="44.11"/>
    <x v="9"/>
    <n v="2024"/>
    <n v="347"/>
    <x v="0"/>
    <s v="Friday"/>
    <x v="1"/>
    <x v="1"/>
    <s v="Regular"/>
  </r>
  <r>
    <n v="6302"/>
    <s v="MegaMart Westside"/>
    <d v="2025-02-03T00:00:00"/>
    <s v="Frozen Foods"/>
    <s v="Bread"/>
    <n v="4"/>
    <n v="28.42"/>
    <n v="113.68"/>
    <s v="Very High"/>
    <n v="22.74"/>
    <n v="90.940000000000012"/>
    <x v="4"/>
    <n v="2025"/>
    <n v="333"/>
    <x v="0"/>
    <s v="Monday"/>
    <x v="1"/>
    <x v="1"/>
    <s v="Regular"/>
  </r>
  <r>
    <n v="5308"/>
    <s v="FreshMart Downtown"/>
    <d v="2025-02-10T00:00:00"/>
    <s v="Dairy"/>
    <s v="Tomatoes"/>
    <n v="3"/>
    <n v="19.13"/>
    <n v="57.39"/>
    <s v="High"/>
    <n v="11.48"/>
    <n v="45.91"/>
    <x v="4"/>
    <n v="2025"/>
    <n v="98"/>
    <x v="3"/>
    <s v="Monday"/>
    <x v="1"/>
    <x v="1"/>
    <s v="Regular"/>
  </r>
  <r>
    <n v="1104"/>
    <s v="GreenGrocer Plaza"/>
    <d v="2024-06-22T00:00:00"/>
    <s v="Beverages"/>
    <s v="Tomatoes"/>
    <n v="2"/>
    <n v="29.67"/>
    <n v="59.34"/>
    <s v="High"/>
    <n v="11.87"/>
    <n v="47.470000000000006"/>
    <x v="10"/>
    <n v="2024"/>
    <n v="293"/>
    <x v="0"/>
    <s v="Saturday"/>
    <x v="0"/>
    <x v="0"/>
    <s v="Regular"/>
  </r>
  <r>
    <n v="1969"/>
    <s v="ValuePlus Market"/>
    <d v="2025-07-12T00:00:00"/>
    <s v="Household Items"/>
    <s v="Apples"/>
    <n v="2"/>
    <n v="29.77"/>
    <n v="59.54"/>
    <s v="High"/>
    <n v="11.91"/>
    <n v="47.629999999999995"/>
    <x v="2"/>
    <n v="2025"/>
    <n v="302"/>
    <x v="0"/>
    <s v="Saturday"/>
    <x v="0"/>
    <x v="0"/>
    <s v="Regular"/>
  </r>
  <r>
    <n v="7941"/>
    <s v="GreenGrocer Plaza"/>
    <d v="2024-04-30T00:00:00"/>
    <s v="Frozen Foods"/>
    <s v="Salmon"/>
    <n v="4"/>
    <n v="16.21"/>
    <n v="64.84"/>
    <s v="High"/>
    <n v="12.97"/>
    <n v="51.870000000000005"/>
    <x v="9"/>
    <n v="2024"/>
    <n v="342"/>
    <x v="0"/>
    <s v="Tuesday"/>
    <x v="1"/>
    <x v="1"/>
    <s v="Regular"/>
  </r>
  <r>
    <n v="1018"/>
    <s v="ValuePlus Market"/>
    <d v="2024-12-29T00:00:00"/>
    <s v="Frozen Foods"/>
    <s v="Onions"/>
    <n v="3"/>
    <n v="21.63"/>
    <n v="64.89"/>
    <s v="High"/>
    <n v="12.98"/>
    <n v="51.91"/>
    <x v="11"/>
    <n v="2024"/>
    <n v="478"/>
    <x v="0"/>
    <s v="Sunday"/>
    <x v="1"/>
    <x v="0"/>
    <s v="Regular"/>
  </r>
  <r>
    <n v="3854"/>
    <s v="QuickStop Market"/>
    <d v="2024-02-29T00:00:00"/>
    <s v="Beverages"/>
    <s v="Tomatoes"/>
    <n v="3"/>
    <n v="23.43"/>
    <n v="70.290000000000006"/>
    <s v="High"/>
    <n v="14.06"/>
    <n v="56.230000000000004"/>
    <x v="4"/>
    <n v="2024"/>
    <n v="146"/>
    <x v="2"/>
    <s v="Thursday"/>
    <x v="1"/>
    <x v="1"/>
    <s v="Regular"/>
  </r>
  <r>
    <n v="7807"/>
    <s v="GreenGrocer Plaza"/>
    <d v="2023-12-21T00:00:00"/>
    <s v="Meat &amp; Seafood"/>
    <s v="Milk"/>
    <n v="3"/>
    <n v="23.48"/>
    <n v="70.44"/>
    <s v="High"/>
    <n v="14.09"/>
    <n v="56.349999999999994"/>
    <x v="11"/>
    <n v="2023"/>
    <n v="36"/>
    <x v="1"/>
    <s v="Thursday"/>
    <x v="1"/>
    <x v="1"/>
    <s v="Regular"/>
  </r>
  <r>
    <n v="9967"/>
    <s v="City Fresh Store"/>
    <d v="2024-10-28T00:00:00"/>
    <s v="Bakery"/>
    <s v="Salmon"/>
    <n v="3"/>
    <n v="24.83"/>
    <n v="74.489999999999995"/>
    <s v="High"/>
    <n v="14.9"/>
    <n v="59.589999999999996"/>
    <x v="7"/>
    <n v="2024"/>
    <n v="277"/>
    <x v="0"/>
    <s v="Monday"/>
    <x v="1"/>
    <x v="1"/>
    <s v="Regular"/>
  </r>
  <r>
    <n v="7568"/>
    <s v="FamilyFood Express"/>
    <d v="2023-09-29T00:00:00"/>
    <s v="Frozen Foods"/>
    <s v="Eggs"/>
    <n v="3"/>
    <n v="25.58"/>
    <n v="76.739999999999995"/>
    <s v="High"/>
    <n v="15.35"/>
    <n v="61.389999999999993"/>
    <x v="1"/>
    <n v="2023"/>
    <n v="30"/>
    <x v="1"/>
    <s v="Friday"/>
    <x v="1"/>
    <x v="1"/>
    <s v="Regular"/>
  </r>
  <r>
    <n v="3616"/>
    <s v="MegaMart Westside"/>
    <d v="2025-04-29T00:00:00"/>
    <s v="Meat &amp; Seafood"/>
    <s v="Bananas"/>
    <n v="4"/>
    <n v="19.96"/>
    <n v="79.84"/>
    <s v="High"/>
    <n v="15.97"/>
    <n v="63.870000000000005"/>
    <x v="9"/>
    <n v="2025"/>
    <n v="6"/>
    <x v="1"/>
    <s v="Tuesday"/>
    <x v="1"/>
    <x v="1"/>
    <s v="Regular"/>
  </r>
  <r>
    <n v="9133"/>
    <s v="MegaMart Westside"/>
    <d v="2024-05-02T00:00:00"/>
    <s v="Produce"/>
    <s v="Pasta"/>
    <n v="4"/>
    <n v="20.11"/>
    <n v="80.44"/>
    <s v="High"/>
    <n v="16.09"/>
    <n v="64.349999999999994"/>
    <x v="3"/>
    <n v="2024"/>
    <n v="170"/>
    <x v="2"/>
    <s v="Thursday"/>
    <x v="1"/>
    <x v="1"/>
    <s v="Regular"/>
  </r>
  <r>
    <n v="1436"/>
    <s v="SuperSave Central"/>
    <d v="2024-11-12T00:00:00"/>
    <s v="Frozen Foods"/>
    <s v="Ground Beef"/>
    <n v="4"/>
    <n v="20.71"/>
    <n v="82.84"/>
    <s v="High"/>
    <n v="16.57"/>
    <n v="66.27000000000001"/>
    <x v="0"/>
    <n v="2024"/>
    <n v="75"/>
    <x v="3"/>
    <s v="Tuesday"/>
    <x v="1"/>
    <x v="1"/>
    <s v="Regular"/>
  </r>
  <r>
    <n v="2752"/>
    <s v="City Fresh Store"/>
    <d v="2023-11-20T00:00:00"/>
    <s v="Beverages"/>
    <s v="Yogurt"/>
    <n v="3"/>
    <n v="27.88"/>
    <n v="83.64"/>
    <s v="High"/>
    <n v="16.73"/>
    <n v="66.91"/>
    <x v="0"/>
    <n v="2023"/>
    <n v="368"/>
    <x v="0"/>
    <s v="Monday"/>
    <x v="1"/>
    <x v="1"/>
    <s v="Regular"/>
  </r>
  <r>
    <n v="1410"/>
    <s v="Corner Grocery"/>
    <d v="2024-11-30T00:00:00"/>
    <s v="Dairy"/>
    <s v="Orange Juice"/>
    <n v="4"/>
    <n v="21.36"/>
    <n v="85.44"/>
    <s v="High"/>
    <n v="17.09"/>
    <n v="68.349999999999994"/>
    <x v="0"/>
    <n v="2024"/>
    <n v="218"/>
    <x v="0"/>
    <s v="Saturday"/>
    <x v="1"/>
    <x v="0"/>
    <s v="Regular"/>
  </r>
  <r>
    <n v="7932"/>
    <s v="SuperSave Central"/>
    <d v="2025-04-10T00:00:00"/>
    <s v="Frozen Foods"/>
    <s v="Milk"/>
    <n v="4"/>
    <n v="21.46"/>
    <n v="85.84"/>
    <s v="High"/>
    <n v="17.170000000000002"/>
    <n v="68.67"/>
    <x v="9"/>
    <n v="2025"/>
    <n v="91"/>
    <x v="3"/>
    <s v="Thursday"/>
    <x v="1"/>
    <x v="1"/>
    <s v="Regular"/>
  </r>
  <r>
    <n v="8015"/>
    <s v="FreshMart Downtown"/>
    <d v="2023-12-13T00:00:00"/>
    <s v="Meat &amp; Seafood"/>
    <s v="Onions"/>
    <n v="3"/>
    <n v="28.68"/>
    <n v="86.04"/>
    <s v="High"/>
    <n v="17.21"/>
    <n v="68.830000000000013"/>
    <x v="11"/>
    <n v="2023"/>
    <n v="167"/>
    <x v="2"/>
    <s v="Wednesday"/>
    <x v="1"/>
    <x v="1"/>
    <s v="Regular"/>
  </r>
  <r>
    <n v="2044"/>
    <s v="FreshMart Downtown"/>
    <d v="2024-09-30T00:00:00"/>
    <s v="Dairy"/>
    <s v="Cheese"/>
    <n v="3"/>
    <n v="28.93"/>
    <n v="86.79"/>
    <s v="High"/>
    <n v="17.36"/>
    <n v="69.430000000000007"/>
    <x v="1"/>
    <n v="2024"/>
    <n v="152"/>
    <x v="2"/>
    <s v="Monday"/>
    <x v="1"/>
    <x v="1"/>
    <s v="Regular"/>
  </r>
  <r>
    <n v="5186"/>
    <s v="MegaMart Westside"/>
    <d v="2024-03-18T00:00:00"/>
    <s v="Beverages"/>
    <s v="Bread"/>
    <n v="4"/>
    <n v="22.31"/>
    <n v="89.24"/>
    <s v="High"/>
    <n v="17.850000000000001"/>
    <n v="71.389999999999986"/>
    <x v="6"/>
    <n v="2024"/>
    <n v="71"/>
    <x v="3"/>
    <s v="Monday"/>
    <x v="1"/>
    <x v="1"/>
    <s v="Regular"/>
  </r>
  <r>
    <n v="7171"/>
    <s v="FamilyFood Express"/>
    <d v="2024-12-18T00:00:00"/>
    <s v="Frozen Foods"/>
    <s v="Apples"/>
    <n v="5"/>
    <n v="1.1200000000000001"/>
    <n v="5.6"/>
    <s v="Low"/>
    <n v="1.1200000000000001"/>
    <n v="4.4799999999999995"/>
    <x v="11"/>
    <n v="2024"/>
    <n v="371"/>
    <x v="0"/>
    <s v="Wednesday"/>
    <x v="1"/>
    <x v="1"/>
    <s v="Regular"/>
  </r>
  <r>
    <n v="8264"/>
    <s v="City Fresh Store"/>
    <d v="2024-07-17T00:00:00"/>
    <s v="Beverages"/>
    <s v="Bananas"/>
    <n v="3"/>
    <n v="7.05"/>
    <n v="21.15"/>
    <s v="Low"/>
    <n v="4.2300000000000004"/>
    <n v="16.919999999999998"/>
    <x v="2"/>
    <n v="2024"/>
    <n v="275"/>
    <x v="0"/>
    <s v="Wednesday"/>
    <x v="1"/>
    <x v="1"/>
    <s v="Regular"/>
  </r>
  <r>
    <n v="1653"/>
    <s v="FreshMart Downtown"/>
    <d v="2025-06-27T00:00:00"/>
    <s v="Personal Care"/>
    <s v="Potatoes"/>
    <n v="2"/>
    <n v="20.95"/>
    <n v="41.9"/>
    <s v="Medium"/>
    <n v="8.3800000000000008"/>
    <n v="33.519999999999996"/>
    <x v="10"/>
    <n v="2025"/>
    <n v="246"/>
    <x v="0"/>
    <s v="Friday"/>
    <x v="0"/>
    <x v="1"/>
    <s v="Regular"/>
  </r>
  <r>
    <n v="9095"/>
    <s v="ValuePlus Market"/>
    <d v="2024-08-01T00:00:00"/>
    <s v="Health &amp; Wellness"/>
    <s v="Onions"/>
    <n v="3"/>
    <n v="14.1"/>
    <n v="42.3"/>
    <s v="Medium"/>
    <n v="8.4600000000000009"/>
    <n v="33.839999999999996"/>
    <x v="5"/>
    <n v="2024"/>
    <n v="188"/>
    <x v="2"/>
    <s v="Thursday"/>
    <x v="1"/>
    <x v="1"/>
    <s v="Regular"/>
  </r>
  <r>
    <n v="1090"/>
    <s v="FreshMart Downtown"/>
    <d v="2025-06-30T00:00:00"/>
    <s v="Personal Care"/>
    <s v="Cheese"/>
    <n v="4"/>
    <n v="17.149999999999999"/>
    <n v="68.599999999999994"/>
    <s v="High"/>
    <n v="13.72"/>
    <n v="54.879999999999995"/>
    <x v="10"/>
    <n v="2025"/>
    <n v="68"/>
    <x v="3"/>
    <s v="Monday"/>
    <x v="1"/>
    <x v="1"/>
    <s v="Regular"/>
  </r>
  <r>
    <n v="9899"/>
    <s v="SuperSave Central"/>
    <d v="2024-05-27T00:00:00"/>
    <s v="Frozen Foods"/>
    <s v="Bananas"/>
    <n v="5"/>
    <n v="21.67"/>
    <n v="108.35"/>
    <s v="Very High"/>
    <n v="21.67"/>
    <n v="86.679999999999993"/>
    <x v="3"/>
    <n v="2024"/>
    <n v="336"/>
    <x v="0"/>
    <s v="Monday"/>
    <x v="1"/>
    <x v="1"/>
    <s v="Regular"/>
  </r>
  <r>
    <n v="9582"/>
    <s v="GreenGrocer Plaza"/>
    <d v="2023-09-25T00:00:00"/>
    <s v="Meat &amp; Seafood"/>
    <s v="Bread"/>
    <n v="1"/>
    <n v="1.1000000000000001"/>
    <n v="1.1000000000000001"/>
    <s v="Low"/>
    <n v="0.22"/>
    <n v="0.88000000000000012"/>
    <x v="1"/>
    <n v="2023"/>
    <n v="405"/>
    <x v="0"/>
    <s v="Monday"/>
    <x v="0"/>
    <x v="1"/>
    <s v="Regular"/>
  </r>
  <r>
    <n v="6003"/>
    <s v="QuickStop Market"/>
    <d v="2023-11-05T00:00:00"/>
    <s v="Snacks &amp; Candy"/>
    <s v="Pasta"/>
    <n v="2"/>
    <n v="1.8"/>
    <n v="3.6"/>
    <s v="Low"/>
    <n v="0.72"/>
    <n v="2.88"/>
    <x v="0"/>
    <n v="2023"/>
    <n v="108"/>
    <x v="2"/>
    <s v="Sunday"/>
    <x v="0"/>
    <x v="0"/>
    <s v="Regular"/>
  </r>
  <r>
    <n v="3141"/>
    <s v="QuickStop Market"/>
    <d v="2024-02-06T00:00:00"/>
    <s v="Beverages"/>
    <s v="Yogurt"/>
    <n v="3"/>
    <n v="1.7"/>
    <n v="5.0999999999999996"/>
    <s v="Low"/>
    <n v="1.02"/>
    <n v="4.08"/>
    <x v="4"/>
    <n v="2024"/>
    <n v="139"/>
    <x v="2"/>
    <s v="Tuesday"/>
    <x v="1"/>
    <x v="1"/>
    <s v="Regular"/>
  </r>
  <r>
    <n v="3321"/>
    <s v="Corner Grocery"/>
    <d v="2024-05-03T00:00:00"/>
    <s v="Personal Care"/>
    <s v="Tomatoes"/>
    <n v="1"/>
    <n v="5.35"/>
    <n v="5.35"/>
    <s v="Low"/>
    <n v="1.07"/>
    <n v="4.2799999999999994"/>
    <x v="3"/>
    <n v="2024"/>
    <n v="172"/>
    <x v="2"/>
    <s v="Friday"/>
    <x v="0"/>
    <x v="1"/>
    <s v="Regular"/>
  </r>
  <r>
    <n v="7396"/>
    <s v="FamilyFood Express"/>
    <d v="2024-02-28T00:00:00"/>
    <s v="Canned Goods"/>
    <s v="Eggs"/>
    <n v="5"/>
    <n v="1.07"/>
    <n v="5.35"/>
    <s v="Low"/>
    <n v="1.07"/>
    <n v="4.2799999999999994"/>
    <x v="4"/>
    <n v="2024"/>
    <n v="439"/>
    <x v="0"/>
    <s v="Wednesday"/>
    <x v="1"/>
    <x v="1"/>
    <s v="Regular"/>
  </r>
  <r>
    <n v="5026"/>
    <s v="GreenGrocer Plaza"/>
    <d v="2024-08-28T00:00:00"/>
    <s v="Snacks &amp; Candy"/>
    <s v="Eggs"/>
    <n v="1"/>
    <n v="6.35"/>
    <n v="6.35"/>
    <s v="Low"/>
    <n v="1.27"/>
    <n v="5.08"/>
    <x v="5"/>
    <n v="2024"/>
    <n v="419"/>
    <x v="0"/>
    <s v="Wednesday"/>
    <x v="0"/>
    <x v="1"/>
    <s v="Regular"/>
  </r>
  <r>
    <n v="7338"/>
    <s v="QuickStop Market"/>
    <d v="2024-05-22T00:00:00"/>
    <s v="Household Items"/>
    <s v="Bread"/>
    <n v="5"/>
    <n v="1.46"/>
    <n v="7.3"/>
    <s v="Low"/>
    <n v="1.46"/>
    <n v="5.84"/>
    <x v="3"/>
    <n v="2024"/>
    <n v="379"/>
    <x v="0"/>
    <s v="Wednesday"/>
    <x v="1"/>
    <x v="1"/>
    <s v="Regular"/>
  </r>
  <r>
    <n v="1464"/>
    <s v="ValuePlus Market"/>
    <d v="2023-10-09T00:00:00"/>
    <s v="Frozen Foods"/>
    <s v="Cereal"/>
    <n v="5"/>
    <n v="1.66"/>
    <n v="8.3000000000000007"/>
    <s v="Low"/>
    <n v="1.66"/>
    <n v="6.6400000000000006"/>
    <x v="7"/>
    <n v="2023"/>
    <n v="402"/>
    <x v="0"/>
    <s v="Monday"/>
    <x v="1"/>
    <x v="1"/>
    <s v="Regular"/>
  </r>
  <r>
    <n v="6942"/>
    <s v="FreshMart Downtown"/>
    <d v="2023-10-23T00:00:00"/>
    <s v="Snacks &amp; Candy"/>
    <s v="Carrots"/>
    <n v="1"/>
    <n v="8.4"/>
    <n v="8.4"/>
    <s v="Low"/>
    <n v="1.68"/>
    <n v="6.7200000000000006"/>
    <x v="7"/>
    <n v="2023"/>
    <n v="30"/>
    <x v="1"/>
    <s v="Monday"/>
    <x v="0"/>
    <x v="1"/>
    <s v="Regular"/>
  </r>
  <r>
    <n v="4791"/>
    <s v="ValuePlus Market"/>
    <d v="2023-09-28T00:00:00"/>
    <s v="Bakery"/>
    <s v="Bread"/>
    <n v="5"/>
    <n v="1.69"/>
    <n v="8.4499999999999993"/>
    <s v="Low"/>
    <n v="1.69"/>
    <n v="6.76"/>
    <x v="1"/>
    <n v="2023"/>
    <n v="491"/>
    <x v="0"/>
    <s v="Thursday"/>
    <x v="1"/>
    <x v="1"/>
    <s v="Regular"/>
  </r>
  <r>
    <n v="9499"/>
    <s v="GreenGrocer Plaza"/>
    <d v="2024-10-13T00:00:00"/>
    <s v="Canned Goods"/>
    <s v="Potatoes"/>
    <n v="5"/>
    <n v="1.77"/>
    <n v="8.85"/>
    <s v="Low"/>
    <n v="1.77"/>
    <n v="7.08"/>
    <x v="7"/>
    <n v="2024"/>
    <n v="453"/>
    <x v="0"/>
    <s v="Sunday"/>
    <x v="1"/>
    <x v="0"/>
    <s v="Regular"/>
  </r>
  <r>
    <n v="9501"/>
    <s v="ValuePlus Market"/>
    <d v="2025-07-02T00:00:00"/>
    <s v="Dairy"/>
    <s v="Eggs"/>
    <n v="1"/>
    <n v="9.5500000000000007"/>
    <n v="9.5500000000000007"/>
    <s v="Low"/>
    <n v="1.91"/>
    <n v="7.6400000000000006"/>
    <x v="2"/>
    <n v="2025"/>
    <n v="265"/>
    <x v="0"/>
    <s v="Wednesday"/>
    <x v="0"/>
    <x v="1"/>
    <s v="Regular"/>
  </r>
  <r>
    <n v="6147"/>
    <s v="SuperSave Central"/>
    <d v="2023-12-22T00:00:00"/>
    <s v="Beverages"/>
    <s v="Bananas"/>
    <n v="3"/>
    <n v="3.25"/>
    <n v="9.75"/>
    <s v="Low"/>
    <n v="1.95"/>
    <n v="7.8"/>
    <x v="11"/>
    <n v="2023"/>
    <n v="496"/>
    <x v="0"/>
    <s v="Friday"/>
    <x v="1"/>
    <x v="1"/>
    <s v="Regular"/>
  </r>
  <r>
    <n v="5331"/>
    <s v="FreshMart Downtown"/>
    <d v="2024-11-22T00:00:00"/>
    <s v="Bakery"/>
    <s v="Milk"/>
    <n v="2"/>
    <n v="5.0999999999999996"/>
    <n v="10.199999999999999"/>
    <s v="Low"/>
    <n v="2.04"/>
    <n v="8.16"/>
    <x v="0"/>
    <n v="2024"/>
    <n v="438"/>
    <x v="0"/>
    <s v="Friday"/>
    <x v="0"/>
    <x v="1"/>
    <s v="Regular"/>
  </r>
  <r>
    <n v="5945"/>
    <s v="FamilyFood Express"/>
    <d v="2023-12-08T00:00:00"/>
    <s v="Frozen Foods"/>
    <s v="Salmon"/>
    <n v="1"/>
    <n v="10.4"/>
    <n v="10.4"/>
    <s v="Low"/>
    <n v="2.08"/>
    <n v="8.32"/>
    <x v="11"/>
    <n v="2023"/>
    <n v="357"/>
    <x v="0"/>
    <s v="Friday"/>
    <x v="0"/>
    <x v="1"/>
    <s v="Regular"/>
  </r>
  <r>
    <n v="9653"/>
    <s v="City Fresh Store"/>
    <d v="2025-07-20T00:00:00"/>
    <s v="Meat &amp; Seafood"/>
    <s v="Ground Beef"/>
    <n v="2"/>
    <n v="5.25"/>
    <n v="10.5"/>
    <s v="Low"/>
    <n v="2.1"/>
    <n v="8.4"/>
    <x v="2"/>
    <n v="2025"/>
    <n v="316"/>
    <x v="0"/>
    <s v="Sunday"/>
    <x v="0"/>
    <x v="0"/>
    <s v="Regular"/>
  </r>
  <r>
    <n v="6992"/>
    <s v="ValuePlus Market"/>
    <d v="2025-03-22T00:00:00"/>
    <s v="Household Items"/>
    <s v="Potatoes"/>
    <n v="1"/>
    <n v="10.65"/>
    <n v="10.65"/>
    <s v="Low"/>
    <n v="2.13"/>
    <n v="8.52"/>
    <x v="6"/>
    <n v="2025"/>
    <n v="366"/>
    <x v="0"/>
    <s v="Saturday"/>
    <x v="0"/>
    <x v="0"/>
    <s v="Regular"/>
  </r>
  <r>
    <n v="6489"/>
    <s v="MegaMart Westside"/>
    <d v="2024-03-15T00:00:00"/>
    <s v="Beverages"/>
    <s v="Chicken Breast"/>
    <n v="4"/>
    <n v="2.95"/>
    <n v="11.8"/>
    <s v="Low"/>
    <n v="2.36"/>
    <n v="9.4400000000000013"/>
    <x v="6"/>
    <n v="2024"/>
    <n v="214"/>
    <x v="0"/>
    <s v="Friday"/>
    <x v="1"/>
    <x v="1"/>
    <s v="Regular"/>
  </r>
  <r>
    <n v="9452"/>
    <s v="GreenGrocer Plaza"/>
    <d v="2025-05-29T00:00:00"/>
    <s v="Snacks &amp; Candy"/>
    <s v="Orange Juice"/>
    <n v="1"/>
    <n v="12.5"/>
    <n v="12.5"/>
    <s v="Low"/>
    <n v="2.5"/>
    <n v="10"/>
    <x v="3"/>
    <n v="2025"/>
    <n v="429"/>
    <x v="0"/>
    <s v="Thursday"/>
    <x v="0"/>
    <x v="1"/>
    <s v="Regular"/>
  </r>
  <r>
    <n v="9090"/>
    <s v="GreenGrocer Plaza"/>
    <d v="2024-07-12T00:00:00"/>
    <s v="Personal Care"/>
    <s v="Chicken Breast"/>
    <n v="3"/>
    <n v="4.3"/>
    <n v="12.9"/>
    <s v="Low"/>
    <n v="2.58"/>
    <n v="10.32"/>
    <x v="2"/>
    <n v="2024"/>
    <n v="54"/>
    <x v="3"/>
    <s v="Friday"/>
    <x v="1"/>
    <x v="1"/>
    <s v="Regular"/>
  </r>
  <r>
    <n v="2545"/>
    <s v="City Fresh Store"/>
    <d v="2023-10-21T00:00:00"/>
    <s v="Personal Care"/>
    <s v="Milk"/>
    <n v="5"/>
    <n v="2.97"/>
    <n v="14.85"/>
    <s v="Low"/>
    <n v="2.97"/>
    <n v="11.879999999999999"/>
    <x v="7"/>
    <n v="2023"/>
    <n v="323"/>
    <x v="0"/>
    <s v="Saturday"/>
    <x v="1"/>
    <x v="0"/>
    <s v="Regular"/>
  </r>
  <r>
    <n v="3607"/>
    <s v="QuickStop Market"/>
    <d v="2025-03-06T00:00:00"/>
    <s v="Personal Care"/>
    <s v="Rice"/>
    <n v="1"/>
    <n v="15.55"/>
    <n v="15.55"/>
    <s v="Low"/>
    <n v="3.11"/>
    <n v="12.440000000000001"/>
    <x v="6"/>
    <n v="2025"/>
    <n v="357"/>
    <x v="0"/>
    <s v="Thursday"/>
    <x v="0"/>
    <x v="1"/>
    <s v="Regular"/>
  </r>
  <r>
    <n v="3705"/>
    <s v="FamilyFood Express"/>
    <d v="2024-02-28T00:00:00"/>
    <s v="Frozen Foods"/>
    <s v="Bread"/>
    <n v="2"/>
    <n v="7.95"/>
    <n v="15.9"/>
    <s v="Low"/>
    <n v="3.18"/>
    <n v="12.72"/>
    <x v="4"/>
    <n v="2024"/>
    <n v="282"/>
    <x v="0"/>
    <s v="Wednesday"/>
    <x v="0"/>
    <x v="1"/>
    <s v="Regular"/>
  </r>
  <r>
    <n v="4073"/>
    <s v="ValuePlus Market"/>
    <d v="2024-09-12T00:00:00"/>
    <s v="Frozen Foods"/>
    <s v="Cheese"/>
    <n v="1"/>
    <n v="16.149999999999999"/>
    <n v="16.149999999999999"/>
    <s v="Low"/>
    <n v="3.23"/>
    <n v="12.919999999999998"/>
    <x v="1"/>
    <n v="2024"/>
    <n v="12"/>
    <x v="1"/>
    <s v="Thursday"/>
    <x v="0"/>
    <x v="1"/>
    <s v="Regular"/>
  </r>
  <r>
    <n v="1100"/>
    <s v="ValuePlus Market"/>
    <d v="2023-12-25T00:00:00"/>
    <s v="Frozen Foods"/>
    <s v="Salmon"/>
    <n v="5"/>
    <n v="3.26"/>
    <n v="16.3"/>
    <s v="Low"/>
    <n v="3.26"/>
    <n v="13.040000000000001"/>
    <x v="11"/>
    <n v="2023"/>
    <n v="455"/>
    <x v="0"/>
    <s v="Monday"/>
    <x v="1"/>
    <x v="1"/>
    <s v="Regular"/>
  </r>
  <r>
    <n v="7001"/>
    <s v="QuickStop Market"/>
    <d v="2024-05-14T00:00:00"/>
    <s v="Dairy"/>
    <s v="Chicken Breast"/>
    <n v="1"/>
    <n v="16.7"/>
    <n v="16.7"/>
    <s v="Low"/>
    <n v="3.34"/>
    <n v="13.36"/>
    <x v="3"/>
    <n v="2024"/>
    <n v="146"/>
    <x v="2"/>
    <s v="Tuesday"/>
    <x v="0"/>
    <x v="1"/>
    <s v="Regular"/>
  </r>
  <r>
    <n v="5193"/>
    <s v="MegaMart Westside"/>
    <d v="2024-01-07T00:00:00"/>
    <s v="Meat &amp; Seafood"/>
    <s v="Onions"/>
    <n v="1"/>
    <n v="17.25"/>
    <n v="17.25"/>
    <s v="Low"/>
    <n v="3.45"/>
    <n v="13.8"/>
    <x v="8"/>
    <n v="2024"/>
    <n v="396"/>
    <x v="0"/>
    <s v="Sunday"/>
    <x v="0"/>
    <x v="0"/>
    <s v="Regular"/>
  </r>
  <r>
    <n v="1613"/>
    <s v="SuperSave Central"/>
    <d v="2023-08-14T00:00:00"/>
    <s v="Health &amp; Wellness"/>
    <s v="Chicken Breast"/>
    <n v="1"/>
    <n v="18"/>
    <n v="18"/>
    <s v="Low"/>
    <n v="3.6"/>
    <n v="14.4"/>
    <x v="5"/>
    <n v="2023"/>
    <n v="467"/>
    <x v="0"/>
    <s v="Monday"/>
    <x v="0"/>
    <x v="1"/>
    <s v="Regular"/>
  </r>
  <r>
    <n v="3181"/>
    <s v="Corner Grocery"/>
    <d v="2024-12-17T00:00:00"/>
    <s v="Beverages"/>
    <s v="Eggs"/>
    <n v="3"/>
    <n v="6.3"/>
    <n v="18.899999999999999"/>
    <s v="Low"/>
    <n v="3.78"/>
    <n v="15.12"/>
    <x v="11"/>
    <n v="2024"/>
    <n v="159"/>
    <x v="2"/>
    <s v="Tuesday"/>
    <x v="1"/>
    <x v="1"/>
    <s v="Regular"/>
  </r>
  <r>
    <n v="3274"/>
    <s v="City Fresh Store"/>
    <d v="2024-03-02T00:00:00"/>
    <s v="Canned Goods"/>
    <s v="Potatoes"/>
    <n v="5"/>
    <n v="4.1500000000000004"/>
    <n v="20.75"/>
    <s v="Low"/>
    <n v="4.1500000000000004"/>
    <n v="16.600000000000001"/>
    <x v="6"/>
    <n v="2024"/>
    <n v="159"/>
    <x v="2"/>
    <s v="Saturday"/>
    <x v="1"/>
    <x v="0"/>
    <s v="Regular"/>
  </r>
  <r>
    <n v="4898"/>
    <s v="ValuePlus Market"/>
    <d v="2024-11-06T00:00:00"/>
    <s v="Personal Care"/>
    <s v="Milk"/>
    <n v="5"/>
    <n v="4.16"/>
    <n v="20.8"/>
    <s v="Low"/>
    <n v="4.16"/>
    <n v="16.64"/>
    <x v="0"/>
    <n v="2024"/>
    <n v="233"/>
    <x v="0"/>
    <s v="Wednesday"/>
    <x v="1"/>
    <x v="1"/>
    <s v="Regular"/>
  </r>
  <r>
    <n v="5201"/>
    <s v="FreshMart Downtown"/>
    <d v="2025-03-09T00:00:00"/>
    <s v="Household Items"/>
    <s v="Yogurt"/>
    <n v="1"/>
    <n v="21.7"/>
    <n v="21.7"/>
    <s v="Low"/>
    <n v="4.34"/>
    <n v="17.36"/>
    <x v="6"/>
    <n v="2025"/>
    <n v="359"/>
    <x v="0"/>
    <s v="Sunday"/>
    <x v="0"/>
    <x v="0"/>
    <s v="Regular"/>
  </r>
  <r>
    <n v="3848"/>
    <s v="FreshMart Downtown"/>
    <d v="2023-08-31T00:00:00"/>
    <s v="Frozen Foods"/>
    <s v="Apples"/>
    <n v="2"/>
    <n v="10.85"/>
    <n v="21.7"/>
    <s v="Low"/>
    <n v="4.34"/>
    <n v="17.36"/>
    <x v="5"/>
    <n v="2023"/>
    <n v="349"/>
    <x v="0"/>
    <s v="Thursday"/>
    <x v="0"/>
    <x v="1"/>
    <s v="Regular"/>
  </r>
  <r>
    <n v="8518"/>
    <s v="FreshMart Downtown"/>
    <d v="2024-12-22T00:00:00"/>
    <s v="Health &amp; Wellness"/>
    <s v="Bananas"/>
    <n v="3"/>
    <n v="7.35"/>
    <n v="22.05"/>
    <s v="Low"/>
    <n v="4.41"/>
    <n v="17.64"/>
    <x v="11"/>
    <n v="2024"/>
    <n v="494"/>
    <x v="0"/>
    <s v="Sunday"/>
    <x v="1"/>
    <x v="0"/>
    <s v="Regular"/>
  </r>
  <r>
    <n v="8034"/>
    <s v="MegaMart Westside"/>
    <d v="2024-03-05T00:00:00"/>
    <s v="Health &amp; Wellness"/>
    <s v="Chicken Breast"/>
    <n v="5"/>
    <n v="4.53"/>
    <n v="22.65"/>
    <s v="Low"/>
    <n v="4.53"/>
    <n v="18.119999999999997"/>
    <x v="6"/>
    <n v="2024"/>
    <n v="360"/>
    <x v="0"/>
    <s v="Tuesday"/>
    <x v="1"/>
    <x v="1"/>
    <s v="Regular"/>
  </r>
  <r>
    <n v="8305"/>
    <s v="Corner Grocery"/>
    <d v="2024-11-17T00:00:00"/>
    <s v="Meat &amp; Seafood"/>
    <s v="Eggs"/>
    <n v="5"/>
    <n v="4.68"/>
    <n v="23.4"/>
    <s v="Low"/>
    <n v="4.68"/>
    <n v="18.72"/>
    <x v="0"/>
    <n v="2024"/>
    <n v="364"/>
    <x v="0"/>
    <s v="Sunday"/>
    <x v="1"/>
    <x v="0"/>
    <s v="Regular"/>
  </r>
  <r>
    <n v="5033"/>
    <s v="FreshMart Downtown"/>
    <d v="2024-10-29T00:00:00"/>
    <s v="Dairy"/>
    <s v="Carrots"/>
    <n v="2"/>
    <n v="11.9"/>
    <n v="23.8"/>
    <s v="Low"/>
    <n v="4.76"/>
    <n v="19.04"/>
    <x v="7"/>
    <n v="2024"/>
    <n v="232"/>
    <x v="0"/>
    <s v="Tuesday"/>
    <x v="0"/>
    <x v="1"/>
    <s v="Regular"/>
  </r>
  <r>
    <n v="2753"/>
    <s v="ValuePlus Market"/>
    <d v="2025-03-05T00:00:00"/>
    <s v="Produce"/>
    <s v="Cereal"/>
    <n v="5"/>
    <n v="4.79"/>
    <n v="23.95"/>
    <s v="Low"/>
    <n v="4.79"/>
    <n v="19.16"/>
    <x v="6"/>
    <n v="2025"/>
    <n v="192"/>
    <x v="2"/>
    <s v="Wednesday"/>
    <x v="1"/>
    <x v="1"/>
    <s v="Regular"/>
  </r>
  <r>
    <n v="5833"/>
    <s v="SuperSave Central"/>
    <d v="2024-10-21T00:00:00"/>
    <s v="Beverages"/>
    <s v="Bread"/>
    <n v="4"/>
    <n v="6.25"/>
    <n v="25"/>
    <s v="Low"/>
    <n v="5"/>
    <n v="20"/>
    <x v="7"/>
    <n v="2024"/>
    <n v="94"/>
    <x v="3"/>
    <s v="Monday"/>
    <x v="1"/>
    <x v="1"/>
    <s v="Regular"/>
  </r>
  <r>
    <n v="2653"/>
    <s v="SuperSave Central"/>
    <d v="2024-11-10T00:00:00"/>
    <s v="Bakery"/>
    <s v="Orange Juice"/>
    <n v="1"/>
    <n v="27.05"/>
    <n v="27.05"/>
    <s v="Medium"/>
    <n v="5.41"/>
    <n v="21.64"/>
    <x v="0"/>
    <n v="2024"/>
    <n v="15"/>
    <x v="1"/>
    <s v="Sunday"/>
    <x v="0"/>
    <x v="0"/>
    <s v="Regular"/>
  </r>
  <r>
    <n v="6886"/>
    <s v="MegaMart Westside"/>
    <d v="2024-04-02T00:00:00"/>
    <s v="Frozen Foods"/>
    <s v="Carrots"/>
    <n v="5"/>
    <n v="5.49"/>
    <n v="27.45"/>
    <s v="Medium"/>
    <n v="5.49"/>
    <n v="21.96"/>
    <x v="9"/>
    <n v="2024"/>
    <n v="44"/>
    <x v="1"/>
    <s v="Tuesday"/>
    <x v="1"/>
    <x v="1"/>
    <s v="Regular"/>
  </r>
  <r>
    <n v="4290"/>
    <s v="FreshMart Downtown"/>
    <d v="2024-08-13T00:00:00"/>
    <s v="Bakery"/>
    <s v="Yogurt"/>
    <n v="1"/>
    <n v="27.95"/>
    <n v="27.95"/>
    <s v="Medium"/>
    <n v="5.59"/>
    <n v="22.36"/>
    <x v="5"/>
    <n v="2024"/>
    <n v="314"/>
    <x v="0"/>
    <s v="Tuesday"/>
    <x v="0"/>
    <x v="1"/>
    <s v="Regular"/>
  </r>
  <r>
    <n v="6286"/>
    <s v="FreshMart Downtown"/>
    <d v="2025-08-02T00:00:00"/>
    <s v="Bakery"/>
    <s v="Ground Beef"/>
    <n v="2"/>
    <n v="14.1"/>
    <n v="28.2"/>
    <s v="Medium"/>
    <n v="5.64"/>
    <n v="22.56"/>
    <x v="5"/>
    <n v="2025"/>
    <n v="120"/>
    <x v="2"/>
    <s v="Saturday"/>
    <x v="0"/>
    <x v="0"/>
    <s v="Regular"/>
  </r>
  <r>
    <n v="5573"/>
    <s v="QuickStop Market"/>
    <d v="2024-05-05T00:00:00"/>
    <s v="Beverages"/>
    <s v="Bananas"/>
    <n v="1"/>
    <n v="28.4"/>
    <n v="28.4"/>
    <s v="Medium"/>
    <n v="5.68"/>
    <n v="22.72"/>
    <x v="3"/>
    <n v="2024"/>
    <n v="258"/>
    <x v="0"/>
    <s v="Sunday"/>
    <x v="0"/>
    <x v="0"/>
    <s v="Regular"/>
  </r>
  <r>
    <n v="3837"/>
    <s v="ValuePlus Market"/>
    <d v="2024-07-29T00:00:00"/>
    <s v="Frozen Foods"/>
    <s v="Orange Juice"/>
    <n v="5"/>
    <n v="5.97"/>
    <n v="29.85"/>
    <s v="Medium"/>
    <n v="5.97"/>
    <n v="23.880000000000003"/>
    <x v="2"/>
    <n v="2024"/>
    <n v="500"/>
    <x v="0"/>
    <s v="Monday"/>
    <x v="1"/>
    <x v="1"/>
    <s v="Regular"/>
  </r>
  <r>
    <n v="6381"/>
    <s v="ValuePlus Market"/>
    <d v="2025-04-29T00:00:00"/>
    <s v="Beverages"/>
    <s v="Orange Juice"/>
    <n v="5"/>
    <n v="6.36"/>
    <n v="31.8"/>
    <s v="Medium"/>
    <n v="6.36"/>
    <n v="25.44"/>
    <x v="9"/>
    <n v="2025"/>
    <n v="344"/>
    <x v="0"/>
    <s v="Tuesday"/>
    <x v="1"/>
    <x v="1"/>
    <s v="Regular"/>
  </r>
  <r>
    <n v="5055"/>
    <s v="GreenGrocer Plaza"/>
    <d v="2025-03-20T00:00:00"/>
    <s v="Beverages"/>
    <s v="Potatoes"/>
    <n v="5"/>
    <n v="6.68"/>
    <n v="33.4"/>
    <s v="Medium"/>
    <n v="6.68"/>
    <n v="26.72"/>
    <x v="6"/>
    <n v="2025"/>
    <n v="112"/>
    <x v="2"/>
    <s v="Thursday"/>
    <x v="1"/>
    <x v="1"/>
    <s v="Regular"/>
  </r>
  <r>
    <n v="4501"/>
    <s v="GreenGrocer Plaza"/>
    <d v="2024-09-07T00:00:00"/>
    <s v="Produce"/>
    <s v="Onions"/>
    <n v="5"/>
    <n v="6.85"/>
    <n v="34.25"/>
    <s v="Medium"/>
    <n v="6.85"/>
    <n v="27.4"/>
    <x v="1"/>
    <n v="2024"/>
    <n v="274"/>
    <x v="0"/>
    <s v="Saturday"/>
    <x v="1"/>
    <x v="0"/>
    <s v="Regular"/>
  </r>
  <r>
    <n v="6731"/>
    <s v="FreshMart Downtown"/>
    <d v="2024-04-03T00:00:00"/>
    <s v="Dairy"/>
    <s v="Chicken Breast"/>
    <n v="5"/>
    <n v="6.95"/>
    <n v="34.75"/>
    <s v="Medium"/>
    <n v="6.95"/>
    <n v="27.8"/>
    <x v="9"/>
    <n v="2024"/>
    <n v="461"/>
    <x v="0"/>
    <s v="Wednesday"/>
    <x v="1"/>
    <x v="1"/>
    <s v="Regular"/>
  </r>
  <r>
    <n v="6807"/>
    <s v="GreenGrocer Plaza"/>
    <d v="2024-03-01T00:00:00"/>
    <s v="Dairy"/>
    <s v="Pasta"/>
    <n v="5"/>
    <n v="6.96"/>
    <n v="34.799999999999997"/>
    <s v="Medium"/>
    <n v="6.96"/>
    <n v="27.839999999999996"/>
    <x v="6"/>
    <n v="2024"/>
    <n v="361"/>
    <x v="0"/>
    <s v="Friday"/>
    <x v="1"/>
    <x v="1"/>
    <s v="Regular"/>
  </r>
  <r>
    <n v="8043"/>
    <s v="ValuePlus Market"/>
    <d v="2025-04-08T00:00:00"/>
    <s v="Frozen Foods"/>
    <s v="Chicken Breast"/>
    <n v="3"/>
    <n v="11.65"/>
    <n v="34.950000000000003"/>
    <s v="Medium"/>
    <n v="6.99"/>
    <n v="27.96"/>
    <x v="9"/>
    <n v="2025"/>
    <n v="113"/>
    <x v="2"/>
    <s v="Tuesday"/>
    <x v="1"/>
    <x v="1"/>
    <s v="Regular"/>
  </r>
  <r>
    <n v="7237"/>
    <s v="ValuePlus Market"/>
    <d v="2023-12-16T00:00:00"/>
    <s v="Dairy"/>
    <s v="Salmon"/>
    <n v="2"/>
    <n v="17.75"/>
    <n v="35.5"/>
    <s v="Medium"/>
    <n v="7.1"/>
    <n v="28.4"/>
    <x v="11"/>
    <n v="2023"/>
    <n v="12"/>
    <x v="1"/>
    <s v="Saturday"/>
    <x v="0"/>
    <x v="0"/>
    <s v="Regular"/>
  </r>
  <r>
    <n v="3535"/>
    <s v="SuperSave Central"/>
    <d v="2024-12-29T00:00:00"/>
    <s v="Beverages"/>
    <s v="Onions"/>
    <n v="3"/>
    <n v="12.3"/>
    <n v="36.9"/>
    <s v="Medium"/>
    <n v="7.38"/>
    <n v="29.52"/>
    <x v="11"/>
    <n v="2024"/>
    <n v="295"/>
    <x v="0"/>
    <s v="Sunday"/>
    <x v="1"/>
    <x v="0"/>
    <s v="Regular"/>
  </r>
  <r>
    <n v="5106"/>
    <s v="FreshMart Downtown"/>
    <d v="2025-01-14T00:00:00"/>
    <s v="Snacks &amp; Candy"/>
    <s v="Rice"/>
    <n v="5"/>
    <n v="7.7"/>
    <n v="38.5"/>
    <s v="Medium"/>
    <n v="7.7"/>
    <n v="30.8"/>
    <x v="8"/>
    <n v="2025"/>
    <n v="3"/>
    <x v="1"/>
    <s v="Tuesday"/>
    <x v="1"/>
    <x v="1"/>
    <s v="Regular"/>
  </r>
  <r>
    <n v="9316"/>
    <s v="City Fresh Store"/>
    <d v="2024-10-10T00:00:00"/>
    <s v="Snacks &amp; Candy"/>
    <s v="Bread"/>
    <n v="4"/>
    <n v="9.6999999999999993"/>
    <n v="38.799999999999997"/>
    <s v="Medium"/>
    <n v="7.76"/>
    <n v="31.04"/>
    <x v="7"/>
    <n v="2024"/>
    <n v="65"/>
    <x v="3"/>
    <s v="Thursday"/>
    <x v="1"/>
    <x v="1"/>
    <s v="Regular"/>
  </r>
  <r>
    <n v="5616"/>
    <s v="QuickStop Market"/>
    <d v="2024-11-18T00:00:00"/>
    <s v="Beverages"/>
    <s v="Ground Beef"/>
    <n v="5"/>
    <n v="7.93"/>
    <n v="39.65"/>
    <s v="Medium"/>
    <n v="7.93"/>
    <n v="31.72"/>
    <x v="0"/>
    <n v="2024"/>
    <n v="494"/>
    <x v="0"/>
    <s v="Monday"/>
    <x v="1"/>
    <x v="1"/>
    <s v="Regular"/>
  </r>
  <r>
    <n v="5022"/>
    <s v="QuickStop Market"/>
    <d v="2025-05-13T00:00:00"/>
    <s v="Household Items"/>
    <s v="Rice"/>
    <n v="5"/>
    <n v="8.02"/>
    <n v="40.1"/>
    <s v="Medium"/>
    <n v="8.02"/>
    <n v="32.08"/>
    <x v="3"/>
    <n v="2025"/>
    <n v="188"/>
    <x v="2"/>
    <s v="Tuesday"/>
    <x v="1"/>
    <x v="1"/>
    <s v="Regular"/>
  </r>
  <r>
    <n v="4705"/>
    <s v="Corner Grocery"/>
    <d v="2025-04-24T00:00:00"/>
    <s v="Snacks &amp; Candy"/>
    <s v="Onions"/>
    <n v="2"/>
    <n v="20.2"/>
    <n v="40.4"/>
    <s v="Medium"/>
    <n v="8.08"/>
    <n v="32.32"/>
    <x v="9"/>
    <n v="2025"/>
    <n v="243"/>
    <x v="0"/>
    <s v="Thursday"/>
    <x v="0"/>
    <x v="1"/>
    <s v="Regular"/>
  </r>
  <r>
    <n v="2578"/>
    <s v="MegaMart Westside"/>
    <d v="2024-09-17T00:00:00"/>
    <s v="Canned Goods"/>
    <s v="Yogurt"/>
    <n v="3"/>
    <n v="13.65"/>
    <n v="40.950000000000003"/>
    <s v="Medium"/>
    <n v="8.19"/>
    <n v="32.760000000000005"/>
    <x v="1"/>
    <n v="2024"/>
    <n v="29"/>
    <x v="1"/>
    <s v="Tuesday"/>
    <x v="1"/>
    <x v="1"/>
    <s v="Regular"/>
  </r>
  <r>
    <n v="6345"/>
    <s v="SuperSave Central"/>
    <d v="2024-04-10T00:00:00"/>
    <s v="Household Items"/>
    <s v="Tomatoes"/>
    <n v="3"/>
    <n v="14.55"/>
    <n v="43.65"/>
    <s v="Medium"/>
    <n v="8.73"/>
    <n v="34.92"/>
    <x v="9"/>
    <n v="2024"/>
    <n v="177"/>
    <x v="2"/>
    <s v="Wednesday"/>
    <x v="1"/>
    <x v="1"/>
    <s v="Regular"/>
  </r>
  <r>
    <n v="7566"/>
    <s v="ValuePlus Market"/>
    <d v="2024-09-25T00:00:00"/>
    <s v="Household Items"/>
    <s v="Yogurt"/>
    <n v="4"/>
    <n v="11.05"/>
    <n v="44.2"/>
    <s v="Medium"/>
    <n v="8.84"/>
    <n v="35.36"/>
    <x v="1"/>
    <n v="2024"/>
    <n v="415"/>
    <x v="0"/>
    <s v="Wednesday"/>
    <x v="1"/>
    <x v="1"/>
    <s v="Regular"/>
  </r>
  <r>
    <n v="3041"/>
    <s v="City Fresh Store"/>
    <d v="2025-02-16T00:00:00"/>
    <s v="Bakery"/>
    <s v="Yogurt"/>
    <n v="5"/>
    <n v="8.85"/>
    <n v="44.25"/>
    <s v="Medium"/>
    <n v="8.85"/>
    <n v="35.4"/>
    <x v="4"/>
    <n v="2025"/>
    <n v="287"/>
    <x v="0"/>
    <s v="Sunday"/>
    <x v="1"/>
    <x v="0"/>
    <s v="Regular"/>
  </r>
  <r>
    <n v="7523"/>
    <s v="Corner Grocery"/>
    <d v="2024-03-08T00:00:00"/>
    <s v="Personal Care"/>
    <s v="Chicken Breast"/>
    <n v="3"/>
    <n v="15.05"/>
    <n v="45.15"/>
    <s v="Medium"/>
    <n v="9.0299999999999994"/>
    <n v="36.119999999999997"/>
    <x v="6"/>
    <n v="2024"/>
    <n v="305"/>
    <x v="0"/>
    <s v="Friday"/>
    <x v="1"/>
    <x v="1"/>
    <s v="Regular"/>
  </r>
  <r>
    <n v="5279"/>
    <s v="Corner Grocery"/>
    <d v="2023-12-23T00:00:00"/>
    <s v="Personal Care"/>
    <s v="Salmon"/>
    <n v="5"/>
    <n v="9.1"/>
    <n v="45.5"/>
    <s v="Medium"/>
    <n v="9.1"/>
    <n v="36.4"/>
    <x v="11"/>
    <n v="2023"/>
    <n v="319"/>
    <x v="0"/>
    <s v="Saturday"/>
    <x v="1"/>
    <x v="0"/>
    <s v="Regular"/>
  </r>
  <r>
    <n v="6963"/>
    <s v="Corner Grocery"/>
    <d v="2024-05-30T00:00:00"/>
    <s v="Health &amp; Wellness"/>
    <s v="Eggs"/>
    <n v="4"/>
    <n v="11.6"/>
    <n v="46.4"/>
    <s v="Medium"/>
    <n v="9.2799999999999994"/>
    <n v="37.119999999999997"/>
    <x v="3"/>
    <n v="2024"/>
    <n v="222"/>
    <x v="0"/>
    <s v="Thursday"/>
    <x v="1"/>
    <x v="1"/>
    <s v="Regular"/>
  </r>
  <r>
    <n v="1519"/>
    <s v="Corner Grocery"/>
    <d v="2023-10-18T00:00:00"/>
    <s v="Beverages"/>
    <s v="Bananas"/>
    <n v="4"/>
    <n v="12.15"/>
    <n v="48.6"/>
    <s v="Medium"/>
    <n v="9.7200000000000006"/>
    <n v="38.880000000000003"/>
    <x v="7"/>
    <n v="2023"/>
    <n v="22"/>
    <x v="1"/>
    <s v="Wednesday"/>
    <x v="1"/>
    <x v="1"/>
    <s v="Regular"/>
  </r>
  <r>
    <n v="5732"/>
    <s v="FamilyFood Express"/>
    <d v="2023-11-23T00:00:00"/>
    <s v="Dairy"/>
    <s v="Eggs"/>
    <n v="5"/>
    <n v="9.77"/>
    <n v="48.85"/>
    <s v="Medium"/>
    <n v="9.77"/>
    <n v="39.08"/>
    <x v="0"/>
    <n v="2023"/>
    <n v="106"/>
    <x v="2"/>
    <s v="Thursday"/>
    <x v="1"/>
    <x v="1"/>
    <s v="Regular"/>
  </r>
  <r>
    <n v="4648"/>
    <s v="SuperSave Central"/>
    <d v="2025-05-16T00:00:00"/>
    <s v="Canned Goods"/>
    <s v="Carrots"/>
    <n v="5"/>
    <n v="10.199999999999999"/>
    <n v="51"/>
    <s v="High"/>
    <n v="10.199999999999999"/>
    <n v="40.799999999999997"/>
    <x v="3"/>
    <n v="2025"/>
    <n v="87"/>
    <x v="3"/>
    <s v="Friday"/>
    <x v="1"/>
    <x v="1"/>
    <s v="Regular"/>
  </r>
  <r>
    <n v="6543"/>
    <s v="MegaMart Westside"/>
    <d v="2025-01-15T00:00:00"/>
    <s v="Dairy"/>
    <s v="Onions"/>
    <n v="5"/>
    <n v="11.19"/>
    <n v="55.95"/>
    <s v="High"/>
    <n v="11.19"/>
    <n v="44.760000000000005"/>
    <x v="8"/>
    <n v="2025"/>
    <n v="73"/>
    <x v="3"/>
    <s v="Wednesday"/>
    <x v="1"/>
    <x v="1"/>
    <s v="Regular"/>
  </r>
  <r>
    <n v="1828"/>
    <s v="GreenGrocer Plaza"/>
    <d v="2024-03-12T00:00:00"/>
    <s v="Bakery"/>
    <s v="Milk"/>
    <n v="2"/>
    <n v="28.2"/>
    <n v="56.4"/>
    <s v="High"/>
    <n v="11.28"/>
    <n v="45.12"/>
    <x v="6"/>
    <n v="2024"/>
    <n v="64"/>
    <x v="3"/>
    <s v="Tuesday"/>
    <x v="0"/>
    <x v="1"/>
    <s v="Regular"/>
  </r>
  <r>
    <n v="6747"/>
    <s v="FamilyFood Express"/>
    <d v="2024-09-23T00:00:00"/>
    <s v="Dairy"/>
    <s v="Potatoes"/>
    <n v="5"/>
    <n v="11.38"/>
    <n v="56.9"/>
    <s v="High"/>
    <n v="11.38"/>
    <n v="45.519999999999996"/>
    <x v="1"/>
    <n v="2024"/>
    <n v="162"/>
    <x v="2"/>
    <s v="Monday"/>
    <x v="1"/>
    <x v="1"/>
    <s v="Regular"/>
  </r>
  <r>
    <n v="5668"/>
    <s v="ValuePlus Market"/>
    <d v="2025-04-03T00:00:00"/>
    <s v="Personal Care"/>
    <s v="Apples"/>
    <n v="5"/>
    <n v="11.74"/>
    <n v="58.7"/>
    <s v="High"/>
    <n v="11.74"/>
    <n v="46.96"/>
    <x v="9"/>
    <n v="2025"/>
    <n v="357"/>
    <x v="0"/>
    <s v="Thursday"/>
    <x v="1"/>
    <x v="1"/>
    <s v="Regular"/>
  </r>
  <r>
    <n v="8032"/>
    <s v="FreshMart Downtown"/>
    <d v="2023-08-08T00:00:00"/>
    <s v="Dairy"/>
    <s v="Onions"/>
    <n v="5"/>
    <n v="12.05"/>
    <n v="60.25"/>
    <s v="High"/>
    <n v="12.05"/>
    <n v="48.2"/>
    <x v="5"/>
    <n v="2023"/>
    <n v="204"/>
    <x v="0"/>
    <s v="Tuesday"/>
    <x v="1"/>
    <x v="1"/>
    <s v="Regular"/>
  </r>
  <r>
    <n v="2524"/>
    <s v="FreshMart Downtown"/>
    <d v="2024-11-12T00:00:00"/>
    <s v="Personal Care"/>
    <s v="Chicken Breast"/>
    <n v="5"/>
    <n v="12.53"/>
    <n v="62.65"/>
    <s v="High"/>
    <n v="12.53"/>
    <n v="50.12"/>
    <x v="0"/>
    <n v="2024"/>
    <n v="248"/>
    <x v="0"/>
    <s v="Tuesday"/>
    <x v="1"/>
    <x v="1"/>
    <s v="Regular"/>
  </r>
  <r>
    <n v="8849"/>
    <s v="ValuePlus Market"/>
    <d v="2024-01-20T00:00:00"/>
    <s v="Health &amp; Wellness"/>
    <s v="Milk"/>
    <n v="5"/>
    <n v="14"/>
    <n v="70"/>
    <s v="High"/>
    <n v="14"/>
    <n v="56"/>
    <x v="8"/>
    <n v="2024"/>
    <n v="86"/>
    <x v="3"/>
    <s v="Saturday"/>
    <x v="1"/>
    <x v="0"/>
    <s v="Regular"/>
  </r>
  <r>
    <n v="3803"/>
    <s v="QuickStop Market"/>
    <d v="2024-09-24T00:00:00"/>
    <s v="Produce"/>
    <s v="Bananas"/>
    <n v="3"/>
    <n v="23.35"/>
    <n v="70.05"/>
    <s v="High"/>
    <n v="14.01"/>
    <n v="56.04"/>
    <x v="1"/>
    <n v="2024"/>
    <n v="326"/>
    <x v="0"/>
    <s v="Tuesday"/>
    <x v="1"/>
    <x v="1"/>
    <s v="Regular"/>
  </r>
  <r>
    <n v="8222"/>
    <s v="GreenGrocer Plaza"/>
    <d v="2023-09-01T00:00:00"/>
    <s v="Health &amp; Wellness"/>
    <s v="Salmon"/>
    <n v="5"/>
    <n v="14.12"/>
    <n v="70.599999999999994"/>
    <s v="High"/>
    <n v="14.12"/>
    <n v="56.48"/>
    <x v="1"/>
    <n v="2023"/>
    <n v="358"/>
    <x v="0"/>
    <s v="Friday"/>
    <x v="1"/>
    <x v="1"/>
    <s v="Regular"/>
  </r>
  <r>
    <n v="6626"/>
    <s v="QuickStop Market"/>
    <d v="2025-02-11T00:00:00"/>
    <s v="Snacks &amp; Candy"/>
    <s v="Apples"/>
    <n v="5"/>
    <n v="14.39"/>
    <n v="71.95"/>
    <s v="High"/>
    <n v="14.39"/>
    <n v="57.56"/>
    <x v="4"/>
    <n v="2025"/>
    <n v="290"/>
    <x v="0"/>
    <s v="Tuesday"/>
    <x v="1"/>
    <x v="1"/>
    <s v="Regular"/>
  </r>
  <r>
    <n v="4519"/>
    <s v="Corner Grocery"/>
    <d v="2024-01-13T00:00:00"/>
    <s v="Beverages"/>
    <s v="Salmon"/>
    <n v="3"/>
    <n v="24.95"/>
    <n v="74.849999999999994"/>
    <s v="High"/>
    <n v="14.97"/>
    <n v="59.879999999999995"/>
    <x v="8"/>
    <n v="2024"/>
    <n v="230"/>
    <x v="0"/>
    <s v="Saturday"/>
    <x v="1"/>
    <x v="0"/>
    <s v="Regular"/>
  </r>
  <r>
    <n v="1422"/>
    <s v="GreenGrocer Plaza"/>
    <d v="2023-11-17T00:00:00"/>
    <s v="Meat &amp; Seafood"/>
    <s v="Salmon"/>
    <n v="5"/>
    <n v="15.2"/>
    <n v="76"/>
    <s v="High"/>
    <n v="15.2"/>
    <n v="60.8"/>
    <x v="0"/>
    <n v="2023"/>
    <n v="166"/>
    <x v="2"/>
    <s v="Friday"/>
    <x v="1"/>
    <x v="1"/>
    <s v="Regular"/>
  </r>
  <r>
    <n v="7375"/>
    <s v="Corner Grocery"/>
    <d v="2025-01-13T00:00:00"/>
    <s v="Personal Care"/>
    <s v="Eggs"/>
    <n v="5"/>
    <n v="15.32"/>
    <n v="76.599999999999994"/>
    <s v="High"/>
    <n v="15.32"/>
    <n v="61.279999999999994"/>
    <x v="8"/>
    <n v="2025"/>
    <n v="451"/>
    <x v="0"/>
    <s v="Monday"/>
    <x v="1"/>
    <x v="1"/>
    <s v="Regular"/>
  </r>
  <r>
    <n v="4044"/>
    <s v="QuickStop Market"/>
    <d v="2023-09-29T00:00:00"/>
    <s v="Canned Goods"/>
    <s v="Chicken Breast"/>
    <n v="5"/>
    <n v="15.7"/>
    <n v="78.5"/>
    <s v="High"/>
    <n v="15.7"/>
    <n v="62.8"/>
    <x v="1"/>
    <n v="2023"/>
    <n v="79"/>
    <x v="3"/>
    <s v="Friday"/>
    <x v="1"/>
    <x v="1"/>
    <s v="Regular"/>
  </r>
  <r>
    <n v="8873"/>
    <s v="City Fresh Store"/>
    <d v="2025-06-15T00:00:00"/>
    <s v="Personal Care"/>
    <s v="Cheese"/>
    <n v="4"/>
    <n v="19.75"/>
    <n v="79"/>
    <s v="High"/>
    <n v="15.8"/>
    <n v="63.2"/>
    <x v="10"/>
    <n v="2025"/>
    <n v="18"/>
    <x v="1"/>
    <s v="Sunday"/>
    <x v="1"/>
    <x v="0"/>
    <s v="Regular"/>
  </r>
  <r>
    <n v="7471"/>
    <s v="QuickStop Market"/>
    <d v="2024-08-26T00:00:00"/>
    <s v="Frozen Foods"/>
    <s v="Rice"/>
    <n v="5"/>
    <n v="15.88"/>
    <n v="79.400000000000006"/>
    <s v="High"/>
    <n v="15.88"/>
    <n v="63.52"/>
    <x v="5"/>
    <n v="2024"/>
    <n v="160"/>
    <x v="2"/>
    <s v="Monday"/>
    <x v="1"/>
    <x v="1"/>
    <s v="Regular"/>
  </r>
  <r>
    <n v="5847"/>
    <s v="QuickStop Market"/>
    <d v="2025-01-31T00:00:00"/>
    <s v="Beverages"/>
    <s v="Orange Juice"/>
    <n v="5"/>
    <n v="16.100000000000001"/>
    <n v="80.5"/>
    <s v="High"/>
    <n v="16.100000000000001"/>
    <n v="64.400000000000006"/>
    <x v="8"/>
    <n v="2025"/>
    <n v="230"/>
    <x v="0"/>
    <s v="Friday"/>
    <x v="1"/>
    <x v="1"/>
    <s v="Regular"/>
  </r>
  <r>
    <n v="7333"/>
    <s v="MegaMart Westside"/>
    <d v="2024-03-14T00:00:00"/>
    <s v="Meat &amp; Seafood"/>
    <s v="Salmon"/>
    <n v="5"/>
    <n v="16.16"/>
    <n v="80.8"/>
    <s v="High"/>
    <n v="16.16"/>
    <n v="64.64"/>
    <x v="6"/>
    <n v="2024"/>
    <n v="496"/>
    <x v="0"/>
    <s v="Thursday"/>
    <x v="1"/>
    <x v="1"/>
    <s v="Regular"/>
  </r>
  <r>
    <n v="4538"/>
    <s v="SuperSave Central"/>
    <d v="2025-04-29T00:00:00"/>
    <s v="Canned Goods"/>
    <s v="Bread"/>
    <n v="5"/>
    <n v="16.45"/>
    <n v="82.25"/>
    <s v="High"/>
    <n v="16.45"/>
    <n v="65.8"/>
    <x v="9"/>
    <n v="2025"/>
    <n v="368"/>
    <x v="0"/>
    <s v="Tuesday"/>
    <x v="1"/>
    <x v="1"/>
    <s v="Regular"/>
  </r>
  <r>
    <n v="4937"/>
    <s v="Corner Grocery"/>
    <d v="2025-01-24T00:00:00"/>
    <s v="Beverages"/>
    <s v="Bananas"/>
    <n v="4"/>
    <n v="20.8"/>
    <n v="83.2"/>
    <s v="High"/>
    <n v="16.64"/>
    <n v="66.56"/>
    <x v="8"/>
    <n v="2025"/>
    <n v="88"/>
    <x v="3"/>
    <s v="Friday"/>
    <x v="1"/>
    <x v="1"/>
    <s v="Regular"/>
  </r>
  <r>
    <n v="3858"/>
    <s v="FreshMart Downtown"/>
    <d v="2023-10-31T00:00:00"/>
    <s v="Snacks &amp; Candy"/>
    <s v="Bananas"/>
    <n v="3"/>
    <n v="28.55"/>
    <n v="85.65"/>
    <s v="High"/>
    <n v="17.13"/>
    <n v="68.52000000000001"/>
    <x v="7"/>
    <n v="2023"/>
    <n v="113"/>
    <x v="2"/>
    <s v="Tuesday"/>
    <x v="1"/>
    <x v="1"/>
    <s v="Regular"/>
  </r>
  <r>
    <n v="1046"/>
    <s v="FreshMart Downtown"/>
    <d v="2024-03-09T00:00:00"/>
    <s v="Household Items"/>
    <s v="Pasta"/>
    <n v="5"/>
    <n v="17.43"/>
    <n v="87.15"/>
    <s v="High"/>
    <n v="17.43"/>
    <n v="69.72"/>
    <x v="6"/>
    <n v="2024"/>
    <n v="118"/>
    <x v="2"/>
    <s v="Saturday"/>
    <x v="1"/>
    <x v="0"/>
    <s v="Regular"/>
  </r>
  <r>
    <n v="1651"/>
    <s v="MegaMart Westside"/>
    <d v="2024-11-30T00:00:00"/>
    <s v="Frozen Foods"/>
    <s v="Cereal"/>
    <n v="5"/>
    <n v="18.28"/>
    <n v="91.4"/>
    <s v="High"/>
    <n v="18.28"/>
    <n v="73.12"/>
    <x v="0"/>
    <n v="2024"/>
    <n v="452"/>
    <x v="0"/>
    <s v="Saturday"/>
    <x v="1"/>
    <x v="0"/>
    <s v="Regular"/>
  </r>
  <r>
    <n v="7924"/>
    <s v="ValuePlus Market"/>
    <d v="2024-04-27T00:00:00"/>
    <s v="Dairy"/>
    <s v="Rice"/>
    <n v="5"/>
    <n v="18.649999999999999"/>
    <n v="93.25"/>
    <s v="High"/>
    <n v="18.649999999999999"/>
    <n v="74.599999999999994"/>
    <x v="9"/>
    <n v="2024"/>
    <n v="78"/>
    <x v="3"/>
    <s v="Saturday"/>
    <x v="1"/>
    <x v="0"/>
    <s v="Regular"/>
  </r>
  <r>
    <n v="9692"/>
    <s v="MegaMart Westside"/>
    <d v="2024-03-23T00:00:00"/>
    <s v="Canned Goods"/>
    <s v="Tomatoes"/>
    <n v="5"/>
    <n v="18.850000000000001"/>
    <n v="94.25"/>
    <s v="High"/>
    <n v="18.850000000000001"/>
    <n v="75.400000000000006"/>
    <x v="6"/>
    <n v="2024"/>
    <n v="14"/>
    <x v="1"/>
    <s v="Saturday"/>
    <x v="1"/>
    <x v="0"/>
    <s v="Regular"/>
  </r>
  <r>
    <n v="5888"/>
    <s v="City Fresh Store"/>
    <d v="2024-10-21T00:00:00"/>
    <s v="Dairy"/>
    <s v="Bread"/>
    <n v="5"/>
    <n v="18.940000000000001"/>
    <n v="94.7"/>
    <s v="High"/>
    <n v="18.940000000000001"/>
    <n v="75.760000000000005"/>
    <x v="7"/>
    <n v="2024"/>
    <n v="154"/>
    <x v="2"/>
    <s v="Monday"/>
    <x v="1"/>
    <x v="1"/>
    <s v="Regular"/>
  </r>
  <r>
    <n v="9727"/>
    <s v="Corner Grocery"/>
    <d v="2025-03-23T00:00:00"/>
    <s v="Beverages"/>
    <s v="Bread"/>
    <n v="5"/>
    <n v="19.239999999999998"/>
    <n v="96.2"/>
    <s v="High"/>
    <n v="19.239999999999998"/>
    <n v="76.960000000000008"/>
    <x v="6"/>
    <n v="2025"/>
    <n v="27"/>
    <x v="1"/>
    <s v="Sunday"/>
    <x v="1"/>
    <x v="0"/>
    <s v="Regular"/>
  </r>
  <r>
    <n v="7438"/>
    <s v="ValuePlus Market"/>
    <d v="2024-11-27T00:00:00"/>
    <s v="Produce"/>
    <s v="Eggs"/>
    <n v="4"/>
    <n v="24.1"/>
    <n v="96.4"/>
    <s v="High"/>
    <n v="19.28"/>
    <n v="77.12"/>
    <x v="0"/>
    <n v="2024"/>
    <n v="154"/>
    <x v="2"/>
    <s v="Wednesday"/>
    <x v="1"/>
    <x v="1"/>
    <s v="Regular"/>
  </r>
  <r>
    <n v="6733"/>
    <s v="FamilyFood Express"/>
    <d v="2024-01-28T00:00:00"/>
    <s v="Bakery"/>
    <s v="Orange Juice"/>
    <n v="5"/>
    <n v="19.34"/>
    <n v="96.7"/>
    <s v="High"/>
    <n v="19.34"/>
    <n v="77.36"/>
    <x v="8"/>
    <n v="2024"/>
    <n v="84"/>
    <x v="3"/>
    <s v="Sunday"/>
    <x v="1"/>
    <x v="0"/>
    <s v="Regular"/>
  </r>
  <r>
    <n v="8837"/>
    <s v="SuperSave Central"/>
    <d v="2024-09-18T00:00:00"/>
    <s v="Produce"/>
    <s v="Onions"/>
    <n v="4"/>
    <n v="24.2"/>
    <n v="96.8"/>
    <s v="High"/>
    <n v="19.36"/>
    <n v="77.44"/>
    <x v="1"/>
    <n v="2024"/>
    <n v="62"/>
    <x v="3"/>
    <s v="Wednesday"/>
    <x v="1"/>
    <x v="1"/>
    <s v="Regular"/>
  </r>
  <r>
    <n v="3017"/>
    <s v="ValuePlus Market"/>
    <d v="2024-11-06T00:00:00"/>
    <s v="Personal Care"/>
    <s v="Tomatoes"/>
    <n v="5"/>
    <n v="19.64"/>
    <n v="98.2"/>
    <s v="High"/>
    <n v="19.64"/>
    <n v="78.56"/>
    <x v="0"/>
    <n v="2024"/>
    <n v="144"/>
    <x v="2"/>
    <s v="Wednesday"/>
    <x v="1"/>
    <x v="1"/>
    <s v="Regular"/>
  </r>
  <r>
    <n v="1606"/>
    <s v="SuperSave Central"/>
    <d v="2023-11-13T00:00:00"/>
    <s v="Bakery"/>
    <s v="Bread"/>
    <n v="5"/>
    <n v="19.649999999999999"/>
    <n v="98.25"/>
    <s v="High"/>
    <n v="19.649999999999999"/>
    <n v="78.599999999999994"/>
    <x v="0"/>
    <n v="2023"/>
    <n v="108"/>
    <x v="2"/>
    <s v="Monday"/>
    <x v="1"/>
    <x v="1"/>
    <s v="Regular"/>
  </r>
  <r>
    <n v="3953"/>
    <s v="GreenGrocer Plaza"/>
    <d v="2024-01-20T00:00:00"/>
    <s v="Snacks &amp; Candy"/>
    <s v="Salmon"/>
    <n v="5"/>
    <n v="20.09"/>
    <n v="100.45"/>
    <s v="Very High"/>
    <n v="20.09"/>
    <n v="80.36"/>
    <x v="8"/>
    <n v="2024"/>
    <n v="43"/>
    <x v="1"/>
    <s v="Saturday"/>
    <x v="1"/>
    <x v="0"/>
    <s v="Regular"/>
  </r>
  <r>
    <n v="6253"/>
    <s v="Unknown Store"/>
    <d v="2024-11-17T00:00:00"/>
    <s v="Canned Goods"/>
    <s v="Pasta"/>
    <n v="5"/>
    <n v="20.38"/>
    <n v="101.9"/>
    <s v="Very High"/>
    <n v="20.38"/>
    <n v="81.52000000000001"/>
    <x v="0"/>
    <n v="2024"/>
    <n v="242"/>
    <x v="0"/>
    <s v="Sunday"/>
    <x v="1"/>
    <x v="0"/>
    <s v="Regular"/>
  </r>
  <r>
    <n v="2684"/>
    <s v="SuperSave Central"/>
    <d v="2024-05-07T00:00:00"/>
    <s v="Produce"/>
    <s v="Eggs"/>
    <n v="5"/>
    <n v="20.65"/>
    <n v="103.25"/>
    <s v="Very High"/>
    <n v="20.65"/>
    <n v="82.6"/>
    <x v="3"/>
    <n v="2024"/>
    <n v="224"/>
    <x v="0"/>
    <s v="Tuesday"/>
    <x v="1"/>
    <x v="1"/>
    <s v="Regular"/>
  </r>
  <r>
    <n v="5708"/>
    <s v="Corner Grocery"/>
    <d v="2024-01-30T00:00:00"/>
    <s v="Canned Goods"/>
    <s v="Onions"/>
    <n v="5"/>
    <n v="21.2"/>
    <n v="106"/>
    <s v="Very High"/>
    <n v="21.2"/>
    <n v="84.8"/>
    <x v="8"/>
    <n v="2024"/>
    <n v="361"/>
    <x v="0"/>
    <s v="Tuesday"/>
    <x v="1"/>
    <x v="1"/>
    <s v="Regular"/>
  </r>
  <r>
    <n v="5012"/>
    <s v="QuickStop Market"/>
    <d v="2025-04-23T00:00:00"/>
    <s v="Household Items"/>
    <s v="Yogurt"/>
    <n v="5"/>
    <n v="21.78"/>
    <n v="108.9"/>
    <s v="Very High"/>
    <n v="21.78"/>
    <n v="87.12"/>
    <x v="9"/>
    <n v="2025"/>
    <n v="234"/>
    <x v="0"/>
    <s v="Wednesday"/>
    <x v="1"/>
    <x v="1"/>
    <s v="Regular"/>
  </r>
  <r>
    <n v="2874"/>
    <s v="FreshMart Downtown"/>
    <d v="2025-05-30T00:00:00"/>
    <s v="Personal Care"/>
    <s v="Rice"/>
    <n v="5"/>
    <n v="22.01"/>
    <n v="110.05"/>
    <s v="Very High"/>
    <n v="22.01"/>
    <n v="88.039999999999992"/>
    <x v="3"/>
    <n v="2025"/>
    <n v="161"/>
    <x v="2"/>
    <s v="Friday"/>
    <x v="1"/>
    <x v="1"/>
    <s v="Regular"/>
  </r>
  <r>
    <n v="8055"/>
    <s v="GreenGrocer Plaza"/>
    <d v="2024-11-16T00:00:00"/>
    <s v="Beverages"/>
    <s v="Rice"/>
    <n v="5"/>
    <n v="22.36"/>
    <n v="111.8"/>
    <s v="Very High"/>
    <n v="22.36"/>
    <n v="89.44"/>
    <x v="0"/>
    <n v="2024"/>
    <n v="232"/>
    <x v="0"/>
    <s v="Saturday"/>
    <x v="1"/>
    <x v="0"/>
    <s v="Regular"/>
  </r>
  <r>
    <n v="5272"/>
    <s v="FamilyFood Express"/>
    <d v="2024-10-09T00:00:00"/>
    <s v="Personal Care"/>
    <s v="Eggs"/>
    <n v="5"/>
    <n v="22.46"/>
    <n v="112.3"/>
    <s v="Very High"/>
    <n v="22.46"/>
    <n v="89.84"/>
    <x v="7"/>
    <n v="2024"/>
    <n v="253"/>
    <x v="0"/>
    <s v="Wednesday"/>
    <x v="1"/>
    <x v="1"/>
    <s v="Regular"/>
  </r>
  <r>
    <n v="2790"/>
    <s v="FreshMart Downtown"/>
    <d v="2024-02-16T00:00:00"/>
    <s v="Household Items"/>
    <s v="Milk"/>
    <n v="5"/>
    <n v="22.6"/>
    <n v="113"/>
    <s v="Very High"/>
    <n v="22.6"/>
    <n v="90.4"/>
    <x v="4"/>
    <n v="2024"/>
    <n v="426"/>
    <x v="0"/>
    <s v="Friday"/>
    <x v="1"/>
    <x v="1"/>
    <s v="Regular"/>
  </r>
  <r>
    <n v="8102"/>
    <s v="City Fresh Store"/>
    <d v="2024-05-14T00:00:00"/>
    <s v="Canned Goods"/>
    <s v="Carrots"/>
    <n v="5"/>
    <n v="23.7"/>
    <n v="118.5"/>
    <s v="Very High"/>
    <n v="23.7"/>
    <n v="94.8"/>
    <x v="3"/>
    <n v="2024"/>
    <n v="369"/>
    <x v="0"/>
    <s v="Tuesday"/>
    <x v="1"/>
    <x v="1"/>
    <s v="Regular"/>
  </r>
  <r>
    <n v="9897"/>
    <s v="FamilyFood Express"/>
    <d v="2024-10-17T00:00:00"/>
    <s v="Canned Goods"/>
    <s v="Carrots"/>
    <n v="5"/>
    <n v="23.71"/>
    <n v="118.55"/>
    <s v="Very High"/>
    <n v="23.71"/>
    <n v="94.84"/>
    <x v="7"/>
    <n v="2024"/>
    <n v="364"/>
    <x v="0"/>
    <s v="Thursday"/>
    <x v="1"/>
    <x v="1"/>
    <s v="Regular"/>
  </r>
  <r>
    <n v="9817"/>
    <s v="SuperSave Central"/>
    <d v="2025-03-30T00:00:00"/>
    <s v="Meat &amp; Seafood"/>
    <s v="Milk"/>
    <n v="5"/>
    <n v="24.28"/>
    <n v="121.4"/>
    <s v="Very High"/>
    <n v="24.28"/>
    <n v="97.12"/>
    <x v="6"/>
    <n v="2025"/>
    <n v="365"/>
    <x v="0"/>
    <s v="Sunday"/>
    <x v="1"/>
    <x v="0"/>
    <s v="Regular"/>
  </r>
  <r>
    <n v="1266"/>
    <s v="City Fresh Store"/>
    <d v="2024-05-10T00:00:00"/>
    <s v="Health &amp; Wellness"/>
    <s v="Salmon"/>
    <n v="5"/>
    <n v="24.42"/>
    <n v="122.1"/>
    <s v="Very High"/>
    <n v="24.42"/>
    <n v="97.679999999999993"/>
    <x v="3"/>
    <n v="2024"/>
    <n v="174"/>
    <x v="2"/>
    <s v="Friday"/>
    <x v="1"/>
    <x v="1"/>
    <s v="Regular"/>
  </r>
  <r>
    <n v="9749"/>
    <s v="FamilyFood Express"/>
    <d v="2024-02-08T00:00:00"/>
    <s v="Canned Goods"/>
    <s v="Potatoes"/>
    <n v="5"/>
    <n v="24.52"/>
    <n v="122.6"/>
    <s v="Very High"/>
    <n v="24.52"/>
    <n v="98.08"/>
    <x v="4"/>
    <n v="2024"/>
    <n v="341"/>
    <x v="0"/>
    <s v="Thursday"/>
    <x v="1"/>
    <x v="1"/>
    <s v="Regular"/>
  </r>
  <r>
    <n v="8486"/>
    <s v="FamilyFood Express"/>
    <d v="2023-08-18T00:00:00"/>
    <s v="Snacks &amp; Candy"/>
    <s v="Eggs"/>
    <n v="5"/>
    <n v="24.78"/>
    <n v="123.9"/>
    <s v="Very High"/>
    <n v="24.78"/>
    <n v="99.12"/>
    <x v="5"/>
    <n v="2023"/>
    <n v="93"/>
    <x v="3"/>
    <s v="Friday"/>
    <x v="1"/>
    <x v="1"/>
    <s v="Regular"/>
  </r>
  <r>
    <n v="5778"/>
    <s v="City Fresh Store"/>
    <d v="2024-02-25T00:00:00"/>
    <s v="Produce"/>
    <s v="Milk"/>
    <n v="5"/>
    <n v="25.22"/>
    <n v="126.1"/>
    <s v="Very High"/>
    <n v="25.22"/>
    <n v="100.88"/>
    <x v="4"/>
    <n v="2024"/>
    <n v="222"/>
    <x v="0"/>
    <s v="Sunday"/>
    <x v="1"/>
    <x v="0"/>
    <s v="High Value"/>
  </r>
  <r>
    <n v="7256"/>
    <s v="ValuePlus Market"/>
    <d v="2024-08-31T00:00:00"/>
    <s v="Meat &amp; Seafood"/>
    <s v="Bananas"/>
    <n v="5"/>
    <n v="26.01"/>
    <n v="130.05000000000001"/>
    <s v="Very High"/>
    <n v="26.01"/>
    <n v="104.04"/>
    <x v="5"/>
    <n v="2024"/>
    <n v="295"/>
    <x v="0"/>
    <s v="Saturday"/>
    <x v="1"/>
    <x v="0"/>
    <s v="High Value"/>
  </r>
  <r>
    <n v="9561"/>
    <s v="ValuePlus Market"/>
    <d v="2024-05-28T00:00:00"/>
    <s v="Snacks &amp; Candy"/>
    <s v="Eggs"/>
    <n v="5"/>
    <n v="26.49"/>
    <n v="132.44999999999999"/>
    <s v="Very High"/>
    <n v="26.49"/>
    <n v="105.96"/>
    <x v="3"/>
    <n v="2024"/>
    <n v="14"/>
    <x v="1"/>
    <s v="Tuesday"/>
    <x v="1"/>
    <x v="1"/>
    <s v="High Value"/>
  </r>
  <r>
    <n v="9061"/>
    <s v="City Fresh Store"/>
    <d v="2023-09-22T00:00:00"/>
    <s v="Produce"/>
    <s v="Ground Beef"/>
    <n v="5"/>
    <n v="26.81"/>
    <n v="134.05000000000001"/>
    <s v="Very High"/>
    <n v="26.81"/>
    <n v="107.24000000000001"/>
    <x v="1"/>
    <n v="2023"/>
    <n v="431"/>
    <x v="0"/>
    <s v="Friday"/>
    <x v="1"/>
    <x v="1"/>
    <s v="High Value"/>
  </r>
  <r>
    <n v="1972"/>
    <s v="GreenGrocer Plaza"/>
    <d v="2024-10-22T00:00:00"/>
    <s v="Dairy"/>
    <s v="Apples"/>
    <n v="5"/>
    <n v="27.48"/>
    <n v="137.4"/>
    <s v="Very High"/>
    <n v="27.48"/>
    <n v="109.92"/>
    <x v="7"/>
    <n v="2024"/>
    <n v="370"/>
    <x v="0"/>
    <s v="Tuesday"/>
    <x v="1"/>
    <x v="1"/>
    <s v="High Value"/>
  </r>
  <r>
    <n v="4109"/>
    <s v="FamilyFood Express"/>
    <d v="2023-11-09T00:00:00"/>
    <s v="Personal Care"/>
    <s v="Salmon"/>
    <n v="5"/>
    <n v="27.85"/>
    <n v="139.25"/>
    <s v="Very High"/>
    <n v="27.85"/>
    <n v="111.4"/>
    <x v="0"/>
    <n v="2023"/>
    <n v="11"/>
    <x v="1"/>
    <s v="Thursday"/>
    <x v="1"/>
    <x v="1"/>
    <s v="High Value"/>
  </r>
  <r>
    <n v="8365"/>
    <s v="GreenGrocer Plaza"/>
    <d v="2024-08-02T00:00:00"/>
    <s v="Canned Goods"/>
    <s v="Orange Juice"/>
    <n v="5"/>
    <n v="28.16"/>
    <n v="140.80000000000001"/>
    <s v="Very High"/>
    <n v="28.16"/>
    <n v="112.64000000000001"/>
    <x v="5"/>
    <n v="2024"/>
    <n v="267"/>
    <x v="0"/>
    <s v="Friday"/>
    <x v="1"/>
    <x v="1"/>
    <s v="High Value"/>
  </r>
  <r>
    <n v="2923"/>
    <s v="QuickStop Market"/>
    <d v="2024-12-15T00:00:00"/>
    <s v="Beverages"/>
    <s v="Eggs"/>
    <n v="5"/>
    <n v="29.17"/>
    <n v="145.85"/>
    <s v="Very High"/>
    <n v="29.17"/>
    <n v="116.67999999999999"/>
    <x v="11"/>
    <n v="2024"/>
    <n v="467"/>
    <x v="0"/>
    <s v="Sunday"/>
    <x v="1"/>
    <x v="0"/>
    <s v="High Value"/>
  </r>
  <r>
    <n v="1659"/>
    <s v="QuickStop Market"/>
    <d v="2025-03-14T00:00:00"/>
    <s v="Frozen Foods"/>
    <s v="Pasta"/>
    <n v="5"/>
    <n v="29.57"/>
    <n v="147.85"/>
    <s v="Very High"/>
    <n v="29.57"/>
    <n v="118.28"/>
    <x v="6"/>
    <n v="2025"/>
    <n v="347"/>
    <x v="0"/>
    <s v="Friday"/>
    <x v="1"/>
    <x v="1"/>
    <s v="High Value"/>
  </r>
  <r>
    <n v="2276"/>
    <s v="City Fresh Store"/>
    <d v="2023-11-18T00:00:00"/>
    <s v="Snacks &amp; Candy"/>
    <s v="Onions"/>
    <n v="5"/>
    <n v="29.94"/>
    <n v="149.69999999999999"/>
    <s v="Very High"/>
    <n v="29.94"/>
    <n v="119.75999999999999"/>
    <x v="0"/>
    <n v="2023"/>
    <n v="98"/>
    <x v="3"/>
    <s v="Saturday"/>
    <x v="1"/>
    <x v="0"/>
    <s v="High Value"/>
  </r>
  <r>
    <n v="8366"/>
    <s v="QuickStop Market"/>
    <d v="2024-02-15T00:00:00"/>
    <s v="Beverages"/>
    <s v="Milk"/>
    <n v="5"/>
    <n v="1.1299999999999999"/>
    <n v="5.65"/>
    <s v="Low"/>
    <n v="1.1299999999999999"/>
    <n v="4.5200000000000005"/>
    <x v="4"/>
    <n v="2024"/>
    <n v="395"/>
    <x v="0"/>
    <s v="Thursday"/>
    <x v="1"/>
    <x v="1"/>
    <s v="Regular"/>
  </r>
  <r>
    <n v="4394"/>
    <s v="ValuePlus Market"/>
    <d v="2024-11-04T00:00:00"/>
    <s v="Produce"/>
    <s v="Potatoes"/>
    <n v="5"/>
    <n v="16.079999999999998"/>
    <n v="80.400000000000006"/>
    <s v="High"/>
    <n v="16.079999999999998"/>
    <n v="64.320000000000007"/>
    <x v="0"/>
    <n v="2024"/>
    <n v="162"/>
    <x v="2"/>
    <s v="Monday"/>
    <x v="1"/>
    <x v="1"/>
    <s v="Regular"/>
  </r>
  <r>
    <n v="7790"/>
    <s v="QuickStop Market"/>
    <d v="2025-06-25T00:00:00"/>
    <s v="Bakery"/>
    <s v="Cereal"/>
    <n v="5"/>
    <n v="18.329999999999998"/>
    <n v="91.65"/>
    <s v="High"/>
    <n v="18.329999999999998"/>
    <n v="73.320000000000007"/>
    <x v="10"/>
    <n v="2025"/>
    <n v="344"/>
    <x v="0"/>
    <s v="Wednesday"/>
    <x v="1"/>
    <x v="1"/>
    <s v="Regular"/>
  </r>
  <r>
    <n v="8633"/>
    <s v="QuickStop Market"/>
    <d v="2024-06-24T00:00:00"/>
    <s v="Snacks &amp; Candy"/>
    <s v="Rice"/>
    <n v="4"/>
    <n v="23.69"/>
    <n v="94.76"/>
    <s v="High"/>
    <n v="18.95"/>
    <n v="75.81"/>
    <x v="10"/>
    <n v="2024"/>
    <n v="184"/>
    <x v="2"/>
    <s v="Monday"/>
    <x v="1"/>
    <x v="1"/>
    <s v="Regular"/>
  </r>
  <r>
    <n v="4460"/>
    <s v="ValuePlus Market"/>
    <d v="2025-03-25T00:00:00"/>
    <s v="Canned Goods"/>
    <s v="Bread"/>
    <n v="4"/>
    <n v="23.04"/>
    <n v="92.16"/>
    <s v="High"/>
    <n v="18.43"/>
    <n v="73.72999999999999"/>
    <x v="6"/>
    <n v="2025"/>
    <n v="148"/>
    <x v="2"/>
    <s v="Tuesday"/>
    <x v="1"/>
    <x v="1"/>
    <s v="Regular"/>
  </r>
  <r>
    <n v="2494"/>
    <s v="QuickStop Market"/>
    <d v="2025-02-03T00:00:00"/>
    <s v="Household Items"/>
    <s v="Bread"/>
    <n v="3"/>
    <n v="29.97"/>
    <n v="89.91"/>
    <s v="High"/>
    <n v="17.98"/>
    <n v="71.929999999999993"/>
    <x v="4"/>
    <n v="2025"/>
    <n v="226"/>
    <x v="0"/>
    <s v="Monday"/>
    <x v="1"/>
    <x v="1"/>
    <s v="Regular"/>
  </r>
  <r>
    <n v="6655"/>
    <s v="FreshMart Downtown"/>
    <d v="2024-07-05T00:00:00"/>
    <s v="Snacks &amp; Candy"/>
    <s v="Tomatoes"/>
    <n v="3"/>
    <n v="29.87"/>
    <n v="89.61"/>
    <s v="High"/>
    <n v="17.920000000000002"/>
    <n v="71.69"/>
    <x v="2"/>
    <n v="2024"/>
    <n v="132"/>
    <x v="2"/>
    <s v="Friday"/>
    <x v="1"/>
    <x v="1"/>
    <s v="Regular"/>
  </r>
  <r>
    <n v="3526"/>
    <s v="City Fresh Store"/>
    <d v="2023-12-17T00:00:00"/>
    <s v="Canned Goods"/>
    <s v="Bread"/>
    <n v="3"/>
    <n v="25.52"/>
    <n v="76.56"/>
    <s v="High"/>
    <n v="15.31"/>
    <n v="61.25"/>
    <x v="11"/>
    <n v="2023"/>
    <n v="219"/>
    <x v="0"/>
    <s v="Sunday"/>
    <x v="1"/>
    <x v="0"/>
    <s v="Regular"/>
  </r>
  <r>
    <n v="6870"/>
    <s v="QuickStop Market"/>
    <d v="2025-03-27T00:00:00"/>
    <s v="Bakery"/>
    <s v="Tomatoes"/>
    <n v="3"/>
    <n v="24.92"/>
    <n v="74.760000000000005"/>
    <s v="High"/>
    <n v="14.95"/>
    <n v="59.81"/>
    <x v="6"/>
    <n v="2025"/>
    <n v="277"/>
    <x v="0"/>
    <s v="Thursday"/>
    <x v="1"/>
    <x v="1"/>
    <s v="Regular"/>
  </r>
  <r>
    <n v="3296"/>
    <s v="SuperSave Central"/>
    <d v="2024-06-29T00:00:00"/>
    <s v="Dairy"/>
    <s v="Rice"/>
    <n v="3"/>
    <n v="22.67"/>
    <n v="68.010000000000005"/>
    <s v="High"/>
    <n v="13.6"/>
    <n v="54.410000000000004"/>
    <x v="10"/>
    <n v="2024"/>
    <n v="89"/>
    <x v="3"/>
    <s v="Saturday"/>
    <x v="1"/>
    <x v="0"/>
    <s v="Regular"/>
  </r>
  <r>
    <n v="5489"/>
    <s v="FamilyFood Express"/>
    <d v="2023-10-18T00:00:00"/>
    <s v="Personal Care"/>
    <s v="Onions"/>
    <n v="3"/>
    <n v="22.47"/>
    <n v="67.41"/>
    <s v="High"/>
    <n v="13.48"/>
    <n v="53.929999999999993"/>
    <x v="7"/>
    <n v="2023"/>
    <n v="385"/>
    <x v="0"/>
    <s v="Wednesday"/>
    <x v="1"/>
    <x v="1"/>
    <s v="Regular"/>
  </r>
  <r>
    <n v="1717"/>
    <s v="SuperSave Central"/>
    <d v="2025-04-12T00:00:00"/>
    <s v="Household Items"/>
    <s v="Yogurt"/>
    <n v="3"/>
    <n v="21.02"/>
    <n v="63.06"/>
    <s v="High"/>
    <n v="12.61"/>
    <n v="50.45"/>
    <x v="9"/>
    <n v="2025"/>
    <n v="44"/>
    <x v="1"/>
    <s v="Saturday"/>
    <x v="1"/>
    <x v="0"/>
    <s v="Regular"/>
  </r>
  <r>
    <n v="5632"/>
    <s v="QuickStop Market"/>
    <d v="2025-02-03T00:00:00"/>
    <s v="Personal Care"/>
    <s v="Apples"/>
    <n v="3"/>
    <n v="19.97"/>
    <n v="59.91"/>
    <s v="High"/>
    <n v="11.98"/>
    <n v="47.929999999999993"/>
    <x v="4"/>
    <n v="2025"/>
    <n v="113"/>
    <x v="2"/>
    <s v="Monday"/>
    <x v="1"/>
    <x v="1"/>
    <s v="Regular"/>
  </r>
  <r>
    <n v="1154"/>
    <s v="ValuePlus Market"/>
    <d v="2025-02-02T00:00:00"/>
    <s v="Frozen Foods"/>
    <s v="Apples"/>
    <n v="4"/>
    <n v="14.54"/>
    <n v="58.16"/>
    <s v="High"/>
    <n v="11.63"/>
    <n v="46.529999999999994"/>
    <x v="4"/>
    <n v="2025"/>
    <n v="473"/>
    <x v="0"/>
    <s v="Sunday"/>
    <x v="1"/>
    <x v="0"/>
    <s v="Regular"/>
  </r>
  <r>
    <n v="2761"/>
    <s v="Corner Grocery"/>
    <d v="2024-07-06T00:00:00"/>
    <s v="Snacks &amp; Candy"/>
    <s v="Apples"/>
    <n v="4"/>
    <n v="13.79"/>
    <n v="55.16"/>
    <s v="High"/>
    <n v="11.03"/>
    <n v="44.129999999999995"/>
    <x v="2"/>
    <n v="2024"/>
    <n v="258"/>
    <x v="0"/>
    <s v="Saturday"/>
    <x v="1"/>
    <x v="0"/>
    <s v="Regular"/>
  </r>
  <r>
    <n v="2584"/>
    <s v="QuickStop Market"/>
    <d v="2024-05-11T00:00:00"/>
    <s v="Snacks &amp; Candy"/>
    <s v="Orange Juice"/>
    <n v="4"/>
    <n v="27.08"/>
    <n v="108.32"/>
    <s v="Very High"/>
    <n v="21.66"/>
    <n v="86.66"/>
    <x v="3"/>
    <n v="2024"/>
    <n v="231"/>
    <x v="0"/>
    <s v="Saturday"/>
    <x v="1"/>
    <x v="0"/>
    <s v="Regular"/>
  </r>
  <r>
    <n v="7492"/>
    <s v="Corner Grocery"/>
    <d v="2024-09-08T00:00:00"/>
    <s v="Personal Care"/>
    <s v="Milk"/>
    <n v="3"/>
    <n v="17.97"/>
    <n v="53.91"/>
    <s v="High"/>
    <n v="10.78"/>
    <n v="43.129999999999995"/>
    <x v="1"/>
    <n v="2024"/>
    <n v="357"/>
    <x v="0"/>
    <s v="Sunday"/>
    <x v="1"/>
    <x v="0"/>
    <s v="Regular"/>
  </r>
  <r>
    <n v="2412"/>
    <s v="Corner Grocery"/>
    <d v="2023-09-27T00:00:00"/>
    <s v="Personal Care"/>
    <s v="Orange Juice"/>
    <n v="3"/>
    <n v="17.920000000000002"/>
    <n v="53.76"/>
    <s v="High"/>
    <n v="10.75"/>
    <n v="43.01"/>
    <x v="1"/>
    <n v="2023"/>
    <n v="277"/>
    <x v="0"/>
    <s v="Wednesday"/>
    <x v="1"/>
    <x v="1"/>
    <s v="Regular"/>
  </r>
  <r>
    <n v="5349"/>
    <s v="GreenGrocer Plaza"/>
    <d v="2023-09-05T00:00:00"/>
    <s v="Snacks &amp; Candy"/>
    <s v="Orange Juice"/>
    <n v="3"/>
    <n v="17.170000000000002"/>
    <n v="51.51"/>
    <s v="High"/>
    <n v="10.3"/>
    <n v="41.209999999999994"/>
    <x v="1"/>
    <n v="2023"/>
    <n v="187"/>
    <x v="2"/>
    <s v="Tuesday"/>
    <x v="1"/>
    <x v="1"/>
    <s v="Regular"/>
  </r>
  <r>
    <n v="1920"/>
    <s v="ValuePlus Market"/>
    <d v="2024-05-06T00:00:00"/>
    <s v="Frozen Foods"/>
    <s v="Apples"/>
    <n v="2"/>
    <n v="25.33"/>
    <n v="50.66"/>
    <s v="High"/>
    <n v="10.130000000000001"/>
    <n v="40.529999999999994"/>
    <x v="3"/>
    <n v="2024"/>
    <n v="354"/>
    <x v="0"/>
    <s v="Monday"/>
    <x v="0"/>
    <x v="1"/>
    <s v="Regular"/>
  </r>
  <r>
    <n v="3034"/>
    <s v="City Fresh Store"/>
    <d v="2024-09-12T00:00:00"/>
    <s v="Bakery"/>
    <s v="Bread"/>
    <n v="4"/>
    <n v="23.93"/>
    <n v="95.72"/>
    <s v="High"/>
    <n v="19.14"/>
    <n v="76.58"/>
    <x v="1"/>
    <n v="2024"/>
    <n v="314"/>
    <x v="0"/>
    <s v="Thursday"/>
    <x v="1"/>
    <x v="1"/>
    <s v="Regular"/>
  </r>
  <r>
    <n v="3417"/>
    <s v="City Fresh Store"/>
    <d v="2025-04-10T00:00:00"/>
    <s v="Health &amp; Wellness"/>
    <s v="Pasta"/>
    <n v="2"/>
    <n v="23.58"/>
    <n v="47.16"/>
    <s v="Medium"/>
    <n v="9.43"/>
    <n v="37.729999999999997"/>
    <x v="9"/>
    <n v="2025"/>
    <n v="54"/>
    <x v="3"/>
    <s v="Thursday"/>
    <x v="0"/>
    <x v="1"/>
    <s v="Regular"/>
  </r>
  <r>
    <n v="1535"/>
    <s v="MegaMart Westside"/>
    <d v="2024-03-07T00:00:00"/>
    <s v="Health &amp; Wellness"/>
    <s v="Eggs"/>
    <n v="4"/>
    <n v="23.23"/>
    <n v="92.92"/>
    <s v="High"/>
    <n v="18.579999999999998"/>
    <n v="74.34"/>
    <x v="6"/>
    <n v="2024"/>
    <n v="9"/>
    <x v="1"/>
    <s v="Thursday"/>
    <x v="1"/>
    <x v="1"/>
    <s v="Regular"/>
  </r>
  <r>
    <n v="7655"/>
    <s v="SuperSave Central"/>
    <d v="2024-05-15T00:00:00"/>
    <s v="Meat &amp; Seafood"/>
    <s v="Carrots"/>
    <n v="4"/>
    <n v="23.08"/>
    <n v="92.32"/>
    <s v="High"/>
    <n v="18.46"/>
    <n v="73.859999999999985"/>
    <x v="3"/>
    <n v="2024"/>
    <n v="341"/>
    <x v="0"/>
    <s v="Wednesday"/>
    <x v="1"/>
    <x v="1"/>
    <s v="Regular"/>
  </r>
  <r>
    <n v="1256"/>
    <s v="FreshMart Downtown"/>
    <d v="2024-02-09T00:00:00"/>
    <s v="Dairy"/>
    <s v="Cereal"/>
    <n v="3"/>
    <n v="15.02"/>
    <n v="45.06"/>
    <s v="Medium"/>
    <n v="9.01"/>
    <n v="36.050000000000004"/>
    <x v="4"/>
    <n v="2024"/>
    <n v="314"/>
    <x v="0"/>
    <s v="Friday"/>
    <x v="1"/>
    <x v="1"/>
    <s v="Regular"/>
  </r>
  <r>
    <n v="1803"/>
    <s v="Corner Grocery"/>
    <d v="2025-07-14T00:00:00"/>
    <s v="Frozen Foods"/>
    <s v="Ground Beef"/>
    <n v="2"/>
    <n v="22.38"/>
    <n v="44.76"/>
    <s v="Medium"/>
    <n v="8.9499999999999993"/>
    <n v="35.81"/>
    <x v="2"/>
    <n v="2025"/>
    <n v="226"/>
    <x v="0"/>
    <s v="Monday"/>
    <x v="0"/>
    <x v="1"/>
    <s v="Regular"/>
  </r>
  <r>
    <n v="1508"/>
    <s v="Corner Grocery"/>
    <d v="2024-02-15T00:00:00"/>
    <s v="Produce"/>
    <s v="Pasta"/>
    <n v="2"/>
    <n v="21.33"/>
    <n v="42.66"/>
    <s v="Medium"/>
    <n v="8.5299999999999994"/>
    <n v="34.129999999999995"/>
    <x v="4"/>
    <n v="2024"/>
    <n v="67"/>
    <x v="3"/>
    <s v="Thursday"/>
    <x v="0"/>
    <x v="1"/>
    <s v="Regular"/>
  </r>
  <r>
    <n v="1945"/>
    <s v="FreshMart Downtown"/>
    <d v="2024-10-14T00:00:00"/>
    <s v="Household Items"/>
    <s v="Milk"/>
    <n v="2"/>
    <n v="21.28"/>
    <n v="42.56"/>
    <s v="Medium"/>
    <n v="8.51"/>
    <n v="34.050000000000004"/>
    <x v="7"/>
    <n v="2024"/>
    <n v="287"/>
    <x v="0"/>
    <s v="Monday"/>
    <x v="0"/>
    <x v="1"/>
    <s v="Regular"/>
  </r>
  <r>
    <n v="3102"/>
    <s v="SuperSave Central"/>
    <d v="2025-06-18T00:00:00"/>
    <s v="Snacks &amp; Candy"/>
    <s v="Chicken Breast"/>
    <n v="3"/>
    <n v="28.14"/>
    <n v="84.42"/>
    <s v="High"/>
    <n v="16.88"/>
    <n v="67.540000000000006"/>
    <x v="10"/>
    <n v="2025"/>
    <n v="156"/>
    <x v="2"/>
    <s v="Wednesday"/>
    <x v="1"/>
    <x v="1"/>
    <s v="Regular"/>
  </r>
  <r>
    <n v="5949"/>
    <s v="FamilyFood Express"/>
    <d v="2024-08-16T00:00:00"/>
    <s v="Meat &amp; Seafood"/>
    <s v="Yogurt"/>
    <n v="3"/>
    <n v="13.52"/>
    <n v="40.56"/>
    <s v="Medium"/>
    <n v="8.11"/>
    <n v="32.450000000000003"/>
    <x v="5"/>
    <n v="2024"/>
    <n v="363"/>
    <x v="0"/>
    <s v="Friday"/>
    <x v="1"/>
    <x v="1"/>
    <s v="Regular"/>
  </r>
  <r>
    <n v="6876"/>
    <s v="MegaMart Westside"/>
    <d v="2023-09-23T00:00:00"/>
    <s v="Dairy"/>
    <s v="Bananas"/>
    <n v="3"/>
    <n v="26.14"/>
    <n v="78.42"/>
    <s v="High"/>
    <n v="15.68"/>
    <n v="62.74"/>
    <x v="1"/>
    <n v="2023"/>
    <n v="332"/>
    <x v="0"/>
    <s v="Saturday"/>
    <x v="1"/>
    <x v="0"/>
    <s v="Regular"/>
  </r>
  <r>
    <n v="1916"/>
    <s v="FamilyFood Express"/>
    <d v="2024-01-31T00:00:00"/>
    <s v="Beverages"/>
    <s v="Orange Juice"/>
    <n v="3"/>
    <n v="24.79"/>
    <n v="74.37"/>
    <s v="High"/>
    <n v="14.87"/>
    <n v="59.500000000000007"/>
    <x v="8"/>
    <n v="2024"/>
    <n v="446"/>
    <x v="0"/>
    <s v="Wednesday"/>
    <x v="1"/>
    <x v="1"/>
    <s v="Regular"/>
  </r>
  <r>
    <n v="9617"/>
    <s v="QuickStop Market"/>
    <d v="2025-07-14T00:00:00"/>
    <s v="Dairy"/>
    <s v="Yogurt"/>
    <n v="4"/>
    <n v="18.579999999999998"/>
    <n v="74.319999999999993"/>
    <s v="High"/>
    <n v="14.86"/>
    <n v="59.459999999999994"/>
    <x v="2"/>
    <n v="2025"/>
    <n v="241"/>
    <x v="0"/>
    <s v="Monday"/>
    <x v="1"/>
    <x v="1"/>
    <s v="Regular"/>
  </r>
  <r>
    <n v="7211"/>
    <s v="SuperSave Central"/>
    <d v="2024-04-17T00:00:00"/>
    <s v="Beverages"/>
    <s v="Onions"/>
    <n v="2"/>
    <n v="17.079999999999998"/>
    <n v="34.159999999999997"/>
    <s v="Medium"/>
    <n v="6.83"/>
    <n v="27.33"/>
    <x v="9"/>
    <n v="2024"/>
    <n v="250"/>
    <x v="0"/>
    <s v="Wednesday"/>
    <x v="0"/>
    <x v="1"/>
    <s v="Regular"/>
  </r>
  <r>
    <n v="6105"/>
    <s v="SuperSave Central"/>
    <d v="2025-02-17T00:00:00"/>
    <s v="Beverages"/>
    <s v="Cheese"/>
    <n v="4"/>
    <n v="7.89"/>
    <n v="31.56"/>
    <s v="Medium"/>
    <n v="6.31"/>
    <n v="25.25"/>
    <x v="4"/>
    <n v="2025"/>
    <n v="225"/>
    <x v="0"/>
    <s v="Monday"/>
    <x v="1"/>
    <x v="1"/>
    <s v="Regular"/>
  </r>
  <r>
    <n v="9850"/>
    <s v="MegaMart Westside"/>
    <d v="2024-02-17T00:00:00"/>
    <s v="Meat &amp; Seafood"/>
    <s v="Tomatoes"/>
    <n v="4"/>
    <n v="14.73"/>
    <n v="58.92"/>
    <s v="High"/>
    <n v="11.78"/>
    <n v="47.14"/>
    <x v="4"/>
    <n v="2024"/>
    <n v="83"/>
    <x v="3"/>
    <s v="Saturday"/>
    <x v="1"/>
    <x v="0"/>
    <s v="Regular"/>
  </r>
  <r>
    <n v="5961"/>
    <s v="FamilyFood Express"/>
    <d v="2024-11-26T00:00:00"/>
    <s v="Health &amp; Wellness"/>
    <s v="Cereal"/>
    <n v="3"/>
    <n v="9.77"/>
    <n v="29.31"/>
    <s v="Medium"/>
    <n v="5.86"/>
    <n v="23.45"/>
    <x v="0"/>
    <n v="2024"/>
    <n v="417"/>
    <x v="0"/>
    <s v="Tuesday"/>
    <x v="1"/>
    <x v="1"/>
    <s v="Regular"/>
  </r>
  <r>
    <n v="3688"/>
    <s v="QuickStop Market"/>
    <d v="2024-07-13T00:00:00"/>
    <s v="Produce"/>
    <s v="Orange Juice"/>
    <n v="1"/>
    <n v="28.71"/>
    <n v="28.71"/>
    <s v="Medium"/>
    <n v="5.74"/>
    <n v="22.97"/>
    <x v="2"/>
    <n v="2024"/>
    <n v="96"/>
    <x v="3"/>
    <s v="Saturday"/>
    <x v="0"/>
    <x v="0"/>
    <s v="Regular"/>
  </r>
  <r>
    <n v="6776"/>
    <s v="SuperSave Central"/>
    <d v="2024-11-26T00:00:00"/>
    <s v="Household Items"/>
    <s v="Cheese"/>
    <n v="1"/>
    <n v="28.16"/>
    <n v="28.16"/>
    <s v="Medium"/>
    <n v="5.63"/>
    <n v="22.53"/>
    <x v="0"/>
    <n v="2024"/>
    <n v="156"/>
    <x v="2"/>
    <s v="Tuesday"/>
    <x v="0"/>
    <x v="1"/>
    <s v="Regular"/>
  </r>
  <r>
    <n v="8231"/>
    <s v="FamilyFood Express"/>
    <d v="2024-10-04T00:00:00"/>
    <s v="Health &amp; Wellness"/>
    <s v="Pasta"/>
    <n v="3"/>
    <n v="18.489999999999998"/>
    <n v="55.47"/>
    <s v="High"/>
    <n v="11.09"/>
    <n v="44.379999999999995"/>
    <x v="7"/>
    <n v="2024"/>
    <n v="477"/>
    <x v="0"/>
    <s v="Friday"/>
    <x v="1"/>
    <x v="1"/>
    <s v="Regular"/>
  </r>
  <r>
    <n v="7461"/>
    <s v="Corner Grocery"/>
    <d v="2023-10-04T00:00:00"/>
    <s v="Produce"/>
    <s v="Milk"/>
    <n v="4"/>
    <n v="13.53"/>
    <n v="54.12"/>
    <s v="High"/>
    <n v="10.82"/>
    <n v="43.3"/>
    <x v="7"/>
    <n v="2023"/>
    <n v="238"/>
    <x v="0"/>
    <s v="Wednesday"/>
    <x v="1"/>
    <x v="1"/>
    <s v="Regular"/>
  </r>
  <r>
    <n v="1710"/>
    <s v="FamilyFood Express"/>
    <d v="2025-02-21T00:00:00"/>
    <s v="Bakery"/>
    <s v="Potatoes"/>
    <n v="4"/>
    <n v="12.88"/>
    <n v="51.52"/>
    <s v="High"/>
    <n v="10.3"/>
    <n v="41.22"/>
    <x v="4"/>
    <n v="2025"/>
    <n v="40"/>
    <x v="1"/>
    <s v="Friday"/>
    <x v="1"/>
    <x v="1"/>
    <s v="Regular"/>
  </r>
  <r>
    <n v="7547"/>
    <s v="Corner Grocery"/>
    <d v="2024-02-12T00:00:00"/>
    <s v="Personal Care"/>
    <s v="Cereal"/>
    <n v="4"/>
    <n v="12.83"/>
    <n v="51.32"/>
    <s v="High"/>
    <n v="10.26"/>
    <n v="41.06"/>
    <x v="4"/>
    <n v="2024"/>
    <n v="153"/>
    <x v="2"/>
    <s v="Monday"/>
    <x v="1"/>
    <x v="1"/>
    <s v="Regular"/>
  </r>
  <r>
    <n v="8570"/>
    <s v="QuickStop Market"/>
    <d v="2023-10-25T00:00:00"/>
    <s v="Health &amp; Wellness"/>
    <s v="Orange Juice"/>
    <n v="4"/>
    <n v="12.63"/>
    <n v="50.52"/>
    <s v="High"/>
    <n v="10.1"/>
    <n v="40.42"/>
    <x v="7"/>
    <n v="2023"/>
    <n v="470"/>
    <x v="0"/>
    <s v="Wednesday"/>
    <x v="1"/>
    <x v="1"/>
    <s v="Regular"/>
  </r>
  <r>
    <n v="8078"/>
    <s v="FreshMart Downtown"/>
    <d v="2025-02-27T00:00:00"/>
    <s v="Produce"/>
    <s v="Bread"/>
    <n v="1"/>
    <n v="25.21"/>
    <n v="25.21"/>
    <s v="Medium"/>
    <n v="5.04"/>
    <n v="20.170000000000002"/>
    <x v="4"/>
    <n v="2025"/>
    <n v="342"/>
    <x v="0"/>
    <s v="Thursday"/>
    <x v="0"/>
    <x v="1"/>
    <s v="Regular"/>
  </r>
  <r>
    <n v="3146"/>
    <s v="FamilyFood Express"/>
    <d v="2025-07-27T00:00:00"/>
    <s v="Bakery"/>
    <s v="Rice"/>
    <n v="4"/>
    <n v="6.14"/>
    <n v="24.56"/>
    <s v="Low"/>
    <n v="4.91"/>
    <n v="19.649999999999999"/>
    <x v="2"/>
    <n v="2025"/>
    <n v="349"/>
    <x v="0"/>
    <s v="Sunday"/>
    <x v="1"/>
    <x v="0"/>
    <s v="Regular"/>
  </r>
  <r>
    <n v="8430"/>
    <s v="GreenGrocer Plaza"/>
    <d v="2024-06-11T00:00:00"/>
    <s v="Beverages"/>
    <s v="Carrots"/>
    <n v="1"/>
    <n v="24.16"/>
    <n v="24.16"/>
    <s v="Low"/>
    <n v="4.83"/>
    <n v="19.329999999999998"/>
    <x v="10"/>
    <n v="2024"/>
    <n v="463"/>
    <x v="0"/>
    <s v="Tuesday"/>
    <x v="0"/>
    <x v="1"/>
    <s v="Regular"/>
  </r>
  <r>
    <n v="3362"/>
    <s v="QuickStop Market"/>
    <d v="2025-03-13T00:00:00"/>
    <s v="Bakery"/>
    <s v="Cereal"/>
    <n v="2"/>
    <n v="24.16"/>
    <n v="48.32"/>
    <s v="Medium"/>
    <n v="9.66"/>
    <n v="38.659999999999997"/>
    <x v="6"/>
    <n v="2025"/>
    <n v="500"/>
    <x v="0"/>
    <s v="Thursday"/>
    <x v="0"/>
    <x v="1"/>
    <s v="Regular"/>
  </r>
  <r>
    <n v="5703"/>
    <s v="MegaMart Westside"/>
    <d v="2024-06-19T00:00:00"/>
    <s v="Dairy"/>
    <s v="Cheese"/>
    <n v="3"/>
    <n v="16.09"/>
    <n v="48.27"/>
    <s v="Medium"/>
    <n v="9.65"/>
    <n v="38.620000000000005"/>
    <x v="10"/>
    <n v="2024"/>
    <n v="1"/>
    <x v="1"/>
    <s v="Wednesday"/>
    <x v="1"/>
    <x v="1"/>
    <s v="Regular"/>
  </r>
  <r>
    <n v="3938"/>
    <s v="SuperSave Central"/>
    <d v="2025-03-01T00:00:00"/>
    <s v="Health &amp; Wellness"/>
    <s v="Apples"/>
    <n v="3"/>
    <n v="15.74"/>
    <n v="47.22"/>
    <s v="Medium"/>
    <n v="9.44"/>
    <n v="37.78"/>
    <x v="6"/>
    <n v="2025"/>
    <n v="62"/>
    <x v="3"/>
    <s v="Saturday"/>
    <x v="1"/>
    <x v="0"/>
    <s v="Regular"/>
  </r>
  <r>
    <n v="7211"/>
    <s v="City Fresh Store"/>
    <d v="2024-03-10T00:00:00"/>
    <s v="Snacks &amp; Candy"/>
    <s v="Salmon"/>
    <n v="4"/>
    <n v="5.84"/>
    <n v="23.36"/>
    <s v="Low"/>
    <n v="4.67"/>
    <n v="18.689999999999998"/>
    <x v="6"/>
    <n v="2024"/>
    <n v="289"/>
    <x v="0"/>
    <s v="Sunday"/>
    <x v="1"/>
    <x v="0"/>
    <s v="Regular"/>
  </r>
  <r>
    <n v="5016"/>
    <s v="FamilyFood Express"/>
    <d v="2023-12-01T00:00:00"/>
    <s v="Beverages"/>
    <s v="Apples"/>
    <n v="1"/>
    <n v="23.11"/>
    <n v="23.11"/>
    <s v="Low"/>
    <n v="4.62"/>
    <n v="18.489999999999998"/>
    <x v="11"/>
    <n v="2023"/>
    <n v="444"/>
    <x v="0"/>
    <s v="Friday"/>
    <x v="0"/>
    <x v="1"/>
    <s v="Regular"/>
  </r>
  <r>
    <n v="5808"/>
    <s v="FamilyFood Express"/>
    <d v="2024-07-09T00:00:00"/>
    <s v="Health &amp; Wellness"/>
    <s v="Bread"/>
    <n v="1"/>
    <n v="22.86"/>
    <n v="22.86"/>
    <s v="Low"/>
    <n v="4.57"/>
    <n v="18.29"/>
    <x v="2"/>
    <n v="2024"/>
    <n v="486"/>
    <x v="0"/>
    <s v="Tuesday"/>
    <x v="0"/>
    <x v="1"/>
    <s v="Regular"/>
  </r>
  <r>
    <n v="2931"/>
    <s v="City Fresh Store"/>
    <d v="2024-02-08T00:00:00"/>
    <s v="Beverages"/>
    <s v="Rice"/>
    <n v="2"/>
    <n v="22.56"/>
    <n v="45.12"/>
    <s v="Medium"/>
    <n v="9.02"/>
    <n v="36.099999999999994"/>
    <x v="4"/>
    <n v="2024"/>
    <n v="355"/>
    <x v="0"/>
    <s v="Thursday"/>
    <x v="0"/>
    <x v="1"/>
    <s v="Regular"/>
  </r>
  <r>
    <n v="2600"/>
    <s v="Corner Grocery"/>
    <d v="2024-07-11T00:00:00"/>
    <s v="Frozen Foods"/>
    <s v="Potatoes"/>
    <n v="2"/>
    <n v="22.26"/>
    <n v="44.52"/>
    <s v="Medium"/>
    <n v="8.9"/>
    <n v="35.620000000000005"/>
    <x v="2"/>
    <n v="2024"/>
    <n v="370"/>
    <x v="0"/>
    <s v="Thursday"/>
    <x v="0"/>
    <x v="1"/>
    <s v="Regular"/>
  </r>
  <r>
    <n v="1689"/>
    <s v="MegaMart Westside"/>
    <d v="2024-03-17T00:00:00"/>
    <s v="Dairy"/>
    <s v="Bread"/>
    <n v="1"/>
    <n v="22.16"/>
    <n v="22.16"/>
    <s v="Low"/>
    <n v="4.43"/>
    <n v="17.73"/>
    <x v="6"/>
    <n v="2024"/>
    <n v="483"/>
    <x v="0"/>
    <s v="Sunday"/>
    <x v="0"/>
    <x v="0"/>
    <s v="Regular"/>
  </r>
  <r>
    <n v="1430"/>
    <s v="FreshMart Downtown"/>
    <d v="2024-11-22T00:00:00"/>
    <s v="Dairy"/>
    <s v="Bananas"/>
    <n v="2"/>
    <n v="21.91"/>
    <n v="43.82"/>
    <s v="Medium"/>
    <n v="8.76"/>
    <n v="35.06"/>
    <x v="0"/>
    <n v="2024"/>
    <n v="249"/>
    <x v="0"/>
    <s v="Friday"/>
    <x v="0"/>
    <x v="1"/>
    <s v="Regular"/>
  </r>
  <r>
    <n v="5334"/>
    <s v="FreshMart Downtown"/>
    <d v="2025-04-09T00:00:00"/>
    <s v="Meat &amp; Seafood"/>
    <s v="Eggs"/>
    <n v="2"/>
    <n v="10.93"/>
    <n v="21.86"/>
    <s v="Low"/>
    <n v="4.37"/>
    <n v="17.489999999999998"/>
    <x v="9"/>
    <n v="2025"/>
    <n v="291"/>
    <x v="0"/>
    <s v="Wednesday"/>
    <x v="0"/>
    <x v="1"/>
    <s v="Regular"/>
  </r>
  <r>
    <n v="7524"/>
    <s v="ValuePlus Market"/>
    <d v="2024-04-10T00:00:00"/>
    <s v="Beverages"/>
    <s v="Cheese"/>
    <n v="4"/>
    <n v="10.48"/>
    <n v="41.92"/>
    <s v="Medium"/>
    <n v="8.3800000000000008"/>
    <n v="33.54"/>
    <x v="9"/>
    <n v="2024"/>
    <n v="256"/>
    <x v="0"/>
    <s v="Wednesday"/>
    <x v="1"/>
    <x v="1"/>
    <s v="Regular"/>
  </r>
  <r>
    <n v="3471"/>
    <s v="QuickStop Market"/>
    <d v="2023-09-24T00:00:00"/>
    <s v="Meat &amp; Seafood"/>
    <s v="Cheese"/>
    <n v="4"/>
    <n v="5.04"/>
    <n v="20.16"/>
    <s v="Low"/>
    <n v="4.03"/>
    <n v="16.13"/>
    <x v="1"/>
    <n v="2023"/>
    <n v="300"/>
    <x v="0"/>
    <s v="Sunday"/>
    <x v="1"/>
    <x v="0"/>
    <s v="Regular"/>
  </r>
  <r>
    <n v="4836"/>
    <s v="FreshMart Downtown"/>
    <d v="2025-05-01T00:00:00"/>
    <s v="Dairy"/>
    <s v="Apples"/>
    <n v="3"/>
    <n v="13.44"/>
    <n v="40.32"/>
    <s v="Medium"/>
    <n v="8.06"/>
    <n v="32.26"/>
    <x v="3"/>
    <n v="2025"/>
    <n v="95"/>
    <x v="3"/>
    <s v="Thursday"/>
    <x v="1"/>
    <x v="1"/>
    <s v="Regular"/>
  </r>
  <r>
    <n v="2646"/>
    <s v="QuickStop Market"/>
    <d v="2024-07-16T00:00:00"/>
    <s v="Household Items"/>
    <s v="Milk"/>
    <n v="2"/>
    <n v="19.559999999999999"/>
    <n v="39.119999999999997"/>
    <s v="Medium"/>
    <n v="7.82"/>
    <n v="31.299999999999997"/>
    <x v="2"/>
    <n v="2024"/>
    <n v="224"/>
    <x v="0"/>
    <s v="Tuesday"/>
    <x v="0"/>
    <x v="1"/>
    <s v="Regular"/>
  </r>
  <r>
    <n v="1053"/>
    <s v="City Fresh Store"/>
    <d v="2025-02-17T00:00:00"/>
    <s v="Frozen Foods"/>
    <s v="Orange Juice"/>
    <n v="2"/>
    <n v="18.559999999999999"/>
    <n v="37.119999999999997"/>
    <s v="Medium"/>
    <n v="7.42"/>
    <n v="29.699999999999996"/>
    <x v="4"/>
    <n v="2025"/>
    <n v="493"/>
    <x v="0"/>
    <s v="Monday"/>
    <x v="0"/>
    <x v="1"/>
    <s v="Regular"/>
  </r>
  <r>
    <n v="3290"/>
    <s v="MegaMart Westside"/>
    <d v="2023-09-11T00:00:00"/>
    <s v="Meat &amp; Seafood"/>
    <s v="Eggs"/>
    <n v="3"/>
    <n v="11.64"/>
    <n v="34.92"/>
    <s v="Medium"/>
    <n v="6.98"/>
    <n v="27.94"/>
    <x v="1"/>
    <n v="2023"/>
    <n v="298"/>
    <x v="0"/>
    <s v="Monday"/>
    <x v="1"/>
    <x v="1"/>
    <s v="Regular"/>
  </r>
  <r>
    <n v="5232"/>
    <s v="FamilyFood Express"/>
    <d v="2024-04-27T00:00:00"/>
    <s v="Beverages"/>
    <s v="Rice"/>
    <n v="4"/>
    <n v="8.68"/>
    <n v="34.72"/>
    <s v="Medium"/>
    <n v="6.94"/>
    <n v="27.779999999999998"/>
    <x v="9"/>
    <n v="2024"/>
    <n v="61"/>
    <x v="3"/>
    <s v="Saturday"/>
    <x v="1"/>
    <x v="0"/>
    <s v="Regular"/>
  </r>
  <r>
    <n v="6304"/>
    <s v="ValuePlus Market"/>
    <d v="2023-08-19T00:00:00"/>
    <s v="Personal Care"/>
    <s v="Tomatoes"/>
    <n v="1"/>
    <n v="17.16"/>
    <n v="17.16"/>
    <s v="Low"/>
    <n v="3.43"/>
    <n v="13.73"/>
    <x v="5"/>
    <n v="2023"/>
    <n v="264"/>
    <x v="0"/>
    <s v="Saturday"/>
    <x v="0"/>
    <x v="0"/>
    <s v="Regular"/>
  </r>
  <r>
    <n v="2771"/>
    <s v="Corner Grocery"/>
    <d v="2024-05-30T00:00:00"/>
    <s v="Personal Care"/>
    <s v="Milk"/>
    <n v="1"/>
    <n v="16.010000000000002"/>
    <n v="16.010000000000002"/>
    <s v="Low"/>
    <n v="3.2"/>
    <n v="12.810000000000002"/>
    <x v="3"/>
    <n v="2024"/>
    <n v="155"/>
    <x v="2"/>
    <s v="Thursday"/>
    <x v="0"/>
    <x v="1"/>
    <s v="Regular"/>
  </r>
  <r>
    <n v="5351"/>
    <s v="QuickStop Market"/>
    <d v="2024-06-09T00:00:00"/>
    <s v="Canned Goods"/>
    <s v="Chicken Breast"/>
    <n v="1"/>
    <n v="15.41"/>
    <n v="15.41"/>
    <s v="Low"/>
    <n v="3.08"/>
    <n v="12.33"/>
    <x v="10"/>
    <n v="2024"/>
    <n v="220"/>
    <x v="0"/>
    <s v="Sunday"/>
    <x v="0"/>
    <x v="0"/>
    <s v="Regular"/>
  </r>
  <r>
    <n v="8843"/>
    <s v="ValuePlus Market"/>
    <d v="2024-07-14T00:00:00"/>
    <s v="Household Items"/>
    <s v="Eggs"/>
    <n v="1"/>
    <n v="28.52"/>
    <n v="28.52"/>
    <s v="Medium"/>
    <n v="5.7"/>
    <n v="22.82"/>
    <x v="2"/>
    <n v="2024"/>
    <n v="229"/>
    <x v="0"/>
    <s v="Sunday"/>
    <x v="0"/>
    <x v="0"/>
    <s v="Regular"/>
  </r>
  <r>
    <n v="1693"/>
    <s v="SuperSave Central"/>
    <d v="2024-07-10T00:00:00"/>
    <s v="Canned Goods"/>
    <s v="Onions"/>
    <n v="2"/>
    <n v="13.71"/>
    <n v="27.42"/>
    <s v="Medium"/>
    <n v="5.48"/>
    <n v="21.94"/>
    <x v="2"/>
    <n v="2024"/>
    <n v="473"/>
    <x v="0"/>
    <s v="Wednesday"/>
    <x v="0"/>
    <x v="1"/>
    <s v="Regular"/>
  </r>
  <r>
    <n v="6567"/>
    <s v="FreshMart Downtown"/>
    <d v="2024-05-05T00:00:00"/>
    <s v="Produce"/>
    <s v="Potatoes"/>
    <n v="3"/>
    <n v="4.2699999999999996"/>
    <n v="12.81"/>
    <s v="Low"/>
    <n v="2.56"/>
    <n v="10.25"/>
    <x v="3"/>
    <n v="2024"/>
    <n v="246"/>
    <x v="0"/>
    <s v="Sunday"/>
    <x v="1"/>
    <x v="0"/>
    <s v="Regular"/>
  </r>
  <r>
    <n v="3330"/>
    <s v="MegaMart Westside"/>
    <d v="2023-10-01T00:00:00"/>
    <s v="Frozen Foods"/>
    <s v="Eggs"/>
    <n v="1"/>
    <n v="12.11"/>
    <n v="12.11"/>
    <s v="Low"/>
    <n v="2.42"/>
    <n v="9.69"/>
    <x v="7"/>
    <n v="2023"/>
    <n v="301"/>
    <x v="0"/>
    <s v="Sunday"/>
    <x v="0"/>
    <x v="0"/>
    <s v="Regular"/>
  </r>
  <r>
    <n v="1579"/>
    <s v="FamilyFood Express"/>
    <d v="2024-10-09T00:00:00"/>
    <s v="Produce"/>
    <s v="Potatoes"/>
    <n v="4"/>
    <n v="5.58"/>
    <n v="22.32"/>
    <s v="Low"/>
    <n v="4.46"/>
    <n v="17.86"/>
    <x v="7"/>
    <n v="2024"/>
    <n v="424"/>
    <x v="0"/>
    <s v="Wednesday"/>
    <x v="1"/>
    <x v="1"/>
    <s v="Regular"/>
  </r>
  <r>
    <n v="5285"/>
    <s v="FamilyFood Express"/>
    <d v="2024-05-12T00:00:00"/>
    <s v="Snacks &amp; Candy"/>
    <s v="Bread"/>
    <n v="3"/>
    <n v="7.34"/>
    <n v="22.02"/>
    <s v="Low"/>
    <n v="4.4000000000000004"/>
    <n v="17.619999999999997"/>
    <x v="3"/>
    <n v="2024"/>
    <n v="242"/>
    <x v="0"/>
    <s v="Sunday"/>
    <x v="1"/>
    <x v="0"/>
    <s v="Regular"/>
  </r>
  <r>
    <n v="6900"/>
    <s v="ValuePlus Market"/>
    <d v="2023-09-19T00:00:00"/>
    <s v="Household Items"/>
    <s v="Yogurt"/>
    <n v="1"/>
    <n v="21.37"/>
    <n v="21.37"/>
    <s v="Low"/>
    <n v="4.2699999999999996"/>
    <n v="17.100000000000001"/>
    <x v="1"/>
    <n v="2023"/>
    <n v="38"/>
    <x v="1"/>
    <s v="Tuesday"/>
    <x v="0"/>
    <x v="1"/>
    <s v="Regular"/>
  </r>
  <r>
    <n v="9972"/>
    <s v="QuickStop Market"/>
    <d v="2025-07-08T00:00:00"/>
    <s v="Snacks &amp; Candy"/>
    <s v="Carrots"/>
    <n v="2"/>
    <n v="10.11"/>
    <n v="20.22"/>
    <s v="Low"/>
    <n v="4.04"/>
    <n v="16.18"/>
    <x v="2"/>
    <n v="2025"/>
    <n v="200"/>
    <x v="0"/>
    <s v="Tuesday"/>
    <x v="0"/>
    <x v="1"/>
    <s v="Regular"/>
  </r>
  <r>
    <n v="1207"/>
    <s v="GreenGrocer Plaza"/>
    <d v="2025-02-06T00:00:00"/>
    <s v="Canned Goods"/>
    <s v="Potatoes"/>
    <n v="1"/>
    <n v="19.02"/>
    <n v="19.02"/>
    <s v="Low"/>
    <n v="3.8"/>
    <n v="15.219999999999999"/>
    <x v="4"/>
    <n v="2025"/>
    <n v="302"/>
    <x v="0"/>
    <s v="Thursday"/>
    <x v="0"/>
    <x v="1"/>
    <s v="Regular"/>
  </r>
  <r>
    <n v="6378"/>
    <s v="FamilyFood Express"/>
    <d v="2024-03-10T00:00:00"/>
    <s v="Meat &amp; Seafood"/>
    <s v="Chicken Breast"/>
    <n v="1"/>
    <n v="9.41"/>
    <n v="9.41"/>
    <s v="Low"/>
    <n v="1.88"/>
    <n v="7.53"/>
    <x v="6"/>
    <n v="2024"/>
    <n v="196"/>
    <x v="2"/>
    <s v="Sunday"/>
    <x v="0"/>
    <x v="0"/>
    <s v="Regular"/>
  </r>
  <r>
    <n v="8239"/>
    <s v="SuperSave Central"/>
    <d v="2024-10-08T00:00:00"/>
    <s v="Frozen Foods"/>
    <s v="Cheese"/>
    <n v="1"/>
    <n v="18.82"/>
    <n v="18.82"/>
    <s v="Low"/>
    <n v="3.76"/>
    <n v="15.06"/>
    <x v="7"/>
    <n v="2024"/>
    <n v="123"/>
    <x v="2"/>
    <s v="Tuesday"/>
    <x v="0"/>
    <x v="1"/>
    <s v="Regular"/>
  </r>
  <r>
    <n v="1986"/>
    <s v="MegaMart Westside"/>
    <d v="2024-11-22T00:00:00"/>
    <s v="Meat &amp; Seafood"/>
    <s v="Pasta"/>
    <n v="1"/>
    <n v="9.26"/>
    <n v="9.26"/>
    <s v="Low"/>
    <n v="1.85"/>
    <n v="7.41"/>
    <x v="0"/>
    <n v="2024"/>
    <n v="197"/>
    <x v="2"/>
    <s v="Friday"/>
    <x v="0"/>
    <x v="1"/>
    <s v="Regular"/>
  </r>
  <r>
    <n v="8579"/>
    <s v="City Fresh Store"/>
    <d v="2024-02-17T00:00:00"/>
    <s v="Frozen Foods"/>
    <s v="Cereal"/>
    <n v="1"/>
    <n v="14.57"/>
    <n v="14.57"/>
    <s v="Low"/>
    <n v="2.91"/>
    <n v="11.66"/>
    <x v="4"/>
    <n v="2024"/>
    <n v="38"/>
    <x v="1"/>
    <s v="Saturday"/>
    <x v="0"/>
    <x v="0"/>
    <s v="Regular"/>
  </r>
  <r>
    <n v="7567"/>
    <s v="GreenGrocer Plaza"/>
    <d v="2025-01-07T00:00:00"/>
    <s v="Personal Care"/>
    <s v="Cereal"/>
    <n v="1"/>
    <n v="6.86"/>
    <n v="6.86"/>
    <s v="Low"/>
    <n v="1.37"/>
    <n v="5.49"/>
    <x v="8"/>
    <n v="2025"/>
    <n v="245"/>
    <x v="0"/>
    <s v="Tuesday"/>
    <x v="0"/>
    <x v="1"/>
    <s v="Regular"/>
  </r>
  <r>
    <n v="6582"/>
    <s v="FamilyFood Express"/>
    <d v="2023-12-28T00:00:00"/>
    <s v="Bakery"/>
    <s v="Eggs"/>
    <n v="1"/>
    <n v="13.27"/>
    <n v="13.27"/>
    <s v="Low"/>
    <n v="2.65"/>
    <n v="10.62"/>
    <x v="11"/>
    <n v="2023"/>
    <n v="349"/>
    <x v="0"/>
    <s v="Thursday"/>
    <x v="0"/>
    <x v="1"/>
    <s v="Regular"/>
  </r>
  <r>
    <n v="2143"/>
    <s v="Corner Grocery"/>
    <d v="2024-03-08T00:00:00"/>
    <s v="Health &amp; Wellness"/>
    <s v="Carrots"/>
    <n v="2"/>
    <n v="5.66"/>
    <n v="11.32"/>
    <s v="Low"/>
    <n v="2.2599999999999998"/>
    <n v="9.06"/>
    <x v="6"/>
    <n v="2024"/>
    <n v="113"/>
    <x v="2"/>
    <s v="Friday"/>
    <x v="0"/>
    <x v="1"/>
    <s v="Regular"/>
  </r>
  <r>
    <n v="6848"/>
    <s v="City Fresh Store"/>
    <d v="2025-06-06T00:00:00"/>
    <s v="Personal Care"/>
    <s v="Potatoes"/>
    <n v="1"/>
    <n v="5.46"/>
    <n v="5.46"/>
    <s v="Low"/>
    <n v="1.0900000000000001"/>
    <n v="4.37"/>
    <x v="10"/>
    <n v="2025"/>
    <n v="186"/>
    <x v="2"/>
    <s v="Friday"/>
    <x v="0"/>
    <x v="1"/>
    <s v="Regular"/>
  </r>
  <r>
    <n v="9700"/>
    <s v="SuperSave Central"/>
    <d v="2024-01-29T00:00:00"/>
    <s v="Snacks &amp; Candy"/>
    <s v="Chicken Breast"/>
    <n v="4"/>
    <n v="1.19"/>
    <n v="4.76"/>
    <s v="Low"/>
    <n v="0.95"/>
    <n v="3.8099999999999996"/>
    <x v="8"/>
    <n v="2024"/>
    <n v="393"/>
    <x v="0"/>
    <s v="Monday"/>
    <x v="1"/>
    <x v="1"/>
    <s v="Regular"/>
  </r>
  <r>
    <n v="1197"/>
    <s v="City Fresh Store"/>
    <d v="2024-05-13T00:00:00"/>
    <s v="Beverages"/>
    <s v="Chicken Breast"/>
    <n v="1"/>
    <n v="7.62"/>
    <n v="7.62"/>
    <s v="Low"/>
    <n v="1.52"/>
    <n v="6.1"/>
    <x v="3"/>
    <n v="2024"/>
    <n v="426"/>
    <x v="0"/>
    <s v="Monday"/>
    <x v="0"/>
    <x v="1"/>
    <s v="Regular"/>
  </r>
  <r>
    <n v="3332"/>
    <s v="ValuePlus Market"/>
    <d v="2025-02-09T00:00:00"/>
    <s v="Produce"/>
    <s v="Rice"/>
    <n v="1"/>
    <n v="7.27"/>
    <n v="7.27"/>
    <s v="Low"/>
    <n v="1.45"/>
    <n v="5.8199999999999994"/>
    <x v="4"/>
    <n v="2025"/>
    <n v="92"/>
    <x v="3"/>
    <s v="Sunday"/>
    <x v="0"/>
    <x v="0"/>
    <s v="Regular"/>
  </r>
  <r>
    <n v="3153"/>
    <s v="SuperSave Central"/>
    <d v="2023-10-16T00:00:00"/>
    <s v="Beverages"/>
    <s v="Bananas"/>
    <n v="2"/>
    <n v="3.61"/>
    <n v="7.22"/>
    <s v="Low"/>
    <n v="1.44"/>
    <n v="5.7799999999999994"/>
    <x v="7"/>
    <n v="2023"/>
    <n v="7"/>
    <x v="1"/>
    <s v="Monday"/>
    <x v="0"/>
    <x v="1"/>
    <s v="Regular"/>
  </r>
  <r>
    <n v="7288"/>
    <s v="GreenGrocer Plaza"/>
    <d v="2025-03-15T00:00:00"/>
    <s v="Meat &amp; Seafood"/>
    <s v="Milk"/>
    <n v="4"/>
    <n v="1.68"/>
    <n v="6.72"/>
    <s v="Low"/>
    <n v="1.34"/>
    <n v="5.38"/>
    <x v="6"/>
    <n v="2025"/>
    <n v="85"/>
    <x v="3"/>
    <s v="Saturday"/>
    <x v="1"/>
    <x v="0"/>
    <s v="Regular"/>
  </r>
  <r>
    <n v="8412"/>
    <s v="Unknown Store"/>
    <d v="2024-04-10T00:00:00"/>
    <s v="Household Items"/>
    <s v="Salmon"/>
    <n v="1"/>
    <n v="3.21"/>
    <n v="3.21"/>
    <s v="Low"/>
    <n v="0.64"/>
    <n v="2.57"/>
    <x v="9"/>
    <n v="2024"/>
    <n v="190"/>
    <x v="2"/>
    <s v="Wednesday"/>
    <x v="0"/>
    <x v="1"/>
    <s v="Regular"/>
  </r>
  <r>
    <n v="3815"/>
    <s v="QuickStop Market"/>
    <d v="2025-04-20T00:00:00"/>
    <s v="Canned Goods"/>
    <s v="Salmon"/>
    <n v="1"/>
    <n v="4.0199999999999996"/>
    <n v="4.0199999999999996"/>
    <s v="Low"/>
    <n v="0.8"/>
    <n v="3.2199999999999998"/>
    <x v="9"/>
    <n v="2025"/>
    <n v="26"/>
    <x v="1"/>
    <s v="Sunday"/>
    <x v="0"/>
    <x v="0"/>
    <s v="Regular"/>
  </r>
  <r>
    <n v="5005"/>
    <s v="City Fresh Store"/>
    <d v="2023-10-12T00:00:00"/>
    <s v="Frozen Foods"/>
    <s v="Ground Beef"/>
    <n v="1"/>
    <n v="20.239999999999998"/>
    <n v="20.239999999999998"/>
    <s v="Low"/>
    <n v="4.0199999999999996"/>
    <n v="16.22"/>
    <x v="7"/>
    <n v="2023"/>
    <n v="75"/>
    <x v="3"/>
    <s v="Thursday"/>
    <x v="0"/>
    <x v="1"/>
    <s v="Regular"/>
  </r>
  <r>
    <n v="9031"/>
    <s v="FreshMart Downtown"/>
    <d v="2023-10-27T00:00:00"/>
    <s v="Frozen Foods"/>
    <s v="Apples"/>
    <n v="1"/>
    <n v="1.36"/>
    <n v="1.36"/>
    <s v="Low"/>
    <n v="0.27"/>
    <n v="1.0900000000000001"/>
    <x v="7"/>
    <n v="2023"/>
    <n v="70"/>
    <x v="3"/>
    <s v="Friday"/>
    <x v="0"/>
    <x v="1"/>
    <s v="Regular"/>
  </r>
  <r>
    <n v="6095"/>
    <s v="ValuePlus Market"/>
    <d v="2025-01-24T00:00:00"/>
    <s v="Beverages"/>
    <s v="Eggs"/>
    <n v="1"/>
    <n v="2.72"/>
    <n v="2.72"/>
    <s v="Low"/>
    <n v="0.54"/>
    <n v="2.1800000000000002"/>
    <x v="8"/>
    <n v="2025"/>
    <n v="178"/>
    <x v="2"/>
    <s v="Friday"/>
    <x v="0"/>
    <x v="1"/>
    <s v="Regular"/>
  </r>
  <r>
    <n v="3937"/>
    <s v="SuperSave Central"/>
    <d v="2023-10-29T00:00:00"/>
    <s v="Snacks &amp; Candy"/>
    <s v="Cheese"/>
    <n v="5"/>
    <n v="4.99"/>
    <n v="24.95"/>
    <s v="Low"/>
    <n v="4.93"/>
    <n v="20.02"/>
    <x v="7"/>
    <n v="2023"/>
    <n v="224"/>
    <x v="0"/>
    <s v="Sunday"/>
    <x v="1"/>
    <x v="0"/>
    <s v="Regular"/>
  </r>
  <r>
    <n v="3545"/>
    <s v="ValuePlus Market"/>
    <d v="2024-09-26T00:00:00"/>
    <s v="Health &amp; Wellness"/>
    <s v="Milk"/>
    <n v="1"/>
    <n v="23.81"/>
    <n v="23.81"/>
    <s v="Low"/>
    <n v="4.68"/>
    <n v="19.13"/>
    <x v="1"/>
    <n v="2024"/>
    <n v="43"/>
    <x v="1"/>
    <s v="Thursday"/>
    <x v="0"/>
    <x v="1"/>
    <s v="Regular"/>
  </r>
  <r>
    <n v="3258"/>
    <s v="GreenGrocer Plaza"/>
    <d v="2024-10-26T00:00:00"/>
    <s v="Canned Goods"/>
    <s v="Ground Beef"/>
    <n v="3"/>
    <n v="6.98"/>
    <n v="20.94"/>
    <s v="Low"/>
    <n v="4.1100000000000003"/>
    <n v="16.830000000000002"/>
    <x v="7"/>
    <n v="2024"/>
    <n v="76"/>
    <x v="3"/>
    <s v="Saturday"/>
    <x v="1"/>
    <x v="0"/>
    <s v="Regular"/>
  </r>
  <r>
    <n v="3683"/>
    <s v="FamilyFood Express"/>
    <d v="2024-04-04T00:00:00"/>
    <s v="Snacks &amp; Candy"/>
    <s v="Bread"/>
    <n v="1"/>
    <n v="1.02"/>
    <n v="1.02"/>
    <s v="Low"/>
    <n v="0.2"/>
    <n v="0.82000000000000006"/>
    <x v="9"/>
    <n v="2024"/>
    <n v="244"/>
    <x v="0"/>
    <s v="Thursday"/>
    <x v="0"/>
    <x v="1"/>
    <s v="Regular"/>
  </r>
  <r>
    <n v="1224"/>
    <s v="MegaMart Westside"/>
    <d v="2024-10-08T00:00:00"/>
    <s v="Canned Goods"/>
    <s v="Orange Juice"/>
    <n v="3"/>
    <n v="7.32"/>
    <n v="21.96"/>
    <s v="Low"/>
    <n v="4.29"/>
    <n v="17.670000000000002"/>
    <x v="7"/>
    <n v="2024"/>
    <n v="385"/>
    <x v="0"/>
    <s v="Tuesday"/>
    <x v="1"/>
    <x v="1"/>
    <s v="Regular"/>
  </r>
  <r>
    <n v="3927"/>
    <s v="FamilyFood Express"/>
    <d v="2024-09-04T00:00:00"/>
    <s v="Dairy"/>
    <s v="Ground Beef"/>
    <n v="1"/>
    <n v="21.21"/>
    <n v="21.21"/>
    <s v="Low"/>
    <n v="4.13"/>
    <n v="17.080000000000002"/>
    <x v="1"/>
    <n v="2024"/>
    <n v="154"/>
    <x v="2"/>
    <s v="Wednesday"/>
    <x v="0"/>
    <x v="1"/>
    <s v="Regular"/>
  </r>
  <r>
    <n v="3230"/>
    <s v="GreenGrocer Plaza"/>
    <d v="2024-03-27T00:00:00"/>
    <s v="Bakery"/>
    <s v="Pasta"/>
    <n v="2"/>
    <n v="8.6199999999999992"/>
    <n v="17.239999999999998"/>
    <s v="Low"/>
    <n v="3.35"/>
    <n v="13.889999999999999"/>
    <x v="6"/>
    <n v="2024"/>
    <n v="52"/>
    <x v="3"/>
    <s v="Wednesday"/>
    <x v="0"/>
    <x v="1"/>
    <s v="Regular"/>
  </r>
  <r>
    <n v="2880"/>
    <s v="FreshMart Downtown"/>
    <d v="2024-10-02T00:00:00"/>
    <s v="Produce"/>
    <s v="Salmon"/>
    <n v="3"/>
    <n v="7.06"/>
    <n v="21.18"/>
    <s v="Low"/>
    <n v="4.0599999999999996"/>
    <n v="17.12"/>
    <x v="7"/>
    <n v="2024"/>
    <n v="396"/>
    <x v="0"/>
    <s v="Wednesday"/>
    <x v="1"/>
    <x v="1"/>
    <s v="Regular"/>
  </r>
  <r>
    <n v="8793"/>
    <s v="ValuePlus Market"/>
    <d v="2024-08-11T00:00:00"/>
    <s v="Produce"/>
    <s v="Ground Beef"/>
    <n v="1"/>
    <n v="20.66"/>
    <n v="20.66"/>
    <s v="Low"/>
    <n v="3.95"/>
    <n v="16.71"/>
    <x v="5"/>
    <n v="2024"/>
    <n v="175"/>
    <x v="2"/>
    <s v="Sunday"/>
    <x v="0"/>
    <x v="0"/>
    <s v="Regular"/>
  </r>
  <r>
    <n v="5844"/>
    <s v="FamilyFood Express"/>
    <d v="2024-10-10T00:00:00"/>
    <s v="Personal Care"/>
    <s v="Milk"/>
    <n v="2"/>
    <n v="13.11"/>
    <n v="26.22"/>
    <s v="Low"/>
    <n v="4.99"/>
    <n v="21.229999999999997"/>
    <x v="7"/>
    <n v="2024"/>
    <n v="428"/>
    <x v="0"/>
    <s v="Thursday"/>
    <x v="0"/>
    <x v="1"/>
    <s v="Regular"/>
  </r>
  <r>
    <n v="7046"/>
    <s v="FamilyFood Express"/>
    <d v="2024-08-08T00:00:00"/>
    <s v="Frozen Foods"/>
    <s v="Onions"/>
    <n v="1"/>
    <n v="23.15"/>
    <n v="23.15"/>
    <s v="Low"/>
    <n v="4.3899999999999997"/>
    <n v="18.759999999999998"/>
    <x v="5"/>
    <n v="2024"/>
    <n v="485"/>
    <x v="0"/>
    <s v="Thursday"/>
    <x v="0"/>
    <x v="1"/>
    <s v="Regular"/>
  </r>
  <r>
    <n v="4912"/>
    <s v="FamilyFood Express"/>
    <d v="2024-10-24T00:00:00"/>
    <s v="Household Items"/>
    <s v="Apples"/>
    <n v="5"/>
    <n v="5.0599999999999996"/>
    <n v="25.3"/>
    <s v="Low"/>
    <n v="4.79"/>
    <n v="20.51"/>
    <x v="7"/>
    <n v="2024"/>
    <n v="81"/>
    <x v="3"/>
    <s v="Thursday"/>
    <x v="1"/>
    <x v="1"/>
    <s v="Regular"/>
  </r>
  <r>
    <n v="4978"/>
    <s v="Corner Grocery"/>
    <d v="2023-10-25T00:00:00"/>
    <s v="Canned Goods"/>
    <s v="Eggs"/>
    <n v="2"/>
    <n v="9.02"/>
    <n v="18.04"/>
    <s v="Low"/>
    <n v="3.4"/>
    <n v="14.639999999999999"/>
    <x v="7"/>
    <n v="2023"/>
    <n v="43"/>
    <x v="1"/>
    <s v="Wednesday"/>
    <x v="0"/>
    <x v="1"/>
    <s v="Regular"/>
  </r>
  <r>
    <n v="2934"/>
    <s v="GreenGrocer Plaza"/>
    <d v="2025-03-28T00:00:00"/>
    <s v="Bakery"/>
    <s v="Bread"/>
    <n v="2"/>
    <n v="11.82"/>
    <n v="23.64"/>
    <s v="Low"/>
    <n v="4.45"/>
    <n v="19.190000000000001"/>
    <x v="6"/>
    <n v="2025"/>
    <n v="78"/>
    <x v="3"/>
    <s v="Friday"/>
    <x v="0"/>
    <x v="1"/>
    <s v="Regular"/>
  </r>
  <r>
    <n v="5402"/>
    <s v="ValuePlus Market"/>
    <d v="2024-12-06T00:00:00"/>
    <s v="Personal Care"/>
    <s v="Pasta"/>
    <n v="2"/>
    <n v="10.5"/>
    <n v="21"/>
    <s v="Low"/>
    <n v="3.95"/>
    <n v="17.05"/>
    <x v="11"/>
    <n v="2024"/>
    <n v="191"/>
    <x v="2"/>
    <s v="Friday"/>
    <x v="0"/>
    <x v="1"/>
    <s v="Regular"/>
  </r>
  <r>
    <n v="8912"/>
    <s v="QuickStop Market"/>
    <d v="2024-05-03T00:00:00"/>
    <s v="Health &amp; Wellness"/>
    <s v="Milk"/>
    <n v="5"/>
    <n v="4.2300000000000004"/>
    <n v="21.15"/>
    <s v="Low"/>
    <n v="3.95"/>
    <n v="17.2"/>
    <x v="3"/>
    <n v="2024"/>
    <n v="374"/>
    <x v="0"/>
    <s v="Friday"/>
    <x v="1"/>
    <x v="1"/>
    <s v="Regular"/>
  </r>
  <r>
    <n v="7626"/>
    <s v="Corner Grocery"/>
    <d v="2025-02-08T00:00:00"/>
    <s v="Produce"/>
    <s v="Onions"/>
    <n v="2"/>
    <n v="6.56"/>
    <n v="13.12"/>
    <s v="Low"/>
    <n v="2.4500000000000002"/>
    <n v="10.669999999999998"/>
    <x v="4"/>
    <n v="2025"/>
    <n v="271"/>
    <x v="0"/>
    <s v="Saturday"/>
    <x v="0"/>
    <x v="0"/>
    <s v="Regular"/>
  </r>
  <r>
    <n v="8717"/>
    <s v="ValuePlus Market"/>
    <d v="2025-03-27T00:00:00"/>
    <s v="Canned Goods"/>
    <s v="Milk"/>
    <n v="1"/>
    <n v="20.85"/>
    <n v="20.85"/>
    <s v="Low"/>
    <n v="3.88"/>
    <n v="16.970000000000002"/>
    <x v="6"/>
    <n v="2025"/>
    <n v="209"/>
    <x v="0"/>
    <s v="Thursday"/>
    <x v="0"/>
    <x v="1"/>
    <s v="Regular"/>
  </r>
  <r>
    <n v="4185"/>
    <s v="QuickStop Market"/>
    <d v="2025-02-14T00:00:00"/>
    <s v="Meat &amp; Seafood"/>
    <s v="Carrots"/>
    <n v="2"/>
    <n v="12.98"/>
    <n v="25.96"/>
    <s v="Low"/>
    <n v="4.79"/>
    <n v="21.17"/>
    <x v="4"/>
    <n v="2025"/>
    <n v="140"/>
    <x v="2"/>
    <s v="Friday"/>
    <x v="0"/>
    <x v="1"/>
    <s v="Regular"/>
  </r>
  <r>
    <n v="4611"/>
    <s v="Corner Grocery"/>
    <d v="2024-07-20T00:00:00"/>
    <s v="Household Items"/>
    <s v="Tomatoes"/>
    <n v="3"/>
    <n v="7.35"/>
    <n v="22.05"/>
    <s v="Low"/>
    <n v="4.0199999999999996"/>
    <n v="18.03"/>
    <x v="2"/>
    <n v="2024"/>
    <n v="70"/>
    <x v="3"/>
    <s v="Saturday"/>
    <x v="1"/>
    <x v="0"/>
    <s v="Regular"/>
  </r>
  <r>
    <n v="3615"/>
    <s v="MegaMart Westside"/>
    <d v="2025-01-30T00:00:00"/>
    <s v="Dairy"/>
    <s v="Rice"/>
    <n v="4"/>
    <n v="5.58"/>
    <n v="22.32"/>
    <s v="Low"/>
    <n v="4.05"/>
    <n v="18.27"/>
    <x v="8"/>
    <n v="2025"/>
    <n v="1"/>
    <x v="1"/>
    <s v="Thursday"/>
    <x v="1"/>
    <x v="1"/>
    <s v="Regular"/>
  </r>
  <r>
    <n v="5010"/>
    <s v="City Fresh Store"/>
    <d v="2023-12-11T00:00:00"/>
    <s v="Personal Care"/>
    <s v="Cheese"/>
    <n v="5"/>
    <n v="1.27"/>
    <n v="6.35"/>
    <s v="Low"/>
    <n v="1.1399999999999999"/>
    <n v="5.21"/>
    <x v="11"/>
    <n v="2023"/>
    <n v="38"/>
    <x v="1"/>
    <s v="Monday"/>
    <x v="1"/>
    <x v="1"/>
    <s v="Regular"/>
  </r>
  <r>
    <n v="2646"/>
    <s v="FreshMart Downtown"/>
    <d v="2023-11-23T00:00:00"/>
    <s v="Beverages"/>
    <s v="Chicken Breast"/>
    <n v="5"/>
    <n v="3.63"/>
    <n v="18.149999999999999"/>
    <s v="Low"/>
    <n v="3.25"/>
    <n v="14.899999999999999"/>
    <x v="0"/>
    <n v="2023"/>
    <n v="335"/>
    <x v="0"/>
    <s v="Thursday"/>
    <x v="1"/>
    <x v="1"/>
    <s v="Regular"/>
  </r>
  <r>
    <n v="6277"/>
    <s v="City Fresh Store"/>
    <d v="2025-05-11T00:00:00"/>
    <s v="Beverages"/>
    <s v="Pasta"/>
    <n v="2"/>
    <n v="10.35"/>
    <n v="20.7"/>
    <s v="Low"/>
    <n v="3.67"/>
    <n v="17.03"/>
    <x v="3"/>
    <n v="2025"/>
    <n v="276"/>
    <x v="0"/>
    <s v="Sunday"/>
    <x v="0"/>
    <x v="0"/>
    <s v="Regular"/>
  </r>
  <r>
    <n v="6411"/>
    <s v="Unknown Store"/>
    <d v="2024-12-21T00:00:00"/>
    <s v="Snacks &amp; Candy"/>
    <s v="Yogurt"/>
    <n v="3"/>
    <n v="6.48"/>
    <n v="19.440000000000001"/>
    <s v="Low"/>
    <n v="3.43"/>
    <n v="16.010000000000002"/>
    <x v="11"/>
    <n v="2024"/>
    <n v="90"/>
    <x v="3"/>
    <s v="Saturday"/>
    <x v="1"/>
    <x v="0"/>
    <s v="Regular"/>
  </r>
  <r>
    <n v="2288"/>
    <s v="MegaMart Westside"/>
    <d v="2024-06-09T00:00:00"/>
    <s v="Bakery"/>
    <s v="Rice"/>
    <n v="5"/>
    <n v="5.54"/>
    <n v="27.7"/>
    <s v="Low"/>
    <n v="4.88"/>
    <n v="22.82"/>
    <x v="10"/>
    <n v="2024"/>
    <n v="406"/>
    <x v="0"/>
    <s v="Sunday"/>
    <x v="1"/>
    <x v="0"/>
    <s v="Regular"/>
  </r>
  <r>
    <n v="5781"/>
    <s v="ValuePlus Market"/>
    <d v="2024-06-23T00:00:00"/>
    <s v="Snacks &amp; Candy"/>
    <s v="Bananas"/>
    <n v="1"/>
    <n v="22.53"/>
    <n v="22.53"/>
    <s v="Low"/>
    <n v="3.94"/>
    <n v="18.59"/>
    <x v="10"/>
    <n v="2024"/>
    <n v="277"/>
    <x v="0"/>
    <s v="Sunday"/>
    <x v="0"/>
    <x v="0"/>
    <s v="Regular"/>
  </r>
  <r>
    <n v="3439"/>
    <s v="GreenGrocer Plaza"/>
    <d v="2024-02-10T00:00:00"/>
    <s v="Household Items"/>
    <s v="Bananas"/>
    <n v="2"/>
    <n v="12.97"/>
    <n v="25.94"/>
    <s v="Low"/>
    <n v="4.49"/>
    <n v="21.450000000000003"/>
    <x v="4"/>
    <n v="2024"/>
    <n v="385"/>
    <x v="0"/>
    <s v="Saturday"/>
    <x v="0"/>
    <x v="0"/>
    <s v="Regular"/>
  </r>
  <r>
    <n v="6053"/>
    <s v="QuickStop Market"/>
    <d v="2023-09-11T00:00:00"/>
    <s v="Beverages"/>
    <s v="Bananas"/>
    <n v="4"/>
    <n v="5.31"/>
    <n v="21.24"/>
    <s v="Low"/>
    <n v="3.66"/>
    <n v="17.579999999999998"/>
    <x v="1"/>
    <n v="2023"/>
    <n v="327"/>
    <x v="0"/>
    <s v="Monday"/>
    <x v="1"/>
    <x v="1"/>
    <s v="Regular"/>
  </r>
  <r>
    <n v="6744"/>
    <s v="SuperSave Central"/>
    <d v="2025-06-05T00:00:00"/>
    <s v="Bakery"/>
    <s v="Eggs"/>
    <n v="2"/>
    <n v="9.94"/>
    <n v="19.88"/>
    <s v="Low"/>
    <n v="3.41"/>
    <n v="16.47"/>
    <x v="10"/>
    <n v="2025"/>
    <n v="51"/>
    <x v="3"/>
    <s v="Thursday"/>
    <x v="0"/>
    <x v="1"/>
    <s v="Regular"/>
  </r>
  <r>
    <n v="7044"/>
    <s v="SuperSave Central"/>
    <d v="2024-01-09T00:00:00"/>
    <s v="Beverages"/>
    <s v="Tomatoes"/>
    <n v="5"/>
    <n v="5.54"/>
    <n v="27.7"/>
    <s v="Low"/>
    <n v="4.75"/>
    <n v="22.95"/>
    <x v="8"/>
    <n v="2024"/>
    <n v="227"/>
    <x v="0"/>
    <s v="Tuesday"/>
    <x v="1"/>
    <x v="1"/>
    <s v="Regular"/>
  </r>
  <r>
    <n v="9281"/>
    <s v="GreenGrocer Plaza"/>
    <d v="2024-01-11T00:00:00"/>
    <s v="Canned Goods"/>
    <s v="Cheese"/>
    <n v="5"/>
    <n v="3.92"/>
    <n v="19.600000000000001"/>
    <s v="Low"/>
    <n v="3.35"/>
    <n v="16.25"/>
    <x v="8"/>
    <n v="2024"/>
    <n v="413"/>
    <x v="0"/>
    <s v="Thursday"/>
    <x v="1"/>
    <x v="1"/>
    <s v="Regular"/>
  </r>
  <r>
    <n v="7293"/>
    <s v="SuperSave Central"/>
    <d v="2025-06-08T00:00:00"/>
    <s v="Produce"/>
    <s v="Cheese"/>
    <n v="5"/>
    <n v="4.1100000000000003"/>
    <n v="20.55"/>
    <s v="Low"/>
    <n v="3.51"/>
    <n v="17.04"/>
    <x v="10"/>
    <n v="2025"/>
    <n v="167"/>
    <x v="2"/>
    <s v="Sunday"/>
    <x v="1"/>
    <x v="0"/>
    <s v="Regular"/>
  </r>
  <r>
    <n v="9025"/>
    <s v="SuperSave Central"/>
    <d v="2025-02-07T00:00:00"/>
    <s v="Personal Care"/>
    <s v="Potatoes"/>
    <n v="1"/>
    <n v="24.06"/>
    <n v="24.06"/>
    <s v="Low"/>
    <n v="4.07"/>
    <n v="19.989999999999998"/>
    <x v="4"/>
    <n v="2025"/>
    <n v="170"/>
    <x v="2"/>
    <s v="Friday"/>
    <x v="0"/>
    <x v="1"/>
    <s v="Regular"/>
  </r>
  <r>
    <n v="1964"/>
    <s v="SuperSave Central"/>
    <d v="2024-01-31T00:00:00"/>
    <s v="Frozen Foods"/>
    <s v="Onions"/>
    <n v="1"/>
    <n v="17.010000000000002"/>
    <n v="17.010000000000002"/>
    <s v="Low"/>
    <n v="2.85"/>
    <n v="14.160000000000002"/>
    <x v="8"/>
    <n v="2024"/>
    <n v="47"/>
    <x v="1"/>
    <s v="Wednesday"/>
    <x v="0"/>
    <x v="1"/>
    <s v="Regular"/>
  </r>
  <r>
    <n v="8798"/>
    <s v="Corner Grocery"/>
    <d v="2023-09-19T00:00:00"/>
    <s v="Snacks &amp; Candy"/>
    <s v="Milk"/>
    <n v="1"/>
    <n v="17.04"/>
    <n v="17.04"/>
    <s v="Low"/>
    <n v="2.85"/>
    <n v="14.19"/>
    <x v="1"/>
    <n v="2023"/>
    <n v="487"/>
    <x v="0"/>
    <s v="Tuesday"/>
    <x v="0"/>
    <x v="1"/>
    <s v="Regular"/>
  </r>
  <r>
    <n v="2526"/>
    <s v="SuperSave Central"/>
    <d v="2025-02-24T00:00:00"/>
    <s v="Household Items"/>
    <s v="Carrots"/>
    <n v="5"/>
    <n v="2.35"/>
    <n v="11.75"/>
    <s v="Low"/>
    <n v="1.92"/>
    <n v="9.83"/>
    <x v="4"/>
    <n v="2025"/>
    <n v="272"/>
    <x v="0"/>
    <s v="Monday"/>
    <x v="1"/>
    <x v="1"/>
    <s v="Regular"/>
  </r>
  <r>
    <n v="9796"/>
    <s v="GreenGrocer Plaza"/>
    <d v="2024-11-10T00:00:00"/>
    <s v="Meat &amp; Seafood"/>
    <s v="Orange Juice"/>
    <n v="3"/>
    <n v="5.71"/>
    <n v="17.13"/>
    <s v="Low"/>
    <n v="2.76"/>
    <n v="14.37"/>
    <x v="0"/>
    <n v="2024"/>
    <n v="279"/>
    <x v="0"/>
    <s v="Sunday"/>
    <x v="1"/>
    <x v="0"/>
    <s v="Regular"/>
  </r>
  <r>
    <n v="1132"/>
    <s v="ValuePlus Market"/>
    <d v="2025-01-28T00:00:00"/>
    <s v="Canned Goods"/>
    <s v="Bread"/>
    <n v="2"/>
    <n v="10.32"/>
    <n v="20.64"/>
    <s v="Low"/>
    <n v="3.32"/>
    <n v="17.32"/>
    <x v="8"/>
    <n v="2025"/>
    <n v="423"/>
    <x v="0"/>
    <s v="Tuesday"/>
    <x v="0"/>
    <x v="1"/>
    <s v="Regular"/>
  </r>
  <r>
    <n v="7078"/>
    <s v="ValuePlus Market"/>
    <d v="2025-01-08T00:00:00"/>
    <s v="Bakery"/>
    <s v="Eggs"/>
    <n v="1"/>
    <n v="20.53"/>
    <n v="20.53"/>
    <s v="Low"/>
    <n v="3.3"/>
    <n v="17.23"/>
    <x v="8"/>
    <n v="2025"/>
    <n v="201"/>
    <x v="0"/>
    <s v="Wednesday"/>
    <x v="0"/>
    <x v="1"/>
    <s v="Regular"/>
  </r>
  <r>
    <n v="5093"/>
    <s v="ValuePlus Market"/>
    <d v="2023-10-19T00:00:00"/>
    <s v="Dairy"/>
    <s v="Cheese"/>
    <n v="4"/>
    <n v="1.96"/>
    <n v="7.84"/>
    <s v="Low"/>
    <n v="1.26"/>
    <n v="6.58"/>
    <x v="7"/>
    <n v="2023"/>
    <n v="223"/>
    <x v="0"/>
    <s v="Thursday"/>
    <x v="1"/>
    <x v="1"/>
    <s v="Regular"/>
  </r>
  <r>
    <n v="9849"/>
    <s v="MegaMart Westside"/>
    <d v="2023-10-08T00:00:00"/>
    <s v="Personal Care"/>
    <s v="Tomatoes"/>
    <n v="4"/>
    <n v="6.38"/>
    <n v="25.52"/>
    <s v="Low"/>
    <n v="4.09"/>
    <n v="21.43"/>
    <x v="7"/>
    <n v="2023"/>
    <n v="299"/>
    <x v="0"/>
    <s v="Sunday"/>
    <x v="1"/>
    <x v="0"/>
    <s v="Regular"/>
  </r>
  <r>
    <n v="4891"/>
    <s v="GreenGrocer Plaza"/>
    <d v="2024-07-17T00:00:00"/>
    <s v="Frozen Foods"/>
    <s v="Chicken Breast"/>
    <n v="3"/>
    <n v="5.91"/>
    <n v="17.73"/>
    <s v="Low"/>
    <n v="2.84"/>
    <n v="14.89"/>
    <x v="2"/>
    <n v="2024"/>
    <n v="275"/>
    <x v="0"/>
    <s v="Wednesday"/>
    <x v="1"/>
    <x v="1"/>
    <s v="Regular"/>
  </r>
  <r>
    <n v="9834"/>
    <s v="City Fresh Store"/>
    <d v="2023-11-17T00:00:00"/>
    <s v="Snacks &amp; Candy"/>
    <s v="Tomatoes"/>
    <n v="2"/>
    <n v="15.35"/>
    <n v="30.7"/>
    <s v="Low"/>
    <n v="4.8600000000000003"/>
    <n v="25.84"/>
    <x v="0"/>
    <n v="2023"/>
    <n v="18"/>
    <x v="1"/>
    <s v="Friday"/>
    <x v="0"/>
    <x v="1"/>
    <s v="Regular"/>
  </r>
  <r>
    <n v="5177"/>
    <s v="ValuePlus Market"/>
    <d v="2024-01-11T00:00:00"/>
    <s v="Snacks &amp; Candy"/>
    <s v="Carrots"/>
    <n v="3"/>
    <n v="2.5299999999999998"/>
    <n v="7.59"/>
    <s v="Low"/>
    <n v="1.2"/>
    <n v="6.39"/>
    <x v="8"/>
    <n v="2024"/>
    <n v="139"/>
    <x v="2"/>
    <s v="Thursday"/>
    <x v="1"/>
    <x v="1"/>
    <s v="Regular"/>
  </r>
  <r>
    <n v="7951"/>
    <s v="QuickStop Market"/>
    <d v="2025-01-24T00:00:00"/>
    <s v="Frozen Foods"/>
    <s v="Onions"/>
    <n v="5"/>
    <n v="2.37"/>
    <n v="11.85"/>
    <s v="Low"/>
    <n v="1.86"/>
    <n v="9.99"/>
    <x v="8"/>
    <n v="2025"/>
    <n v="50"/>
    <x v="3"/>
    <s v="Friday"/>
    <x v="1"/>
    <x v="1"/>
    <s v="Regular"/>
  </r>
  <r>
    <n v="6038"/>
    <s v="FamilyFood Express"/>
    <d v="2023-10-26T00:00:00"/>
    <s v="Canned Goods"/>
    <s v="Pasta"/>
    <n v="4"/>
    <n v="4.45"/>
    <n v="17.8"/>
    <s v="Low"/>
    <n v="2.78"/>
    <n v="15.020000000000001"/>
    <x v="7"/>
    <n v="2023"/>
    <n v="146"/>
    <x v="2"/>
    <s v="Thursday"/>
    <x v="1"/>
    <x v="1"/>
    <s v="Regular"/>
  </r>
  <r>
    <n v="8581"/>
    <s v="Unknown Store"/>
    <d v="2024-10-30T00:00:00"/>
    <s v="Bakery"/>
    <s v="Bananas"/>
    <n v="1"/>
    <n v="16.600000000000001"/>
    <n v="16.600000000000001"/>
    <s v="Low"/>
    <n v="2.58"/>
    <n v="14.020000000000001"/>
    <x v="7"/>
    <n v="2024"/>
    <n v="228"/>
    <x v="0"/>
    <s v="Wednesday"/>
    <x v="0"/>
    <x v="1"/>
    <s v="Regular"/>
  </r>
  <r>
    <n v="2070"/>
    <s v="ValuePlus Market"/>
    <d v="2024-06-13T00:00:00"/>
    <s v="Snacks &amp; Candy"/>
    <s v="Chicken Breast"/>
    <n v="4"/>
    <n v="5.33"/>
    <n v="21.32"/>
    <s v="Low"/>
    <n v="3.25"/>
    <n v="18.07"/>
    <x v="10"/>
    <n v="2024"/>
    <n v="290"/>
    <x v="0"/>
    <s v="Thursday"/>
    <x v="1"/>
    <x v="1"/>
    <s v="Regular"/>
  </r>
  <r>
    <n v="4385"/>
    <s v="MegaMart Westside"/>
    <d v="2025-04-29T00:00:00"/>
    <s v="Produce"/>
    <s v="Eggs"/>
    <n v="4"/>
    <n v="4.5599999999999996"/>
    <n v="18.239999999999998"/>
    <s v="Low"/>
    <n v="2.78"/>
    <n v="15.459999999999999"/>
    <x v="9"/>
    <n v="2025"/>
    <n v="485"/>
    <x v="0"/>
    <s v="Tuesday"/>
    <x v="1"/>
    <x v="1"/>
    <s v="Regular"/>
  </r>
  <r>
    <n v="8941"/>
    <s v="SuperSave Central"/>
    <d v="2023-11-09T00:00:00"/>
    <s v="Household Items"/>
    <s v="Pasta"/>
    <n v="1"/>
    <n v="10.58"/>
    <n v="10.58"/>
    <s v="Low"/>
    <n v="1.61"/>
    <n v="8.9700000000000006"/>
    <x v="0"/>
    <n v="2023"/>
    <n v="363"/>
    <x v="0"/>
    <s v="Thursday"/>
    <x v="0"/>
    <x v="1"/>
    <s v="Regular"/>
  </r>
  <r>
    <n v="9592"/>
    <s v="FreshMart Downtown"/>
    <d v="2024-04-10T00:00:00"/>
    <s v="Frozen Foods"/>
    <s v="Milk"/>
    <n v="1"/>
    <n v="2.38"/>
    <n v="2.38"/>
    <s v="Low"/>
    <n v="0.36"/>
    <n v="2.02"/>
    <x v="9"/>
    <n v="2024"/>
    <n v="155"/>
    <x v="2"/>
    <s v="Wednesday"/>
    <x v="0"/>
    <x v="1"/>
    <s v="Regular"/>
  </r>
  <r>
    <n v="7070"/>
    <s v="FamilyFood Express"/>
    <d v="2024-01-22T00:00:00"/>
    <s v="Household Items"/>
    <s v="Eggs"/>
    <n v="3"/>
    <n v="1.39"/>
    <n v="4.17"/>
    <s v="Low"/>
    <n v="0.63"/>
    <n v="3.54"/>
    <x v="8"/>
    <n v="2024"/>
    <n v="355"/>
    <x v="0"/>
    <s v="Monday"/>
    <x v="1"/>
    <x v="1"/>
    <s v="Regular"/>
  </r>
  <r>
    <n v="1241"/>
    <s v="City Fresh Store"/>
    <d v="2023-10-18T00:00:00"/>
    <s v="Frozen Foods"/>
    <s v="Cheese"/>
    <n v="1"/>
    <n v="5.04"/>
    <n v="5.04"/>
    <s v="Low"/>
    <n v="0.76"/>
    <n v="4.28"/>
    <x v="7"/>
    <n v="2023"/>
    <n v="484"/>
    <x v="0"/>
    <s v="Wednesday"/>
    <x v="0"/>
    <x v="1"/>
    <s v="Regular"/>
  </r>
  <r>
    <n v="4389"/>
    <s v="QuickStop Market"/>
    <d v="2024-09-14T00:00:00"/>
    <s v="Produce"/>
    <s v="Onions"/>
    <n v="3"/>
    <n v="6.17"/>
    <n v="18.510000000000002"/>
    <s v="Low"/>
    <n v="2.79"/>
    <n v="15.720000000000002"/>
    <x v="1"/>
    <n v="2024"/>
    <n v="182"/>
    <x v="2"/>
    <s v="Saturday"/>
    <x v="1"/>
    <x v="0"/>
    <s v="Regular"/>
  </r>
  <r>
    <n v="4696"/>
    <s v="City Fresh Store"/>
    <d v="2025-06-05T00:00:00"/>
    <s v="Frozen Foods"/>
    <s v="Onions"/>
    <n v="2"/>
    <n v="2.99"/>
    <n v="5.98"/>
    <s v="Low"/>
    <n v="0.9"/>
    <n v="5.08"/>
    <x v="10"/>
    <n v="2025"/>
    <n v="79"/>
    <x v="3"/>
    <s v="Thursday"/>
    <x v="0"/>
    <x v="1"/>
    <s v="Regular"/>
  </r>
  <r>
    <n v="4249"/>
    <s v="City Fresh Store"/>
    <d v="2023-10-05T00:00:00"/>
    <s v="Bakery"/>
    <s v="Bread"/>
    <n v="1"/>
    <n v="5.05"/>
    <n v="5.05"/>
    <s v="Low"/>
    <n v="0.76"/>
    <n v="4.29"/>
    <x v="7"/>
    <n v="2023"/>
    <n v="63"/>
    <x v="3"/>
    <s v="Thursday"/>
    <x v="0"/>
    <x v="1"/>
    <s v="Regular"/>
  </r>
  <r>
    <n v="5637"/>
    <s v="City Fresh Store"/>
    <d v="2024-05-28T00:00:00"/>
    <s v="Frozen Foods"/>
    <s v="Bread"/>
    <n v="3"/>
    <n v="1.44"/>
    <n v="4.32"/>
    <s v="Low"/>
    <n v="0.65"/>
    <n v="3.6700000000000004"/>
    <x v="3"/>
    <n v="2024"/>
    <n v="20"/>
    <x v="1"/>
    <s v="Tuesday"/>
    <x v="1"/>
    <x v="1"/>
    <s v="Regular"/>
  </r>
  <r>
    <n v="7367"/>
    <s v="Corner Grocery"/>
    <d v="2024-07-24T00:00:00"/>
    <s v="Produce"/>
    <s v="Rice"/>
    <n v="5"/>
    <n v="2.1800000000000002"/>
    <n v="10.9"/>
    <s v="Low"/>
    <n v="1.64"/>
    <n v="9.26"/>
    <x v="2"/>
    <n v="2024"/>
    <n v="276"/>
    <x v="0"/>
    <s v="Wednesday"/>
    <x v="1"/>
    <x v="1"/>
    <s v="Regular"/>
  </r>
  <r>
    <n v="1590"/>
    <s v="City Fresh Store"/>
    <d v="2025-05-16T00:00:00"/>
    <s v="Produce"/>
    <s v="Rice"/>
    <n v="2"/>
    <n v="2.2599999999999998"/>
    <n v="4.5199999999999996"/>
    <s v="Low"/>
    <n v="0.68"/>
    <n v="3.8399999999999994"/>
    <x v="3"/>
    <n v="2025"/>
    <n v="102"/>
    <x v="2"/>
    <s v="Friday"/>
    <x v="0"/>
    <x v="1"/>
    <s v="Regular"/>
  </r>
  <r>
    <n v="9346"/>
    <s v="FamilyFood Express"/>
    <d v="2024-06-12T00:00:00"/>
    <s v="Household Items"/>
    <s v="Orange Juice"/>
    <n v="1"/>
    <n v="2.46"/>
    <n v="2.46"/>
    <s v="Low"/>
    <n v="0.37"/>
    <n v="2.09"/>
    <x v="10"/>
    <n v="2024"/>
    <n v="253"/>
    <x v="0"/>
    <s v="Wednesday"/>
    <x v="0"/>
    <x v="1"/>
    <s v="Regular"/>
  </r>
  <r>
    <n v="3002"/>
    <s v="ValuePlus Market"/>
    <d v="2024-06-21T00:00:00"/>
    <s v="Dairy"/>
    <s v="Tomatoes"/>
    <n v="1"/>
    <n v="10.44"/>
    <n v="10.44"/>
    <s v="Low"/>
    <n v="1.57"/>
    <n v="8.8699999999999992"/>
    <x v="10"/>
    <n v="2024"/>
    <n v="332"/>
    <x v="0"/>
    <s v="Friday"/>
    <x v="0"/>
    <x v="1"/>
    <s v="Regular"/>
  </r>
  <r>
    <n v="5496"/>
    <s v="FamilyFood Express"/>
    <d v="2023-11-12T00:00:00"/>
    <s v="Dairy"/>
    <s v="Chicken Breast"/>
    <n v="1"/>
    <n v="11.44"/>
    <n v="11.44"/>
    <s v="Low"/>
    <n v="1.72"/>
    <n v="9.7199999999999989"/>
    <x v="0"/>
    <n v="2023"/>
    <n v="279"/>
    <x v="0"/>
    <s v="Sunday"/>
    <x v="0"/>
    <x v="0"/>
    <s v="Regular"/>
  </r>
  <r>
    <n v="7937"/>
    <s v="QuickStop Market"/>
    <d v="2024-09-04T00:00:00"/>
    <s v="Personal Care"/>
    <s v="Milk"/>
    <n v="1"/>
    <n v="10.51"/>
    <n v="10.51"/>
    <s v="Low"/>
    <n v="1.58"/>
    <n v="8.93"/>
    <x v="1"/>
    <n v="2024"/>
    <n v="59"/>
    <x v="3"/>
    <s v="Wednesday"/>
    <x v="0"/>
    <x v="1"/>
    <s v="Regular"/>
  </r>
  <r>
    <n v="1627"/>
    <s v="City Fresh Store"/>
    <d v="2024-03-16T00:00:00"/>
    <s v="Dairy"/>
    <s v="Ground Beef"/>
    <n v="2"/>
    <n v="6.52"/>
    <n v="13.04"/>
    <s v="Low"/>
    <n v="1.96"/>
    <n v="11.079999999999998"/>
    <x v="6"/>
    <n v="2024"/>
    <n v="441"/>
    <x v="0"/>
    <s v="Saturday"/>
    <x v="0"/>
    <x v="0"/>
    <s v="Regular"/>
  </r>
  <r>
    <n v="3200"/>
    <s v="Corner Grocery"/>
    <d v="2024-02-28T00:00:00"/>
    <s v="Personal Care"/>
    <s v="Orange Juice"/>
    <n v="1"/>
    <n v="11.51"/>
    <n v="11.51"/>
    <s v="Low"/>
    <n v="1.73"/>
    <n v="9.7799999999999994"/>
    <x v="4"/>
    <n v="2024"/>
    <n v="92"/>
    <x v="3"/>
    <s v="Wednesday"/>
    <x v="0"/>
    <x v="1"/>
    <s v="Regular"/>
  </r>
  <r>
    <n v="6438"/>
    <s v="MegaMart Westside"/>
    <d v="2024-03-06T00:00:00"/>
    <s v="Frozen Foods"/>
    <s v="Carrots"/>
    <n v="2"/>
    <n v="3.46"/>
    <n v="6.92"/>
    <s v="Low"/>
    <n v="1.04"/>
    <n v="5.88"/>
    <x v="6"/>
    <n v="2024"/>
    <n v="190"/>
    <x v="2"/>
    <s v="Wednesday"/>
    <x v="0"/>
    <x v="1"/>
    <s v="Regular"/>
  </r>
  <r>
    <n v="4743"/>
    <s v="MegaMart Westside"/>
    <d v="2024-06-23T00:00:00"/>
    <s v="Produce"/>
    <s v="Pasta"/>
    <n v="4"/>
    <n v="3.51"/>
    <n v="14.04"/>
    <s v="Low"/>
    <n v="2.11"/>
    <n v="11.93"/>
    <x v="10"/>
    <n v="2024"/>
    <n v="449"/>
    <x v="0"/>
    <s v="Sunday"/>
    <x v="1"/>
    <x v="0"/>
    <s v="Regular"/>
  </r>
  <r>
    <n v="7129"/>
    <s v="SuperSave Central"/>
    <d v="2024-06-05T00:00:00"/>
    <s v="Beverages"/>
    <s v="Yogurt"/>
    <n v="1"/>
    <n v="7.12"/>
    <n v="7.12"/>
    <s v="Low"/>
    <n v="1.07"/>
    <n v="6.05"/>
    <x v="10"/>
    <n v="2024"/>
    <n v="222"/>
    <x v="0"/>
    <s v="Wednesday"/>
    <x v="0"/>
    <x v="1"/>
    <s v="Regular"/>
  </r>
  <r>
    <n v="9540"/>
    <s v="GreenGrocer Plaza"/>
    <d v="2024-08-17T00:00:00"/>
    <s v="Personal Care"/>
    <s v="Milk"/>
    <n v="2"/>
    <n v="7.12"/>
    <n v="14.24"/>
    <s v="Low"/>
    <n v="2.14"/>
    <n v="12.1"/>
    <x v="5"/>
    <n v="2024"/>
    <n v="444"/>
    <x v="0"/>
    <s v="Saturday"/>
    <x v="0"/>
    <x v="0"/>
    <s v="Regular"/>
  </r>
  <r>
    <n v="6890"/>
    <s v="GreenGrocer Plaza"/>
    <d v="2025-02-01T00:00:00"/>
    <s v="Health &amp; Wellness"/>
    <s v="Orange Juice"/>
    <n v="1"/>
    <n v="5.59"/>
    <n v="5.59"/>
    <s v="Low"/>
    <n v="0.84"/>
    <n v="4.75"/>
    <x v="4"/>
    <n v="2025"/>
    <n v="243"/>
    <x v="0"/>
    <s v="Saturday"/>
    <x v="0"/>
    <x v="0"/>
    <s v="Regular"/>
  </r>
  <r>
    <n v="5480"/>
    <s v="QuickStop Market"/>
    <d v="2024-03-17T00:00:00"/>
    <s v="Personal Care"/>
    <s v="Pasta"/>
    <n v="5"/>
    <n v="3.86"/>
    <n v="19.3"/>
    <s v="Low"/>
    <n v="2.9"/>
    <n v="16.400000000000002"/>
    <x v="6"/>
    <n v="2024"/>
    <n v="24"/>
    <x v="1"/>
    <s v="Sunday"/>
    <x v="1"/>
    <x v="0"/>
    <s v="Regular"/>
  </r>
  <r>
    <n v="9666"/>
    <s v="QuickStop Market"/>
    <d v="2023-08-13T00:00:00"/>
    <s v="Health &amp; Wellness"/>
    <s v="Eggs"/>
    <n v="3"/>
    <n v="3.35"/>
    <n v="10.050000000000001"/>
    <s v="Low"/>
    <n v="1.51"/>
    <n v="8.5400000000000009"/>
    <x v="5"/>
    <n v="2023"/>
    <n v="339"/>
    <x v="0"/>
    <s v="Sunday"/>
    <x v="1"/>
    <x v="0"/>
    <s v="Regular"/>
  </r>
  <r>
    <n v="9361"/>
    <s v="MegaMart Westside"/>
    <d v="2024-07-18T00:00:00"/>
    <s v="Canned Goods"/>
    <s v="Bread"/>
    <n v="1"/>
    <n v="6.19"/>
    <n v="6.19"/>
    <s v="Low"/>
    <n v="0.93"/>
    <n v="5.2600000000000007"/>
    <x v="2"/>
    <n v="2024"/>
    <n v="395"/>
    <x v="0"/>
    <s v="Thursday"/>
    <x v="0"/>
    <x v="1"/>
    <s v="Regular"/>
  </r>
  <r>
    <n v="1058"/>
    <s v="SuperSave Central"/>
    <d v="2024-04-22T00:00:00"/>
    <s v="Personal Care"/>
    <s v="Carrots"/>
    <n v="4"/>
    <n v="4.21"/>
    <n v="16.84"/>
    <s v="Low"/>
    <n v="2.5299999999999998"/>
    <n v="14.31"/>
    <x v="9"/>
    <n v="2024"/>
    <n v="147"/>
    <x v="2"/>
    <s v="Monday"/>
    <x v="1"/>
    <x v="1"/>
    <s v="Regular"/>
  </r>
  <r>
    <n v="4681"/>
    <s v="MegaMart Westside"/>
    <d v="2023-09-25T00:00:00"/>
    <s v="Canned Goods"/>
    <s v="Chicken Breast"/>
    <n v="2"/>
    <n v="10.55"/>
    <n v="21.1"/>
    <s v="Low"/>
    <n v="3.17"/>
    <n v="17.93"/>
    <x v="1"/>
    <n v="2023"/>
    <n v="355"/>
    <x v="0"/>
    <s v="Monday"/>
    <x v="0"/>
    <x v="1"/>
    <s v="Regular"/>
  </r>
  <r>
    <n v="9751"/>
    <s v="ValuePlus Market"/>
    <d v="2023-11-13T00:00:00"/>
    <s v="Beverages"/>
    <s v="Eggs"/>
    <n v="1"/>
    <n v="11.45"/>
    <n v="11.45"/>
    <s v="Low"/>
    <n v="1.72"/>
    <n v="9.7299999999999986"/>
    <x v="0"/>
    <n v="2023"/>
    <n v="218"/>
    <x v="0"/>
    <s v="Monday"/>
    <x v="0"/>
    <x v="1"/>
    <s v="Regular"/>
  </r>
  <r>
    <n v="6040"/>
    <s v="SuperSave Central"/>
    <d v="2025-04-16T00:00:00"/>
    <s v="Personal Care"/>
    <s v="Ground Beef"/>
    <n v="1"/>
    <n v="12.45"/>
    <n v="12.45"/>
    <s v="Low"/>
    <n v="1.87"/>
    <n v="10.579999999999998"/>
    <x v="9"/>
    <n v="2025"/>
    <n v="275"/>
    <x v="0"/>
    <s v="Wednesday"/>
    <x v="0"/>
    <x v="1"/>
    <s v="Regular"/>
  </r>
  <r>
    <n v="1475"/>
    <s v="QuickStop Market"/>
    <d v="2024-06-04T00:00:00"/>
    <s v="Snacks &amp; Candy"/>
    <s v="Bread"/>
    <n v="1"/>
    <n v="25.1"/>
    <n v="25.1"/>
    <s v="Low"/>
    <n v="3.77"/>
    <n v="21.330000000000002"/>
    <x v="10"/>
    <n v="2024"/>
    <n v="373"/>
    <x v="0"/>
    <s v="Tuesday"/>
    <x v="0"/>
    <x v="1"/>
    <s v="Regular"/>
  </r>
  <r>
    <n v="3131"/>
    <s v="City Fresh Store"/>
    <d v="2024-10-12T00:00:00"/>
    <s v="Beverages"/>
    <s v="Ground Beef"/>
    <n v="2"/>
    <n v="5.16"/>
    <n v="10.32"/>
    <s v="Low"/>
    <n v="1.55"/>
    <n v="8.77"/>
    <x v="7"/>
    <n v="2024"/>
    <n v="458"/>
    <x v="0"/>
    <s v="Saturday"/>
    <x v="0"/>
    <x v="0"/>
    <s v="Regular"/>
  </r>
  <r>
    <n v="4683"/>
    <s v="QuickStop Market"/>
    <d v="2024-09-27T00:00:00"/>
    <s v="Frozen Foods"/>
    <s v="Orange Juice"/>
    <n v="1"/>
    <n v="10.32"/>
    <n v="10.32"/>
    <s v="Low"/>
    <n v="1.55"/>
    <n v="8.77"/>
    <x v="1"/>
    <n v="2024"/>
    <n v="404"/>
    <x v="0"/>
    <s v="Friday"/>
    <x v="0"/>
    <x v="1"/>
    <s v="Regular"/>
  </r>
  <r>
    <n v="3712"/>
    <s v="QuickStop Market"/>
    <d v="2025-02-17T00:00:00"/>
    <s v="Canned Goods"/>
    <s v="Milk"/>
    <n v="1"/>
    <n v="18.11"/>
    <n v="18.11"/>
    <s v="Low"/>
    <n v="2.72"/>
    <n v="15.389999999999999"/>
    <x v="4"/>
    <n v="2025"/>
    <n v="65"/>
    <x v="3"/>
    <s v="Monday"/>
    <x v="0"/>
    <x v="1"/>
    <s v="Regular"/>
  </r>
  <r>
    <n v="6947"/>
    <s v="City Fresh Store"/>
    <d v="2025-06-19T00:00:00"/>
    <s v="Frozen Foods"/>
    <s v="Rice"/>
    <n v="3"/>
    <n v="7.68"/>
    <n v="23.04"/>
    <s v="Low"/>
    <n v="3.46"/>
    <n v="19.579999999999998"/>
    <x v="10"/>
    <n v="2025"/>
    <n v="369"/>
    <x v="0"/>
    <s v="Thursday"/>
    <x v="1"/>
    <x v="1"/>
    <s v="Regular"/>
  </r>
  <r>
    <n v="8710"/>
    <s v="SuperSave Central"/>
    <d v="2024-03-15T00:00:00"/>
    <s v="Bakery"/>
    <s v="Ground Beef"/>
    <n v="4"/>
    <n v="6.11"/>
    <n v="24.44"/>
    <s v="Low"/>
    <n v="3.67"/>
    <n v="20.770000000000003"/>
    <x v="6"/>
    <n v="2024"/>
    <n v="127"/>
    <x v="2"/>
    <s v="Friday"/>
    <x v="1"/>
    <x v="1"/>
    <s v="Regular"/>
  </r>
  <r>
    <n v="6772"/>
    <s v="MegaMart Westside"/>
    <d v="2024-01-24T00:00:00"/>
    <s v="Snacks &amp; Candy"/>
    <s v="Pasta"/>
    <n v="2"/>
    <n v="9.7899999999999991"/>
    <n v="19.579999999999998"/>
    <s v="Low"/>
    <n v="2.94"/>
    <n v="16.639999999999997"/>
    <x v="8"/>
    <n v="2024"/>
    <n v="0"/>
    <x v="1"/>
    <s v="Wednesday"/>
    <x v="0"/>
    <x v="1"/>
    <s v="Regular"/>
  </r>
  <r>
    <n v="1699"/>
    <s v="Corner Grocery"/>
    <d v="2024-07-30T00:00:00"/>
    <s v="Frozen Foods"/>
    <s v="Salmon"/>
    <n v="3"/>
    <n v="9.7899999999999991"/>
    <n v="29.37"/>
    <s v="Low"/>
    <n v="4.41"/>
    <n v="24.96"/>
    <x v="2"/>
    <n v="2024"/>
    <n v="274"/>
    <x v="0"/>
    <s v="Tuesday"/>
    <x v="1"/>
    <x v="1"/>
    <s v="Regular"/>
  </r>
  <r>
    <n v="7010"/>
    <s v="QuickStop Market"/>
    <d v="2024-10-01T00:00:00"/>
    <s v="Produce"/>
    <s v="Eggs"/>
    <n v="1"/>
    <n v="26.24"/>
    <n v="26.24"/>
    <s v="Low"/>
    <n v="3.94"/>
    <n v="22.299999999999997"/>
    <x v="7"/>
    <n v="2024"/>
    <n v="358"/>
    <x v="0"/>
    <s v="Tuesday"/>
    <x v="0"/>
    <x v="1"/>
    <s v="Regular"/>
  </r>
  <r>
    <n v="9289"/>
    <s v="Unknown Store"/>
    <d v="2024-12-21T00:00:00"/>
    <s v="Snacks &amp; Candy"/>
    <s v="Cheese"/>
    <n v="4"/>
    <n v="3.38"/>
    <n v="13.52"/>
    <s v="Low"/>
    <n v="2.0299999999999998"/>
    <n v="11.49"/>
    <x v="11"/>
    <n v="2024"/>
    <n v="274"/>
    <x v="0"/>
    <s v="Saturday"/>
    <x v="1"/>
    <x v="0"/>
    <s v="Regular"/>
  </r>
  <r>
    <n v="4673"/>
    <s v="MegaMart Westside"/>
    <d v="2023-11-09T00:00:00"/>
    <s v="Dairy"/>
    <s v="Eggs"/>
    <n v="1"/>
    <n v="27.64"/>
    <n v="27.64"/>
    <s v="Low"/>
    <n v="4.1500000000000004"/>
    <n v="23.490000000000002"/>
    <x v="0"/>
    <n v="2023"/>
    <n v="226"/>
    <x v="0"/>
    <s v="Thursday"/>
    <x v="0"/>
    <x v="1"/>
    <s v="Regular"/>
  </r>
  <r>
    <n v="3161"/>
    <s v="Corner Grocery"/>
    <d v="2025-06-22T00:00:00"/>
    <s v="Produce"/>
    <s v="Salmon"/>
    <n v="3"/>
    <n v="11.39"/>
    <n v="34.17"/>
    <s v="Medium"/>
    <n v="5.13"/>
    <n v="29.040000000000003"/>
    <x v="10"/>
    <n v="2025"/>
    <n v="349"/>
    <x v="0"/>
    <s v="Sunday"/>
    <x v="1"/>
    <x v="0"/>
    <s v="Regular"/>
  </r>
  <r>
    <n v="7580"/>
    <s v="MegaMart Westside"/>
    <d v="2024-07-03T00:00:00"/>
    <s v="Canned Goods"/>
    <s v="Tomatoes"/>
    <n v="1"/>
    <n v="22.98"/>
    <n v="22.98"/>
    <s v="Low"/>
    <n v="3.45"/>
    <n v="19.53"/>
    <x v="2"/>
    <n v="2024"/>
    <n v="431"/>
    <x v="0"/>
    <s v="Wednesday"/>
    <x v="0"/>
    <x v="1"/>
    <s v="Regular"/>
  </r>
  <r>
    <n v="3587"/>
    <s v="Corner Grocery"/>
    <d v="2024-06-18T00:00:00"/>
    <s v="Meat &amp; Seafood"/>
    <s v="Chicken Breast"/>
    <n v="1"/>
    <n v="23.98"/>
    <n v="23.98"/>
    <s v="Low"/>
    <n v="3.6"/>
    <n v="20.38"/>
    <x v="10"/>
    <n v="2024"/>
    <n v="64"/>
    <x v="3"/>
    <s v="Tuesday"/>
    <x v="0"/>
    <x v="1"/>
    <s v="Regular"/>
  </r>
  <r>
    <n v="9779"/>
    <s v="MegaMart Westside"/>
    <d v="2025-03-21T00:00:00"/>
    <s v="Household Items"/>
    <s v="Ground Beef"/>
    <n v="5"/>
    <n v="4.01"/>
    <n v="20.05"/>
    <s v="Low"/>
    <n v="3.01"/>
    <n v="17.04"/>
    <x v="6"/>
    <n v="2025"/>
    <n v="254"/>
    <x v="0"/>
    <s v="Friday"/>
    <x v="1"/>
    <x v="1"/>
    <s v="Regular"/>
  </r>
  <r>
    <n v="8586"/>
    <s v="City Fresh Store"/>
    <d v="2025-07-17T00:00:00"/>
    <s v="Health &amp; Wellness"/>
    <s v="Eggs"/>
    <n v="5"/>
    <n v="4.05"/>
    <n v="20.25"/>
    <s v="Low"/>
    <n v="3.04"/>
    <n v="17.21"/>
    <x v="2"/>
    <n v="2025"/>
    <n v="66"/>
    <x v="3"/>
    <s v="Thursday"/>
    <x v="1"/>
    <x v="1"/>
    <s v="Regular"/>
  </r>
  <r>
    <n v="8770"/>
    <s v="ValuePlus Market"/>
    <d v="2023-09-28T00:00:00"/>
    <s v="Personal Care"/>
    <s v="Chicken Breast"/>
    <n v="2"/>
    <n v="16.72"/>
    <n v="33.44"/>
    <s v="Medium"/>
    <n v="5.0199999999999996"/>
    <n v="28.419999999999998"/>
    <x v="1"/>
    <n v="2023"/>
    <n v="281"/>
    <x v="0"/>
    <s v="Thursday"/>
    <x v="0"/>
    <x v="1"/>
    <s v="Regular"/>
  </r>
  <r>
    <n v="3198"/>
    <s v="ValuePlus Market"/>
    <d v="2025-05-29T00:00:00"/>
    <s v="Beverages"/>
    <s v="Carrots"/>
    <n v="5"/>
    <n v="8.5"/>
    <n v="42.5"/>
    <s v="Medium"/>
    <n v="6.38"/>
    <n v="36.119999999999997"/>
    <x v="3"/>
    <n v="2025"/>
    <n v="436"/>
    <x v="0"/>
    <s v="Thursday"/>
    <x v="1"/>
    <x v="1"/>
    <s v="Regular"/>
  </r>
  <r>
    <n v="6123"/>
    <s v="Corner Grocery"/>
    <d v="2024-01-01T00:00:00"/>
    <s v="Frozen Foods"/>
    <s v="Potatoes"/>
    <n v="1"/>
    <n v="21.65"/>
    <n v="21.65"/>
    <s v="Low"/>
    <n v="3.25"/>
    <n v="18.399999999999999"/>
    <x v="8"/>
    <n v="2024"/>
    <n v="405"/>
    <x v="0"/>
    <s v="Monday"/>
    <x v="0"/>
    <x v="1"/>
    <s v="Regular"/>
  </r>
  <r>
    <n v="6869"/>
    <s v="SuperSave Central"/>
    <d v="2025-05-28T00:00:00"/>
    <s v="Personal Care"/>
    <s v="Cheese"/>
    <n v="2"/>
    <n v="9.06"/>
    <n v="18.12"/>
    <s v="Low"/>
    <n v="2.72"/>
    <n v="15.4"/>
    <x v="3"/>
    <n v="2025"/>
    <n v="491"/>
    <x v="0"/>
    <s v="Wednesday"/>
    <x v="0"/>
    <x v="1"/>
    <s v="Regular"/>
  </r>
  <r>
    <n v="2124"/>
    <s v="FamilyFood Express"/>
    <d v="2025-04-04T00:00:00"/>
    <s v="Produce"/>
    <s v="Orange Juice"/>
    <n v="5"/>
    <n v="9.14"/>
    <n v="45.7"/>
    <s v="Medium"/>
    <n v="6.86"/>
    <n v="38.840000000000003"/>
    <x v="9"/>
    <n v="2025"/>
    <n v="275"/>
    <x v="0"/>
    <s v="Friday"/>
    <x v="1"/>
    <x v="1"/>
    <s v="Regular"/>
  </r>
  <r>
    <n v="4404"/>
    <s v="FreshMart Downtown"/>
    <d v="2024-12-04T00:00:00"/>
    <s v="Beverages"/>
    <s v="Eggs"/>
    <n v="2"/>
    <n v="18.420000000000002"/>
    <n v="36.840000000000003"/>
    <s v="Medium"/>
    <n v="5.53"/>
    <n v="31.310000000000002"/>
    <x v="11"/>
    <n v="2024"/>
    <n v="4"/>
    <x v="1"/>
    <s v="Wednesday"/>
    <x v="0"/>
    <x v="1"/>
    <s v="Regular"/>
  </r>
  <r>
    <n v="9447"/>
    <s v="QuickStop Market"/>
    <d v="2025-03-11T00:00:00"/>
    <s v="Health &amp; Wellness"/>
    <s v="Carrots"/>
    <n v="3"/>
    <n v="10.77"/>
    <n v="32.31"/>
    <s v="Low"/>
    <n v="4.8499999999999996"/>
    <n v="27.46"/>
    <x v="6"/>
    <n v="2025"/>
    <n v="456"/>
    <x v="0"/>
    <s v="Tuesday"/>
    <x v="1"/>
    <x v="1"/>
    <s v="Regular"/>
  </r>
  <r>
    <n v="1042"/>
    <s v="SuperSave Central"/>
    <d v="2024-03-13T00:00:00"/>
    <s v="Health &amp; Wellness"/>
    <s v="Ground Beef"/>
    <n v="1"/>
    <n v="9.26"/>
    <n v="9.26"/>
    <s v="Low"/>
    <n v="1.39"/>
    <n v="7.87"/>
    <x v="6"/>
    <n v="2024"/>
    <n v="35"/>
    <x v="1"/>
    <s v="Wednesday"/>
    <x v="0"/>
    <x v="1"/>
    <s v="Regular"/>
  </r>
  <r>
    <n v="6514"/>
    <s v="GreenGrocer Plaza"/>
    <d v="2023-10-25T00:00:00"/>
    <s v="Personal Care"/>
    <s v="Eggs"/>
    <n v="2"/>
    <n v="20.12"/>
    <n v="40.24"/>
    <s v="Medium"/>
    <n v="6.04"/>
    <n v="34.200000000000003"/>
    <x v="7"/>
    <n v="2023"/>
    <n v="484"/>
    <x v="0"/>
    <s v="Wednesday"/>
    <x v="0"/>
    <x v="1"/>
    <s v="Regular"/>
  </r>
  <r>
    <n v="3600"/>
    <s v="SuperSave Central"/>
    <d v="2024-05-15T00:00:00"/>
    <s v="Household Items"/>
    <s v="Milk"/>
    <n v="2"/>
    <n v="10.26"/>
    <n v="20.52"/>
    <s v="Low"/>
    <n v="3.08"/>
    <n v="17.439999999999998"/>
    <x v="3"/>
    <n v="2024"/>
    <n v="449"/>
    <x v="0"/>
    <s v="Wednesday"/>
    <x v="0"/>
    <x v="1"/>
    <s v="Regular"/>
  </r>
  <r>
    <n v="1525"/>
    <s v="FreshMart Downtown"/>
    <d v="2025-04-23T00:00:00"/>
    <s v="Health &amp; Wellness"/>
    <s v="Yogurt"/>
    <n v="4"/>
    <n v="10.51"/>
    <n v="42.04"/>
    <s v="Medium"/>
    <n v="6.31"/>
    <n v="35.729999999999997"/>
    <x v="9"/>
    <n v="2025"/>
    <n v="442"/>
    <x v="0"/>
    <s v="Wednesday"/>
    <x v="1"/>
    <x v="1"/>
    <s v="Regular"/>
  </r>
  <r>
    <n v="7483"/>
    <s v="FreshMart Downtown"/>
    <d v="2024-04-21T00:00:00"/>
    <s v="Frozen Foods"/>
    <s v="Yogurt"/>
    <n v="2"/>
    <n v="21.12"/>
    <n v="42.24"/>
    <s v="Medium"/>
    <n v="6.34"/>
    <n v="35.900000000000006"/>
    <x v="9"/>
    <n v="2024"/>
    <n v="275"/>
    <x v="0"/>
    <s v="Sunday"/>
    <x v="0"/>
    <x v="0"/>
    <s v="Regular"/>
  </r>
  <r>
    <n v="9300"/>
    <s v="MegaMart Westside"/>
    <d v="2025-07-24T00:00:00"/>
    <s v="Personal Care"/>
    <s v="Onions"/>
    <n v="3"/>
    <n v="3.62"/>
    <n v="10.86"/>
    <s v="Low"/>
    <n v="1.63"/>
    <n v="9.23"/>
    <x v="2"/>
    <n v="2025"/>
    <n v="395"/>
    <x v="0"/>
    <s v="Thursday"/>
    <x v="1"/>
    <x v="1"/>
    <s v="Regular"/>
  </r>
  <r>
    <n v="3365"/>
    <s v="Corner Grocery"/>
    <d v="2025-04-23T00:00:00"/>
    <s v="Bakery"/>
    <s v="Potatoes"/>
    <n v="1"/>
    <n v="10.86"/>
    <n v="10.86"/>
    <s v="Low"/>
    <n v="1.63"/>
    <n v="9.23"/>
    <x v="9"/>
    <n v="2025"/>
    <n v="416"/>
    <x v="0"/>
    <s v="Wednesday"/>
    <x v="0"/>
    <x v="1"/>
    <s v="Regular"/>
  </r>
  <r>
    <n v="7224"/>
    <s v="GreenGrocer Plaza"/>
    <d v="2025-04-22T00:00:00"/>
    <s v="Produce"/>
    <s v="Salmon"/>
    <n v="5"/>
    <n v="5.53"/>
    <n v="27.65"/>
    <s v="Low"/>
    <n v="4.1500000000000004"/>
    <n v="23.5"/>
    <x v="9"/>
    <n v="2025"/>
    <n v="179"/>
    <x v="2"/>
    <s v="Tuesday"/>
    <x v="1"/>
    <x v="1"/>
    <s v="Regular"/>
  </r>
  <r>
    <n v="6347"/>
    <s v="ValuePlus Market"/>
    <d v="2023-08-30T00:00:00"/>
    <s v="Frozen Foods"/>
    <s v="Cereal"/>
    <n v="1"/>
    <n v="11.06"/>
    <n v="11.06"/>
    <s v="Low"/>
    <n v="1.66"/>
    <n v="9.4"/>
    <x v="5"/>
    <n v="2023"/>
    <n v="84"/>
    <x v="3"/>
    <s v="Wednesday"/>
    <x v="0"/>
    <x v="1"/>
    <s v="Regular"/>
  </r>
  <r>
    <n v="8066"/>
    <s v="FamilyFood Express"/>
    <d v="2023-09-30T00:00:00"/>
    <s v="Beverages"/>
    <s v="Cereal"/>
    <n v="4"/>
    <n v="11.11"/>
    <n v="44.44"/>
    <s v="Medium"/>
    <n v="6.67"/>
    <n v="37.769999999999996"/>
    <x v="1"/>
    <n v="2023"/>
    <n v="478"/>
    <x v="0"/>
    <s v="Saturday"/>
    <x v="1"/>
    <x v="0"/>
    <s v="Regular"/>
  </r>
  <r>
    <n v="7164"/>
    <s v="ValuePlus Market"/>
    <d v="2025-05-27T00:00:00"/>
    <s v="Canned Goods"/>
    <s v="Carrots"/>
    <n v="4"/>
    <n v="5.63"/>
    <n v="22.52"/>
    <s v="Low"/>
    <n v="3.38"/>
    <n v="19.14"/>
    <x v="3"/>
    <n v="2025"/>
    <n v="103"/>
    <x v="2"/>
    <s v="Tuesday"/>
    <x v="1"/>
    <x v="1"/>
    <s v="Regular"/>
  </r>
  <r>
    <n v="6873"/>
    <s v="SuperSave Central"/>
    <d v="2024-05-24T00:00:00"/>
    <s v="Snacks &amp; Candy"/>
    <s v="Carrots"/>
    <n v="1"/>
    <n v="17.190000000000001"/>
    <n v="17.190000000000001"/>
    <s v="Low"/>
    <n v="2.58"/>
    <n v="14.610000000000001"/>
    <x v="3"/>
    <n v="2024"/>
    <n v="257"/>
    <x v="0"/>
    <s v="Friday"/>
    <x v="0"/>
    <x v="1"/>
    <s v="Regular"/>
  </r>
  <r>
    <n v="6531"/>
    <s v="City Fresh Store"/>
    <d v="2025-05-22T00:00:00"/>
    <s v="Beverages"/>
    <s v="Onions"/>
    <n v="1"/>
    <n v="11.86"/>
    <n v="11.86"/>
    <s v="Low"/>
    <n v="1.78"/>
    <n v="10.08"/>
    <x v="3"/>
    <n v="2025"/>
    <n v="295"/>
    <x v="0"/>
    <s v="Thursday"/>
    <x v="0"/>
    <x v="1"/>
    <s v="Regular"/>
  </r>
  <r>
    <n v="8391"/>
    <s v="GreenGrocer Plaza"/>
    <d v="2025-06-24T00:00:00"/>
    <s v="Personal Care"/>
    <s v="Ground Beef"/>
    <n v="4"/>
    <n v="12.26"/>
    <n v="49.04"/>
    <s v="Medium"/>
    <n v="7.36"/>
    <n v="41.68"/>
    <x v="10"/>
    <n v="2025"/>
    <n v="465"/>
    <x v="0"/>
    <s v="Tuesday"/>
    <x v="1"/>
    <x v="1"/>
    <s v="Regular"/>
  </r>
  <r>
    <n v="6373"/>
    <s v="MegaMart Westside"/>
    <d v="2025-07-30T00:00:00"/>
    <s v="Health &amp; Wellness"/>
    <s v="Salmon"/>
    <n v="2"/>
    <n v="18.59"/>
    <n v="37.18"/>
    <s v="Medium"/>
    <n v="5.58"/>
    <n v="31.6"/>
    <x v="2"/>
    <n v="2025"/>
    <n v="204"/>
    <x v="0"/>
    <s v="Wednesday"/>
    <x v="0"/>
    <x v="1"/>
    <s v="Regular"/>
  </r>
  <r>
    <n v="1681"/>
    <s v="City Fresh Store"/>
    <d v="2025-03-19T00:00:00"/>
    <s v="Bakery"/>
    <s v="Apples"/>
    <n v="3"/>
    <n v="14.57"/>
    <n v="43.71"/>
    <s v="Medium"/>
    <n v="6.56"/>
    <n v="37.15"/>
    <x v="6"/>
    <n v="2025"/>
    <n v="235"/>
    <x v="0"/>
    <s v="Wednesday"/>
    <x v="1"/>
    <x v="1"/>
    <s v="Regular"/>
  </r>
  <r>
    <n v="5333"/>
    <s v="FreshMart Downtown"/>
    <d v="2025-04-24T00:00:00"/>
    <s v="Bakery"/>
    <s v="Bread"/>
    <n v="1"/>
    <n v="25.92"/>
    <n v="25.92"/>
    <s v="Low"/>
    <n v="3.89"/>
    <n v="22.03"/>
    <x v="9"/>
    <n v="2025"/>
    <n v="36"/>
    <x v="1"/>
    <s v="Thursday"/>
    <x v="0"/>
    <x v="1"/>
    <s v="Regular"/>
  </r>
  <r>
    <n v="5155"/>
    <s v="SuperSave Central"/>
    <d v="2025-03-09T00:00:00"/>
    <s v="Snacks &amp; Candy"/>
    <s v="Milk"/>
    <n v="1"/>
    <n v="13.06"/>
    <n v="13.06"/>
    <s v="Low"/>
    <n v="1.96"/>
    <n v="11.100000000000001"/>
    <x v="6"/>
    <n v="2025"/>
    <n v="360"/>
    <x v="0"/>
    <s v="Sunday"/>
    <x v="0"/>
    <x v="0"/>
    <s v="Regular"/>
  </r>
  <r>
    <n v="5566"/>
    <s v="FamilyFood Express"/>
    <d v="2024-02-16T00:00:00"/>
    <s v="Household Items"/>
    <s v="Carrots"/>
    <n v="3"/>
    <n v="2.31"/>
    <n v="6.93"/>
    <s v="Low"/>
    <n v="1.04"/>
    <n v="5.89"/>
    <x v="4"/>
    <n v="2024"/>
    <n v="378"/>
    <x v="0"/>
    <s v="Friday"/>
    <x v="1"/>
    <x v="1"/>
    <s v="Regular"/>
  </r>
  <r>
    <n v="9209"/>
    <s v="Corner Grocery"/>
    <d v="2025-03-24T00:00:00"/>
    <s v="Snacks &amp; Candy"/>
    <s v="Salmon"/>
    <n v="4"/>
    <n v="13.86"/>
    <n v="55.44"/>
    <s v="Medium"/>
    <n v="8.32"/>
    <n v="47.12"/>
    <x v="6"/>
    <n v="2025"/>
    <n v="198"/>
    <x v="2"/>
    <s v="Monday"/>
    <x v="1"/>
    <x v="1"/>
    <s v="Regular"/>
  </r>
  <r>
    <n v="5777"/>
    <s v="City Fresh Store"/>
    <d v="2024-10-17T00:00:00"/>
    <s v="Frozen Foods"/>
    <s v="Yogurt"/>
    <n v="5"/>
    <n v="14.14"/>
    <n v="70.7"/>
    <s v="High"/>
    <n v="10.61"/>
    <n v="60.09"/>
    <x v="7"/>
    <n v="2024"/>
    <n v="83"/>
    <x v="3"/>
    <s v="Thursday"/>
    <x v="1"/>
    <x v="1"/>
    <s v="Regular"/>
  </r>
  <r>
    <n v="3756"/>
    <s v="City Fresh Store"/>
    <d v="2025-02-26T00:00:00"/>
    <s v="Produce"/>
    <s v="Orange Juice"/>
    <n v="2"/>
    <n v="14.56"/>
    <n v="29.12"/>
    <s v="Low"/>
    <n v="4.37"/>
    <n v="24.75"/>
    <x v="4"/>
    <n v="2025"/>
    <n v="370"/>
    <x v="0"/>
    <s v="Wednesday"/>
    <x v="0"/>
    <x v="1"/>
    <s v="Regular"/>
  </r>
  <r>
    <n v="9482"/>
    <s v="FreshMart Downtown"/>
    <d v="2024-11-20T00:00:00"/>
    <s v="Bakery"/>
    <s v="Cereal"/>
    <n v="2"/>
    <n v="29.62"/>
    <n v="59.24"/>
    <s v="Medium"/>
    <n v="8.89"/>
    <n v="50.35"/>
    <x v="0"/>
    <n v="2024"/>
    <n v="423"/>
    <x v="0"/>
    <s v="Wednesday"/>
    <x v="0"/>
    <x v="1"/>
    <s v="Regular"/>
  </r>
  <r>
    <n v="2858"/>
    <s v="MegaMart Westside"/>
    <d v="2024-07-30T00:00:00"/>
    <s v="Personal Care"/>
    <s v="Carrots"/>
    <n v="4"/>
    <n v="15.11"/>
    <n v="60.44"/>
    <s v="Medium"/>
    <n v="9.07"/>
    <n v="51.37"/>
    <x v="2"/>
    <n v="2024"/>
    <n v="151"/>
    <x v="2"/>
    <s v="Tuesday"/>
    <x v="1"/>
    <x v="1"/>
    <s v="Regular"/>
  </r>
  <r>
    <n v="6491"/>
    <s v="FreshMart Downtown"/>
    <d v="2023-10-18T00:00:00"/>
    <s v="Frozen Foods"/>
    <s v="Cheese"/>
    <n v="2"/>
    <n v="23.29"/>
    <n v="46.58"/>
    <s v="Medium"/>
    <n v="6.99"/>
    <n v="39.589999999999996"/>
    <x v="7"/>
    <n v="2023"/>
    <n v="392"/>
    <x v="0"/>
    <s v="Wednesday"/>
    <x v="0"/>
    <x v="1"/>
    <s v="Regular"/>
  </r>
  <r>
    <n v="9850"/>
    <s v="GreenGrocer Plaza"/>
    <d v="2024-06-27T00:00:00"/>
    <s v="Bakery"/>
    <s v="Cheese"/>
    <n v="3"/>
    <n v="23.79"/>
    <n v="71.37"/>
    <s v="High"/>
    <n v="10.71"/>
    <n v="60.660000000000004"/>
    <x v="10"/>
    <n v="2024"/>
    <n v="75"/>
    <x v="3"/>
    <s v="Thursday"/>
    <x v="1"/>
    <x v="1"/>
    <s v="Regular"/>
  </r>
  <r>
    <n v="8361"/>
    <s v="Corner Grocery"/>
    <d v="2025-07-10T00:00:00"/>
    <s v="Frozen Foods"/>
    <s v="Milk"/>
    <n v="4"/>
    <n v="16.46"/>
    <n v="65.84"/>
    <s v="Medium"/>
    <n v="9.8800000000000008"/>
    <n v="55.96"/>
    <x v="2"/>
    <n v="2025"/>
    <n v="358"/>
    <x v="0"/>
    <s v="Thursday"/>
    <x v="1"/>
    <x v="1"/>
    <s v="Regular"/>
  </r>
  <r>
    <n v="6927"/>
    <s v="FreshMart Downtown"/>
    <d v="2024-12-02T00:00:00"/>
    <s v="Health &amp; Wellness"/>
    <s v="Milk"/>
    <n v="2"/>
    <n v="8.73"/>
    <n v="17.46"/>
    <s v="Low"/>
    <n v="2.62"/>
    <n v="14.84"/>
    <x v="11"/>
    <n v="2024"/>
    <n v="402"/>
    <x v="0"/>
    <s v="Monday"/>
    <x v="0"/>
    <x v="1"/>
    <s v="Regular"/>
  </r>
  <r>
    <n v="9683"/>
    <s v="Unknown Store"/>
    <d v="2023-11-19T00:00:00"/>
    <s v="Produce"/>
    <s v="Salmon"/>
    <n v="2"/>
    <n v="8.73"/>
    <n v="17.46"/>
    <s v="Low"/>
    <n v="2.62"/>
    <n v="14.84"/>
    <x v="0"/>
    <n v="2023"/>
    <n v="243"/>
    <x v="0"/>
    <s v="Sunday"/>
    <x v="0"/>
    <x v="0"/>
    <s v="Regular"/>
  </r>
  <r>
    <n v="1550"/>
    <s v="FamilyFood Express"/>
    <d v="2024-07-18T00:00:00"/>
    <s v="Dairy"/>
    <s v="Eggs"/>
    <n v="3"/>
    <n v="8.93"/>
    <n v="26.79"/>
    <s v="Low"/>
    <n v="4.0199999999999996"/>
    <n v="22.77"/>
    <x v="2"/>
    <n v="2024"/>
    <n v="102"/>
    <x v="2"/>
    <s v="Thursday"/>
    <x v="1"/>
    <x v="1"/>
    <s v="Regular"/>
  </r>
  <r>
    <n v="9221"/>
    <s v="ValuePlus Market"/>
    <d v="2025-07-16T00:00:00"/>
    <s v="Personal Care"/>
    <s v="Chicken Breast"/>
    <n v="3"/>
    <n v="14.95"/>
    <n v="44.85"/>
    <s v="Medium"/>
    <n v="6.73"/>
    <n v="38.120000000000005"/>
    <x v="2"/>
    <n v="2025"/>
    <n v="152"/>
    <x v="2"/>
    <s v="Wednesday"/>
    <x v="1"/>
    <x v="1"/>
    <s v="Regular"/>
  </r>
  <r>
    <n v="7755"/>
    <s v="City Fresh Store"/>
    <d v="2023-08-26T00:00:00"/>
    <s v="Dairy"/>
    <s v="Cereal"/>
    <n v="3"/>
    <n v="21.57"/>
    <n v="64.709999999999994"/>
    <s v="Medium"/>
    <n v="9.7100000000000009"/>
    <n v="54.999999999999993"/>
    <x v="5"/>
    <n v="2023"/>
    <n v="281"/>
    <x v="0"/>
    <s v="Saturday"/>
    <x v="1"/>
    <x v="0"/>
    <s v="Regular"/>
  </r>
  <r>
    <n v="7302"/>
    <s v="FamilyFood Express"/>
    <d v="2025-05-30T00:00:00"/>
    <s v="Household Items"/>
    <s v="Onions"/>
    <n v="2"/>
    <n v="29.39"/>
    <n v="58.78"/>
    <s v="Medium"/>
    <n v="8.82"/>
    <n v="49.96"/>
    <x v="3"/>
    <n v="2025"/>
    <n v="145"/>
    <x v="2"/>
    <s v="Friday"/>
    <x v="0"/>
    <x v="1"/>
    <s v="Regular"/>
  </r>
  <r>
    <n v="1317"/>
    <s v="FreshMart Downtown"/>
    <d v="2025-03-10T00:00:00"/>
    <s v="Beverages"/>
    <s v="Onions"/>
    <n v="2"/>
    <n v="29.69"/>
    <n v="59.38"/>
    <s v="Medium"/>
    <n v="8.91"/>
    <n v="50.47"/>
    <x v="6"/>
    <n v="2025"/>
    <n v="52"/>
    <x v="3"/>
    <s v="Monday"/>
    <x v="0"/>
    <x v="1"/>
    <s v="Regular"/>
  </r>
  <r>
    <n v="9281"/>
    <s v="SuperSave Central"/>
    <d v="2024-12-26T00:00:00"/>
    <s v="Meat &amp; Seafood"/>
    <s v="Bread"/>
    <n v="4"/>
    <n v="20.51"/>
    <n v="82.04"/>
    <s v="High"/>
    <n v="12.31"/>
    <n v="69.73"/>
    <x v="11"/>
    <n v="2024"/>
    <n v="48"/>
    <x v="1"/>
    <s v="Thursday"/>
    <x v="1"/>
    <x v="1"/>
    <s v="Regular"/>
  </r>
  <r>
    <n v="2415"/>
    <s v="QuickStop Market"/>
    <d v="2024-10-09T00:00:00"/>
    <s v="Bakery"/>
    <s v="Tomatoes"/>
    <n v="4"/>
    <n v="21.31"/>
    <n v="85.24"/>
    <s v="High"/>
    <n v="12.79"/>
    <n v="72.449999999999989"/>
    <x v="7"/>
    <n v="2024"/>
    <n v="436"/>
    <x v="0"/>
    <s v="Wednesday"/>
    <x v="1"/>
    <x v="1"/>
    <s v="Regular"/>
  </r>
  <r>
    <n v="7697"/>
    <s v="SuperSave Central"/>
    <d v="2025-03-30T00:00:00"/>
    <s v="Personal Care"/>
    <s v="Cereal"/>
    <n v="3"/>
    <n v="24.97"/>
    <n v="74.91"/>
    <s v="High"/>
    <n v="11.24"/>
    <n v="63.669999999999995"/>
    <x v="6"/>
    <n v="2025"/>
    <n v="350"/>
    <x v="0"/>
    <s v="Sunday"/>
    <x v="1"/>
    <x v="0"/>
    <s v="Regular"/>
  </r>
  <r>
    <n v="2336"/>
    <s v="FamilyFood Express"/>
    <d v="2024-03-05T00:00:00"/>
    <s v="Health &amp; Wellness"/>
    <s v="Yogurt"/>
    <n v="5"/>
    <n v="10.77"/>
    <n v="53.85"/>
    <s v="Medium"/>
    <n v="8.08"/>
    <n v="45.77"/>
    <x v="6"/>
    <n v="2024"/>
    <n v="353"/>
    <x v="0"/>
    <s v="Tuesday"/>
    <x v="1"/>
    <x v="1"/>
    <s v="Regular"/>
  </r>
  <r>
    <n v="8699"/>
    <s v="QuickStop Market"/>
    <d v="2024-03-20T00:00:00"/>
    <s v="Snacks &amp; Candy"/>
    <s v="Tomatoes"/>
    <n v="4"/>
    <n v="22.36"/>
    <n v="89.44"/>
    <s v="High"/>
    <n v="13.42"/>
    <n v="76.02"/>
    <x v="6"/>
    <n v="2024"/>
    <n v="298"/>
    <x v="0"/>
    <s v="Wednesday"/>
    <x v="1"/>
    <x v="1"/>
    <s v="Regular"/>
  </r>
  <r>
    <n v="3740"/>
    <s v="ValuePlus Market"/>
    <d v="2023-10-10T00:00:00"/>
    <s v="Beverages"/>
    <s v="Cheese"/>
    <n v="3"/>
    <n v="7.62"/>
    <n v="22.86"/>
    <s v="Low"/>
    <n v="3.43"/>
    <n v="19.43"/>
    <x v="7"/>
    <n v="2023"/>
    <n v="134"/>
    <x v="2"/>
    <s v="Tuesday"/>
    <x v="1"/>
    <x v="1"/>
    <s v="Regular"/>
  </r>
  <r>
    <n v="7590"/>
    <s v="FamilyFood Express"/>
    <d v="2023-10-10T00:00:00"/>
    <s v="Household Items"/>
    <s v="Yogurt"/>
    <n v="5"/>
    <n v="11.53"/>
    <n v="57.65"/>
    <s v="Medium"/>
    <n v="8.65"/>
    <n v="49"/>
    <x v="7"/>
    <n v="2023"/>
    <n v="237"/>
    <x v="0"/>
    <s v="Tuesday"/>
    <x v="1"/>
    <x v="1"/>
    <s v="Regular"/>
  </r>
  <r>
    <n v="9017"/>
    <s v="GreenGrocer Plaza"/>
    <d v="2024-11-27T00:00:00"/>
    <s v="Dairy"/>
    <s v="Cheese"/>
    <n v="4"/>
    <n v="11.58"/>
    <n v="46.32"/>
    <s v="Medium"/>
    <n v="6.95"/>
    <n v="39.369999999999997"/>
    <x v="0"/>
    <n v="2024"/>
    <n v="97"/>
    <x v="3"/>
    <s v="Wednesday"/>
    <x v="1"/>
    <x v="1"/>
    <s v="Regular"/>
  </r>
  <r>
    <n v="9336"/>
    <s v="MegaMart Westside"/>
    <d v="2023-08-08T00:00:00"/>
    <s v="Beverages"/>
    <s v="Orange Juice"/>
    <n v="4"/>
    <n v="11.73"/>
    <n v="46.92"/>
    <s v="Medium"/>
    <n v="7.04"/>
    <n v="39.880000000000003"/>
    <x v="5"/>
    <n v="2023"/>
    <n v="153"/>
    <x v="2"/>
    <s v="Tuesday"/>
    <x v="1"/>
    <x v="1"/>
    <s v="Regular"/>
  </r>
  <r>
    <n v="9428"/>
    <s v="City Fresh Store"/>
    <d v="2025-07-06T00:00:00"/>
    <s v="Produce"/>
    <s v="Milk"/>
    <n v="5"/>
    <n v="24.26"/>
    <n v="121.3"/>
    <s v="High"/>
    <n v="18.2"/>
    <n v="103.1"/>
    <x v="2"/>
    <n v="2025"/>
    <n v="443"/>
    <x v="0"/>
    <s v="Sunday"/>
    <x v="1"/>
    <x v="0"/>
    <s v="High Value"/>
  </r>
  <r>
    <n v="8096"/>
    <s v="MegaMart Westside"/>
    <d v="2025-05-06T00:00:00"/>
    <s v="Dairy"/>
    <s v="Potatoes"/>
    <n v="3"/>
    <n v="16.440000000000001"/>
    <n v="49.32"/>
    <s v="Medium"/>
    <n v="7.4"/>
    <n v="41.92"/>
    <x v="3"/>
    <n v="2025"/>
    <n v="315"/>
    <x v="0"/>
    <s v="Tuesday"/>
    <x v="1"/>
    <x v="1"/>
    <s v="Regular"/>
  </r>
  <r>
    <n v="5398"/>
    <s v="QuickStop Market"/>
    <d v="2024-05-25T00:00:00"/>
    <s v="Bakery"/>
    <s v="Apples"/>
    <n v="3"/>
    <n v="20.75"/>
    <n v="62.25"/>
    <s v="Medium"/>
    <n v="9.34"/>
    <n v="52.91"/>
    <x v="3"/>
    <n v="2024"/>
    <n v="85"/>
    <x v="3"/>
    <s v="Saturday"/>
    <x v="1"/>
    <x v="0"/>
    <s v="Regular"/>
  </r>
  <r>
    <n v="2871"/>
    <s v="City Fresh Store"/>
    <d v="2024-05-03T00:00:00"/>
    <s v="Produce"/>
    <s v="Rice"/>
    <n v="4"/>
    <n v="25.01"/>
    <n v="100.04"/>
    <s v="High"/>
    <n v="15.01"/>
    <n v="85.03"/>
    <x v="3"/>
    <n v="2024"/>
    <n v="371"/>
    <x v="0"/>
    <s v="Friday"/>
    <x v="1"/>
    <x v="1"/>
    <s v="Regular"/>
  </r>
  <r>
    <n v="1356"/>
    <s v="GreenGrocer Plaza"/>
    <d v="2024-06-09T00:00:00"/>
    <s v="Snacks &amp; Candy"/>
    <s v="Cheese"/>
    <n v="2"/>
    <n v="12.63"/>
    <n v="25.26"/>
    <s v="Low"/>
    <n v="3.79"/>
    <n v="21.470000000000002"/>
    <x v="10"/>
    <n v="2024"/>
    <n v="33"/>
    <x v="1"/>
    <s v="Sunday"/>
    <x v="0"/>
    <x v="0"/>
    <s v="Regular"/>
  </r>
  <r>
    <n v="2795"/>
    <s v="QuickStop Market"/>
    <d v="2024-06-25T00:00:00"/>
    <s v="Produce"/>
    <s v="Onions"/>
    <n v="2"/>
    <n v="25.56"/>
    <n v="51.12"/>
    <s v="Medium"/>
    <n v="7.67"/>
    <n v="43.449999999999996"/>
    <x v="10"/>
    <n v="2024"/>
    <n v="216"/>
    <x v="0"/>
    <s v="Tuesday"/>
    <x v="0"/>
    <x v="1"/>
    <s v="Regular"/>
  </r>
  <r>
    <n v="3662"/>
    <s v="GreenGrocer Plaza"/>
    <d v="2025-02-24T00:00:00"/>
    <s v="Personal Care"/>
    <s v="Pasta"/>
    <n v="2"/>
    <n v="12.83"/>
    <n v="25.66"/>
    <s v="Low"/>
    <n v="3.85"/>
    <n v="21.81"/>
    <x v="4"/>
    <n v="2025"/>
    <n v="313"/>
    <x v="0"/>
    <s v="Monday"/>
    <x v="0"/>
    <x v="1"/>
    <s v="Regular"/>
  </r>
  <r>
    <n v="4329"/>
    <s v="Corner Grocery"/>
    <d v="2025-04-25T00:00:00"/>
    <s v="Canned Goods"/>
    <s v="Salmon"/>
    <n v="2"/>
    <n v="26.16"/>
    <n v="52.32"/>
    <s v="Medium"/>
    <n v="7.85"/>
    <n v="44.47"/>
    <x v="9"/>
    <n v="2025"/>
    <n v="66"/>
    <x v="3"/>
    <s v="Friday"/>
    <x v="0"/>
    <x v="1"/>
    <s v="Regular"/>
  </r>
  <r>
    <n v="2312"/>
    <s v="GreenGrocer Plaza"/>
    <d v="2025-05-29T00:00:00"/>
    <s v="Snacks &amp; Candy"/>
    <s v="Orange Juice"/>
    <n v="4"/>
    <n v="26.16"/>
    <n v="104.64"/>
    <s v="High"/>
    <n v="15.7"/>
    <n v="88.94"/>
    <x v="3"/>
    <n v="2025"/>
    <n v="369"/>
    <x v="0"/>
    <s v="Thursday"/>
    <x v="1"/>
    <x v="1"/>
    <s v="Regular"/>
  </r>
  <r>
    <n v="6295"/>
    <s v="GreenGrocer Plaza"/>
    <d v="2025-06-08T00:00:00"/>
    <s v="Meat &amp; Seafood"/>
    <s v="Potatoes"/>
    <n v="2"/>
    <n v="26.36"/>
    <n v="52.72"/>
    <s v="Medium"/>
    <n v="7.91"/>
    <n v="44.81"/>
    <x v="10"/>
    <n v="2025"/>
    <n v="266"/>
    <x v="0"/>
    <s v="Sunday"/>
    <x v="0"/>
    <x v="0"/>
    <s v="Regular"/>
  </r>
  <r>
    <n v="6523"/>
    <s v="FamilyFood Express"/>
    <d v="2025-04-12T00:00:00"/>
    <s v="Household Items"/>
    <s v="Tomatoes"/>
    <n v="2"/>
    <n v="13.93"/>
    <n v="27.86"/>
    <s v="Low"/>
    <n v="4.18"/>
    <n v="23.68"/>
    <x v="9"/>
    <n v="2025"/>
    <n v="373"/>
    <x v="0"/>
    <s v="Saturday"/>
    <x v="0"/>
    <x v="0"/>
    <s v="Regular"/>
  </r>
  <r>
    <n v="3623"/>
    <s v="MegaMart Westside"/>
    <d v="2024-04-20T00:00:00"/>
    <s v="Personal Care"/>
    <s v="Tomatoes"/>
    <n v="4"/>
    <n v="27.96"/>
    <n v="111.84"/>
    <s v="High"/>
    <n v="16.78"/>
    <n v="95.06"/>
    <x v="9"/>
    <n v="2024"/>
    <n v="6"/>
    <x v="1"/>
    <s v="Saturday"/>
    <x v="1"/>
    <x v="0"/>
    <s v="Regular"/>
  </r>
  <r>
    <n v="4950"/>
    <s v="GreenGrocer Plaza"/>
    <d v="2025-02-26T00:00:00"/>
    <s v="Produce"/>
    <s v="Apples"/>
    <n v="4"/>
    <n v="14.33"/>
    <n v="57.32"/>
    <s v="Medium"/>
    <n v="8.6"/>
    <n v="48.72"/>
    <x v="4"/>
    <n v="2025"/>
    <n v="207"/>
    <x v="0"/>
    <s v="Wednesday"/>
    <x v="1"/>
    <x v="1"/>
    <s v="Regular"/>
  </r>
  <r>
    <n v="7798"/>
    <s v="GreenGrocer Plaza"/>
    <d v="2024-04-26T00:00:00"/>
    <s v="Meat &amp; Seafood"/>
    <s v="Milk"/>
    <n v="5"/>
    <n v="14.37"/>
    <n v="71.849999999999994"/>
    <s v="High"/>
    <n v="10.78"/>
    <n v="61.069999999999993"/>
    <x v="9"/>
    <n v="2024"/>
    <n v="281"/>
    <x v="0"/>
    <s v="Friday"/>
    <x v="1"/>
    <x v="1"/>
    <s v="Regular"/>
  </r>
  <r>
    <n v="9791"/>
    <s v="QuickStop Market"/>
    <d v="2024-09-27T00:00:00"/>
    <s v="Bakery"/>
    <s v="Tomatoes"/>
    <n v="2"/>
    <n v="14.63"/>
    <n v="29.26"/>
    <s v="Low"/>
    <n v="4.3899999999999997"/>
    <n v="24.87"/>
    <x v="1"/>
    <n v="2024"/>
    <n v="277"/>
    <x v="0"/>
    <s v="Friday"/>
    <x v="0"/>
    <x v="1"/>
    <s v="Regular"/>
  </r>
  <r>
    <n v="9479"/>
    <s v="QuickStop Market"/>
    <d v="2024-07-22T00:00:00"/>
    <s v="Household Items"/>
    <s v="Milk"/>
    <n v="2"/>
    <n v="14.63"/>
    <n v="29.26"/>
    <s v="Low"/>
    <n v="4.3899999999999997"/>
    <n v="24.87"/>
    <x v="2"/>
    <n v="2024"/>
    <n v="333"/>
    <x v="0"/>
    <s v="Monday"/>
    <x v="0"/>
    <x v="1"/>
    <s v="Regular"/>
  </r>
  <r>
    <n v="1153"/>
    <s v="MegaMart Westside"/>
    <d v="2025-07-05T00:00:00"/>
    <s v="Snacks &amp; Candy"/>
    <s v="Apples"/>
    <n v="4"/>
    <n v="29.31"/>
    <n v="117.24"/>
    <s v="High"/>
    <n v="17.59"/>
    <n v="99.649999999999991"/>
    <x v="2"/>
    <n v="2025"/>
    <n v="357"/>
    <x v="0"/>
    <s v="Saturday"/>
    <x v="1"/>
    <x v="0"/>
    <s v="Regular"/>
  </r>
  <r>
    <n v="2020"/>
    <s v="GreenGrocer Plaza"/>
    <d v="2025-02-05T00:00:00"/>
    <s v="Household Items"/>
    <s v="Apples"/>
    <n v="4"/>
    <n v="15.03"/>
    <n v="60.12"/>
    <s v="Medium"/>
    <n v="9.02"/>
    <n v="51.099999999999994"/>
    <x v="4"/>
    <n v="2025"/>
    <n v="330"/>
    <x v="0"/>
    <s v="Wednesday"/>
    <x v="1"/>
    <x v="1"/>
    <s v="Regular"/>
  </r>
  <r>
    <n v="4697"/>
    <s v="City Fresh Store"/>
    <d v="2025-03-31T00:00:00"/>
    <s v="Personal Care"/>
    <s v="Orange Juice"/>
    <n v="1"/>
    <n v="15.93"/>
    <n v="15.93"/>
    <s v="Low"/>
    <n v="2.39"/>
    <n v="13.54"/>
    <x v="6"/>
    <n v="2025"/>
    <n v="81"/>
    <x v="3"/>
    <s v="Monday"/>
    <x v="0"/>
    <x v="1"/>
    <s v="Regular"/>
  </r>
  <r>
    <n v="2035"/>
    <s v="MegaMart Westside"/>
    <d v="2024-12-12T00:00:00"/>
    <s v="Household Items"/>
    <s v="Ground Beef"/>
    <n v="5"/>
    <n v="16.809999999999999"/>
    <n v="84.05"/>
    <s v="High"/>
    <n v="12.61"/>
    <n v="71.44"/>
    <x v="11"/>
    <n v="2024"/>
    <n v="192"/>
    <x v="2"/>
    <s v="Thursday"/>
    <x v="1"/>
    <x v="1"/>
    <s v="Regular"/>
  </r>
  <r>
    <n v="4919"/>
    <s v="FreshMart Downtown"/>
    <d v="2024-03-07T00:00:00"/>
    <s v="Dairy"/>
    <s v="Pasta"/>
    <n v="5"/>
    <n v="17.329999999999998"/>
    <n v="86.65"/>
    <s v="High"/>
    <n v="13"/>
    <n v="73.650000000000006"/>
    <x v="6"/>
    <n v="2024"/>
    <n v="16"/>
    <x v="1"/>
    <s v="Thursday"/>
    <x v="1"/>
    <x v="1"/>
    <s v="Regular"/>
  </r>
  <r>
    <n v="8726"/>
    <s v="ValuePlus Market"/>
    <d v="2025-06-14T00:00:00"/>
    <s v="Bakery"/>
    <s v="Bananas"/>
    <n v="5"/>
    <n v="17.61"/>
    <n v="88.05"/>
    <s v="High"/>
    <n v="13.21"/>
    <n v="74.84"/>
    <x v="10"/>
    <n v="2025"/>
    <n v="293"/>
    <x v="0"/>
    <s v="Saturday"/>
    <x v="1"/>
    <x v="0"/>
    <s v="Regular"/>
  </r>
  <r>
    <n v="4974"/>
    <s v="Corner Grocery"/>
    <d v="2024-08-01T00:00:00"/>
    <s v="Personal Care"/>
    <s v="Bananas"/>
    <n v="4"/>
    <n v="19.73"/>
    <n v="78.92"/>
    <s v="High"/>
    <n v="11.84"/>
    <n v="67.08"/>
    <x v="5"/>
    <n v="2024"/>
    <n v="202"/>
    <x v="0"/>
    <s v="Thursday"/>
    <x v="1"/>
    <x v="1"/>
    <s v="Regular"/>
  </r>
  <r>
    <n v="8504"/>
    <s v="MegaMart Westside"/>
    <d v="2024-12-18T00:00:00"/>
    <s v="Produce"/>
    <s v="Eggs"/>
    <n v="1"/>
    <n v="20.329999999999998"/>
    <n v="20.329999999999998"/>
    <s v="Low"/>
    <n v="3.05"/>
    <n v="17.279999999999998"/>
    <x v="11"/>
    <n v="2024"/>
    <n v="429"/>
    <x v="0"/>
    <s v="Wednesday"/>
    <x v="0"/>
    <x v="1"/>
    <s v="Regular"/>
  </r>
  <r>
    <n v="5703"/>
    <s v="QuickStop Market"/>
    <d v="2023-10-05T00:00:00"/>
    <s v="Beverages"/>
    <s v="Rice"/>
    <n v="5"/>
    <n v="20.329999999999998"/>
    <n v="101.65"/>
    <s v="High"/>
    <n v="15.25"/>
    <n v="86.4"/>
    <x v="7"/>
    <n v="2023"/>
    <n v="409"/>
    <x v="0"/>
    <s v="Thursday"/>
    <x v="1"/>
    <x v="1"/>
    <s v="Regular"/>
  </r>
  <r>
    <n v="9167"/>
    <s v="QuickStop Market"/>
    <d v="2024-12-04T00:00:00"/>
    <s v="Meat &amp; Seafood"/>
    <s v="Milk"/>
    <n v="3"/>
    <n v="6.91"/>
    <n v="20.73"/>
    <s v="Low"/>
    <n v="3.11"/>
    <n v="17.62"/>
    <x v="11"/>
    <n v="2024"/>
    <n v="277"/>
    <x v="0"/>
    <s v="Wednesday"/>
    <x v="1"/>
    <x v="1"/>
    <s v="Regular"/>
  </r>
  <r>
    <n v="5066"/>
    <s v="GreenGrocer Plaza"/>
    <d v="2023-11-07T00:00:00"/>
    <s v="Bakery"/>
    <s v="Eggs"/>
    <n v="3"/>
    <n v="29.24"/>
    <n v="87.72"/>
    <s v="High"/>
    <n v="13.16"/>
    <n v="74.56"/>
    <x v="0"/>
    <n v="2023"/>
    <n v="226"/>
    <x v="0"/>
    <s v="Tuesday"/>
    <x v="1"/>
    <x v="1"/>
    <s v="Regular"/>
  </r>
  <r>
    <n v="9318"/>
    <s v="GreenGrocer Plaza"/>
    <d v="2024-03-01T00:00:00"/>
    <s v="Frozen Foods"/>
    <s v="Chicken Breast"/>
    <n v="2"/>
    <n v="22.03"/>
    <n v="44.06"/>
    <s v="Medium"/>
    <n v="6.61"/>
    <n v="37.450000000000003"/>
    <x v="6"/>
    <n v="2024"/>
    <n v="249"/>
    <x v="0"/>
    <s v="Friday"/>
    <x v="0"/>
    <x v="1"/>
    <s v="Regular"/>
  </r>
  <r>
    <n v="4228"/>
    <s v="FamilyFood Express"/>
    <d v="2024-05-15T00:00:00"/>
    <s v="Frozen Foods"/>
    <s v="Onions"/>
    <n v="3"/>
    <n v="7.51"/>
    <n v="22.53"/>
    <s v="Low"/>
    <n v="3.38"/>
    <n v="19.150000000000002"/>
    <x v="3"/>
    <n v="2024"/>
    <n v="498"/>
    <x v="0"/>
    <s v="Wednesday"/>
    <x v="1"/>
    <x v="1"/>
    <s v="Regular"/>
  </r>
  <r>
    <n v="5097"/>
    <s v="QuickStop Market"/>
    <d v="2024-07-26T00:00:00"/>
    <s v="Beverages"/>
    <s v="Chicken Breast"/>
    <n v="4"/>
    <n v="22.58"/>
    <n v="90.32"/>
    <s v="High"/>
    <n v="13.55"/>
    <n v="76.77"/>
    <x v="2"/>
    <n v="2024"/>
    <n v="133"/>
    <x v="2"/>
    <s v="Friday"/>
    <x v="1"/>
    <x v="1"/>
    <s v="Regular"/>
  </r>
  <r>
    <n v="7102"/>
    <s v="Corner Grocery"/>
    <d v="2024-07-28T00:00:00"/>
    <s v="Health &amp; Wellness"/>
    <s v="Bananas"/>
    <n v="3"/>
    <n v="23.33"/>
    <n v="69.989999999999995"/>
    <s v="High"/>
    <n v="10.5"/>
    <n v="59.489999999999995"/>
    <x v="2"/>
    <n v="2024"/>
    <n v="460"/>
    <x v="0"/>
    <s v="Sunday"/>
    <x v="1"/>
    <x v="0"/>
    <s v="Regular"/>
  </r>
  <r>
    <n v="7843"/>
    <s v="ValuePlus Market"/>
    <d v="2024-03-18T00:00:00"/>
    <s v="Personal Care"/>
    <s v="Ground Beef"/>
    <n v="4"/>
    <n v="23.33"/>
    <n v="93.32"/>
    <s v="High"/>
    <n v="14"/>
    <n v="79.319999999999993"/>
    <x v="6"/>
    <n v="2024"/>
    <n v="337"/>
    <x v="0"/>
    <s v="Monday"/>
    <x v="1"/>
    <x v="1"/>
    <s v="Regular"/>
  </r>
  <r>
    <n v="6766"/>
    <s v="Corner Grocery"/>
    <d v="2025-05-24T00:00:00"/>
    <s v="Personal Care"/>
    <s v="Salmon"/>
    <n v="4"/>
    <n v="23.83"/>
    <n v="95.32"/>
    <s v="High"/>
    <n v="14.3"/>
    <n v="81.02"/>
    <x v="3"/>
    <n v="2025"/>
    <n v="53"/>
    <x v="3"/>
    <s v="Saturday"/>
    <x v="1"/>
    <x v="0"/>
    <s v="Regular"/>
  </r>
  <r>
    <n v="3347"/>
    <s v="City Fresh Store"/>
    <d v="2024-10-19T00:00:00"/>
    <s v="Health &amp; Wellness"/>
    <s v="Bread"/>
    <n v="5"/>
    <n v="24.13"/>
    <n v="120.65"/>
    <s v="High"/>
    <n v="18.100000000000001"/>
    <n v="102.55000000000001"/>
    <x v="7"/>
    <n v="2024"/>
    <n v="159"/>
    <x v="2"/>
    <s v="Saturday"/>
    <x v="1"/>
    <x v="0"/>
    <s v="High Value"/>
  </r>
  <r>
    <n v="6642"/>
    <s v="GreenGrocer Plaza"/>
    <d v="2024-12-18T00:00:00"/>
    <s v="Produce"/>
    <s v="Ground Beef"/>
    <n v="1"/>
    <n v="24.93"/>
    <n v="24.93"/>
    <s v="Low"/>
    <n v="3.74"/>
    <n v="21.189999999999998"/>
    <x v="11"/>
    <n v="2024"/>
    <n v="71"/>
    <x v="3"/>
    <s v="Wednesday"/>
    <x v="0"/>
    <x v="1"/>
    <s v="Regular"/>
  </r>
  <r>
    <n v="5054"/>
    <s v="City Fresh Store"/>
    <d v="2025-01-16T00:00:00"/>
    <s v="Beverages"/>
    <s v="Cereal"/>
    <n v="4"/>
    <n v="24.98"/>
    <n v="99.92"/>
    <s v="High"/>
    <n v="14.99"/>
    <n v="84.93"/>
    <x v="8"/>
    <n v="2025"/>
    <n v="84"/>
    <x v="3"/>
    <s v="Thursday"/>
    <x v="1"/>
    <x v="1"/>
    <s v="Regular"/>
  </r>
  <r>
    <n v="6770"/>
    <s v="FreshMart Downtown"/>
    <d v="2023-12-16T00:00:00"/>
    <s v="Meat &amp; Seafood"/>
    <s v="Orange Juice"/>
    <n v="5"/>
    <n v="25.81"/>
    <n v="129.05000000000001"/>
    <s v="High"/>
    <n v="19.36"/>
    <n v="109.69000000000001"/>
    <x v="11"/>
    <n v="2023"/>
    <n v="257"/>
    <x v="0"/>
    <s v="Saturday"/>
    <x v="1"/>
    <x v="0"/>
    <s v="High Value"/>
  </r>
  <r>
    <n v="3352"/>
    <s v="City Fresh Store"/>
    <d v="2024-03-20T00:00:00"/>
    <s v="Canned Goods"/>
    <s v="Eggs"/>
    <n v="2"/>
    <n v="26.03"/>
    <n v="52.06"/>
    <s v="Medium"/>
    <n v="7.81"/>
    <n v="44.25"/>
    <x v="6"/>
    <n v="2024"/>
    <n v="410"/>
    <x v="0"/>
    <s v="Wednesday"/>
    <x v="0"/>
    <x v="1"/>
    <s v="Regular"/>
  </r>
  <r>
    <n v="9797"/>
    <s v="FreshMart Downtown"/>
    <d v="2025-03-12T00:00:00"/>
    <s v="Dairy"/>
    <s v="Cheese"/>
    <n v="2"/>
    <n v="26.13"/>
    <n v="52.26"/>
    <s v="Medium"/>
    <n v="7.84"/>
    <n v="44.42"/>
    <x v="6"/>
    <n v="2025"/>
    <n v="93"/>
    <x v="3"/>
    <s v="Wednesday"/>
    <x v="0"/>
    <x v="1"/>
    <s v="Regular"/>
  </r>
  <r>
    <n v="4216"/>
    <s v="FamilyFood Express"/>
    <d v="2024-12-12T00:00:00"/>
    <s v="Frozen Foods"/>
    <s v="Bread"/>
    <n v="3"/>
    <n v="27.13"/>
    <n v="81.39"/>
    <s v="High"/>
    <n v="12.21"/>
    <n v="69.180000000000007"/>
    <x v="11"/>
    <n v="2024"/>
    <n v="150"/>
    <x v="2"/>
    <s v="Thursday"/>
    <x v="1"/>
    <x v="1"/>
    <s v="Regular"/>
  </r>
  <r>
    <n v="1023"/>
    <s v="FamilyFood Express"/>
    <d v="2025-03-18T00:00:00"/>
    <s v="Meat &amp; Seafood"/>
    <s v="Onions"/>
    <n v="1"/>
    <n v="27.53"/>
    <n v="27.53"/>
    <s v="Low"/>
    <n v="4.13"/>
    <n v="23.400000000000002"/>
    <x v="6"/>
    <n v="2025"/>
    <n v="381"/>
    <x v="0"/>
    <s v="Tuesday"/>
    <x v="0"/>
    <x v="1"/>
    <s v="Regular"/>
  </r>
  <r>
    <n v="5942"/>
    <s v="FamilyFood Express"/>
    <d v="2024-01-13T00:00:00"/>
    <s v="Household Items"/>
    <s v="Bananas"/>
    <n v="1"/>
    <n v="27.73"/>
    <n v="27.73"/>
    <s v="Low"/>
    <n v="4.16"/>
    <n v="23.57"/>
    <x v="8"/>
    <n v="2024"/>
    <n v="105"/>
    <x v="2"/>
    <s v="Saturday"/>
    <x v="0"/>
    <x v="0"/>
    <s v="Regular"/>
  </r>
  <r>
    <n v="1753"/>
    <s v="SuperSave Central"/>
    <d v="2024-08-07T00:00:00"/>
    <s v="Meat &amp; Seafood"/>
    <s v="Tomatoes"/>
    <n v="4"/>
    <n v="28.53"/>
    <n v="114.12"/>
    <s v="High"/>
    <n v="17.12"/>
    <n v="97"/>
    <x v="5"/>
    <n v="2024"/>
    <n v="447"/>
    <x v="0"/>
    <s v="Wednesday"/>
    <x v="1"/>
    <x v="1"/>
    <s v="Regular"/>
  </r>
  <r>
    <n v="8555"/>
    <s v="City Fresh Store"/>
    <d v="2024-12-14T00:00:00"/>
    <s v="Household Items"/>
    <s v="Bananas"/>
    <n v="5"/>
    <n v="28.77"/>
    <n v="143.85"/>
    <s v="Very High"/>
    <n v="21.58"/>
    <n v="122.27"/>
    <x v="11"/>
    <n v="2024"/>
    <n v="434"/>
    <x v="0"/>
    <s v="Saturday"/>
    <x v="1"/>
    <x v="0"/>
    <s v="High Value"/>
  </r>
  <r>
    <n v="9410"/>
    <s v="ValuePlus Market"/>
    <d v="2023-11-29T00:00:00"/>
    <s v="Snacks &amp; Candy"/>
    <s v="Potatoes"/>
    <n v="2"/>
    <n v="28.93"/>
    <n v="57.86"/>
    <s v="Medium"/>
    <n v="8.68"/>
    <n v="49.18"/>
    <x v="0"/>
    <n v="2023"/>
    <n v="450"/>
    <x v="0"/>
    <s v="Wednesday"/>
    <x v="0"/>
    <x v="1"/>
    <s v="Regular"/>
  </r>
  <r>
    <n v="7547"/>
    <s v="SuperSave Central"/>
    <d v="2025-03-13T00:00:00"/>
    <s v="Health &amp; Wellness"/>
    <s v="Cereal"/>
    <n v="1"/>
    <n v="29.13"/>
    <n v="29.13"/>
    <s v="Low"/>
    <n v="4.37"/>
    <n v="24.759999999999998"/>
    <x v="6"/>
    <n v="2025"/>
    <n v="158"/>
    <x v="2"/>
    <s v="Thursday"/>
    <x v="0"/>
    <x v="1"/>
    <s v="Regular"/>
  </r>
  <r>
    <n v="6370"/>
    <s v="Corner Grocery"/>
    <d v="2023-11-30T00:00:00"/>
    <s v="Canned Goods"/>
    <s v="Ground Beef"/>
    <n v="5"/>
    <n v="29.53"/>
    <n v="147.65"/>
    <s v="Very High"/>
    <n v="22.15"/>
    <n v="125.5"/>
    <x v="0"/>
    <n v="2023"/>
    <n v="17"/>
    <x v="1"/>
    <s v="Thursday"/>
    <x v="1"/>
    <x v="1"/>
    <s v="High Value"/>
  </r>
  <r>
    <n v="5835"/>
    <s v="MegaMart Westside"/>
    <d v="2024-04-16T00:00:00"/>
    <s v="Snacks &amp; Candy"/>
    <s v="Rice"/>
    <n v="4"/>
    <n v="29.93"/>
    <n v="119.72"/>
    <s v="High"/>
    <n v="17.96"/>
    <n v="101.75999999999999"/>
    <x v="9"/>
    <n v="2024"/>
    <n v="237"/>
    <x v="0"/>
    <s v="Tuesday"/>
    <x v="1"/>
    <x v="1"/>
    <s v="High Value"/>
  </r>
  <r>
    <n v="7669"/>
    <s v="Corner Grocery"/>
    <d v="2024-01-01T00:00:00"/>
    <s v="Health &amp; Wellness"/>
    <s v="Bread"/>
    <n v="3"/>
    <n v="25.71"/>
    <n v="77.13"/>
    <s v="High"/>
    <n v="11.57"/>
    <n v="65.56"/>
    <x v="8"/>
    <n v="2024"/>
    <n v="439"/>
    <x v="0"/>
    <s v="Monday"/>
    <x v="1"/>
    <x v="1"/>
    <s v="Regular"/>
  </r>
  <r>
    <n v="4817"/>
    <s v="MegaMart Westside"/>
    <d v="2024-04-18T00:00:00"/>
    <s v="Meat &amp; Seafood"/>
    <s v="Bananas"/>
    <n v="3"/>
    <n v="26.51"/>
    <n v="79.53"/>
    <s v="High"/>
    <n v="11.93"/>
    <n v="67.599999999999994"/>
    <x v="9"/>
    <n v="2024"/>
    <n v="211"/>
    <x v="0"/>
    <s v="Thursday"/>
    <x v="1"/>
    <x v="1"/>
    <s v="Regular"/>
  </r>
  <r>
    <n v="1319"/>
    <s v="MegaMart Westside"/>
    <d v="2023-11-01T00:00:00"/>
    <s v="Beverages"/>
    <s v="Onions"/>
    <n v="5"/>
    <n v="10.96"/>
    <n v="54.8"/>
    <s v="Medium"/>
    <n v="8.2200000000000006"/>
    <n v="46.58"/>
    <x v="0"/>
    <n v="2023"/>
    <n v="381"/>
    <x v="0"/>
    <s v="Wednesday"/>
    <x v="1"/>
    <x v="1"/>
    <s v="Regular"/>
  </r>
  <r>
    <n v="8702"/>
    <s v="Corner Grocery"/>
    <d v="2023-09-09T00:00:00"/>
    <s v="Snacks &amp; Candy"/>
    <s v="Chicken Breast"/>
    <n v="4"/>
    <n v="20.149999999999999"/>
    <n v="80.599999999999994"/>
    <s v="High"/>
    <n v="12.09"/>
    <n v="68.509999999999991"/>
    <x v="1"/>
    <n v="2023"/>
    <n v="291"/>
    <x v="0"/>
    <s v="Saturday"/>
    <x v="1"/>
    <x v="0"/>
    <s v="Regular"/>
  </r>
  <r>
    <n v="3610"/>
    <s v="GreenGrocer Plaza"/>
    <d v="2024-08-28T00:00:00"/>
    <s v="Household Items"/>
    <s v="Cereal"/>
    <n v="4"/>
    <n v="20.65"/>
    <n v="82.6"/>
    <s v="High"/>
    <n v="12.39"/>
    <n v="70.209999999999994"/>
    <x v="5"/>
    <n v="2024"/>
    <n v="497"/>
    <x v="0"/>
    <s v="Wednesday"/>
    <x v="1"/>
    <x v="1"/>
    <s v="Regular"/>
  </r>
  <r>
    <n v="9056"/>
    <s v="SuperSave Central"/>
    <d v="2023-10-16T00:00:00"/>
    <s v="Personal Care"/>
    <s v="Potatoes"/>
    <n v="4"/>
    <n v="26.2"/>
    <n v="104.8"/>
    <s v="High"/>
    <n v="15.72"/>
    <n v="89.08"/>
    <x v="7"/>
    <n v="2023"/>
    <n v="38"/>
    <x v="1"/>
    <s v="Monday"/>
    <x v="1"/>
    <x v="1"/>
    <s v="Regular"/>
  </r>
  <r>
    <n v="7622"/>
    <s v="MegaMart Westside"/>
    <d v="2025-06-08T00:00:00"/>
    <s v="Personal Care"/>
    <s v="Tomatoes"/>
    <n v="4"/>
    <n v="29.4"/>
    <n v="117.6"/>
    <s v="High"/>
    <n v="17.64"/>
    <n v="99.96"/>
    <x v="10"/>
    <n v="2025"/>
    <n v="468"/>
    <x v="0"/>
    <s v="Sunday"/>
    <x v="1"/>
    <x v="0"/>
    <s v="Regular"/>
  </r>
  <r>
    <n v="6051"/>
    <s v="GreenGrocer Plaza"/>
    <d v="2024-07-31T00:00:00"/>
    <s v="Snacks &amp; Candy"/>
    <s v="Orange Juice"/>
    <n v="4"/>
    <n v="1.3"/>
    <n v="5.2"/>
    <s v="Low"/>
    <n v="0.78"/>
    <n v="4.42"/>
    <x v="2"/>
    <n v="2024"/>
    <n v="305"/>
    <x v="0"/>
    <s v="Wednesday"/>
    <x v="1"/>
    <x v="1"/>
    <s v="Regular"/>
  </r>
  <r>
    <n v="6573"/>
    <s v="Corner Grocery"/>
    <d v="2023-11-01T00:00:00"/>
    <s v="Frozen Foods"/>
    <s v="Bread"/>
    <n v="4"/>
    <n v="1.55"/>
    <n v="6.2"/>
    <s v="Low"/>
    <n v="0.93"/>
    <n v="5.2700000000000005"/>
    <x v="0"/>
    <n v="2023"/>
    <n v="276"/>
    <x v="0"/>
    <s v="Wednesday"/>
    <x v="1"/>
    <x v="1"/>
    <s v="Regular"/>
  </r>
  <r>
    <n v="6005"/>
    <s v="Corner Grocery"/>
    <d v="2025-02-20T00:00:00"/>
    <s v="Household Items"/>
    <s v="Bread"/>
    <n v="2"/>
    <n v="3.7"/>
    <n v="7.4"/>
    <s v="Low"/>
    <n v="1.1100000000000001"/>
    <n v="6.29"/>
    <x v="4"/>
    <n v="2025"/>
    <n v="364"/>
    <x v="0"/>
    <s v="Thursday"/>
    <x v="0"/>
    <x v="1"/>
    <s v="Regular"/>
  </r>
  <r>
    <n v="9951"/>
    <s v="Corner Grocery"/>
    <d v="2025-01-18T00:00:00"/>
    <s v="Meat &amp; Seafood"/>
    <s v="Rice"/>
    <n v="5"/>
    <n v="2.84"/>
    <n v="14.2"/>
    <s v="Low"/>
    <n v="2.13"/>
    <n v="12.07"/>
    <x v="8"/>
    <n v="2025"/>
    <n v="94"/>
    <x v="3"/>
    <s v="Saturday"/>
    <x v="1"/>
    <x v="0"/>
    <s v="Regular"/>
  </r>
  <r>
    <n v="8357"/>
    <s v="QuickStop Market"/>
    <d v="2024-11-13T00:00:00"/>
    <s v="Beverages"/>
    <s v="Pasta"/>
    <n v="1"/>
    <n v="15.2"/>
    <n v="15.2"/>
    <s v="Low"/>
    <n v="2.2799999999999998"/>
    <n v="12.92"/>
    <x v="0"/>
    <n v="2024"/>
    <n v="296"/>
    <x v="0"/>
    <s v="Wednesday"/>
    <x v="0"/>
    <x v="1"/>
    <s v="Regular"/>
  </r>
  <r>
    <n v="5712"/>
    <s v="SuperSave Central"/>
    <d v="2025-01-14T00:00:00"/>
    <s v="Personal Care"/>
    <s v="Pasta"/>
    <n v="2"/>
    <n v="8.8000000000000007"/>
    <n v="17.600000000000001"/>
    <s v="Low"/>
    <n v="2.64"/>
    <n v="14.96"/>
    <x v="8"/>
    <n v="2025"/>
    <n v="490"/>
    <x v="0"/>
    <s v="Tuesday"/>
    <x v="0"/>
    <x v="1"/>
    <s v="Regular"/>
  </r>
  <r>
    <n v="7176"/>
    <s v="MegaMart Westside"/>
    <d v="2023-10-03T00:00:00"/>
    <s v="Snacks &amp; Candy"/>
    <s v="Ground Beef"/>
    <n v="2"/>
    <n v="8.9"/>
    <n v="17.8"/>
    <s v="Low"/>
    <n v="2.67"/>
    <n v="15.13"/>
    <x v="7"/>
    <n v="2023"/>
    <n v="102"/>
    <x v="2"/>
    <s v="Tuesday"/>
    <x v="0"/>
    <x v="1"/>
    <s v="Regular"/>
  </r>
  <r>
    <n v="5176"/>
    <s v="QuickStop Market"/>
    <d v="2024-05-23T00:00:00"/>
    <s v="Produce"/>
    <s v="Rice"/>
    <n v="2"/>
    <n v="10.3"/>
    <n v="20.6"/>
    <s v="Low"/>
    <n v="3.09"/>
    <n v="17.510000000000002"/>
    <x v="3"/>
    <n v="2024"/>
    <n v="98"/>
    <x v="3"/>
    <s v="Thursday"/>
    <x v="0"/>
    <x v="1"/>
    <s v="Regular"/>
  </r>
  <r>
    <n v="2562"/>
    <s v="ValuePlus Market"/>
    <d v="2025-07-02T00:00:00"/>
    <s v="Canned Goods"/>
    <s v="Bread"/>
    <n v="4"/>
    <n v="6.2"/>
    <n v="24.8"/>
    <s v="Low"/>
    <n v="3.72"/>
    <n v="21.080000000000002"/>
    <x v="2"/>
    <n v="2025"/>
    <n v="392"/>
    <x v="0"/>
    <s v="Wednesday"/>
    <x v="1"/>
    <x v="1"/>
    <s v="Regular"/>
  </r>
  <r>
    <n v="4559"/>
    <s v="MegaMart Westside"/>
    <d v="2023-10-13T00:00:00"/>
    <s v="Meat &amp; Seafood"/>
    <s v="Ground Beef"/>
    <n v="4"/>
    <n v="6.45"/>
    <n v="25.8"/>
    <s v="Low"/>
    <n v="3.87"/>
    <n v="21.93"/>
    <x v="7"/>
    <n v="2023"/>
    <n v="206"/>
    <x v="0"/>
    <s v="Friday"/>
    <x v="1"/>
    <x v="1"/>
    <s v="Regular"/>
  </r>
  <r>
    <n v="7525"/>
    <s v="City Fresh Store"/>
    <d v="2025-07-28T00:00:00"/>
    <s v="Canned Goods"/>
    <s v="Chicken Breast"/>
    <n v="2"/>
    <n v="13.9"/>
    <n v="27.8"/>
    <s v="Low"/>
    <n v="4.17"/>
    <n v="23.630000000000003"/>
    <x v="2"/>
    <n v="2025"/>
    <n v="490"/>
    <x v="0"/>
    <s v="Monday"/>
    <x v="0"/>
    <x v="1"/>
    <s v="Regular"/>
  </r>
  <r>
    <n v="3093"/>
    <s v="MegaMart Westside"/>
    <d v="2025-01-08T00:00:00"/>
    <s v="Snacks &amp; Candy"/>
    <s v="Cheese"/>
    <n v="2"/>
    <n v="15.9"/>
    <n v="31.8"/>
    <s v="Low"/>
    <n v="4.7699999999999996"/>
    <n v="27.03"/>
    <x v="8"/>
    <n v="2025"/>
    <n v="208"/>
    <x v="0"/>
    <s v="Wednesday"/>
    <x v="0"/>
    <x v="1"/>
    <s v="Regular"/>
  </r>
  <r>
    <n v="1320"/>
    <s v="MegaMart Westside"/>
    <d v="2025-06-02T00:00:00"/>
    <s v="Household Items"/>
    <s v="Yogurt"/>
    <n v="4"/>
    <n v="10.1"/>
    <n v="40.4"/>
    <s v="Medium"/>
    <n v="6.06"/>
    <n v="34.339999999999996"/>
    <x v="10"/>
    <n v="2025"/>
    <n v="493"/>
    <x v="0"/>
    <s v="Monday"/>
    <x v="1"/>
    <x v="1"/>
    <s v="Regular"/>
  </r>
  <r>
    <n v="6931"/>
    <s v="SuperSave Central"/>
    <d v="2024-09-08T00:00:00"/>
    <s v="Meat &amp; Seafood"/>
    <s v="Eggs"/>
    <n v="2"/>
    <n v="23.3"/>
    <n v="46.6"/>
    <s v="Medium"/>
    <n v="6.99"/>
    <n v="39.61"/>
    <x v="1"/>
    <n v="2024"/>
    <n v="26"/>
    <x v="1"/>
    <s v="Sunday"/>
    <x v="0"/>
    <x v="0"/>
    <s v="Regular"/>
  </r>
  <r>
    <n v="5786"/>
    <s v="Corner Grocery"/>
    <d v="2025-01-29T00:00:00"/>
    <s v="Meat &amp; Seafood"/>
    <s v="Orange Juice"/>
    <n v="4"/>
    <n v="11.7"/>
    <n v="46.8"/>
    <s v="Medium"/>
    <n v="7.02"/>
    <n v="39.78"/>
    <x v="8"/>
    <n v="2025"/>
    <n v="228"/>
    <x v="0"/>
    <s v="Wednesday"/>
    <x v="1"/>
    <x v="1"/>
    <s v="Regular"/>
  </r>
  <r>
    <n v="6432"/>
    <s v="GreenGrocer Plaza"/>
    <d v="2023-11-10T00:00:00"/>
    <s v="Personal Care"/>
    <s v="Bread"/>
    <n v="2"/>
    <n v="23.4"/>
    <n v="46.8"/>
    <s v="Medium"/>
    <n v="7.02"/>
    <n v="39.78"/>
    <x v="0"/>
    <n v="2023"/>
    <n v="20"/>
    <x v="1"/>
    <s v="Friday"/>
    <x v="0"/>
    <x v="1"/>
    <s v="Regular"/>
  </r>
  <r>
    <n v="3126"/>
    <s v="City Fresh Store"/>
    <d v="2024-11-24T00:00:00"/>
    <s v="Meat &amp; Seafood"/>
    <s v="Ground Beef"/>
    <n v="2"/>
    <n v="24.1"/>
    <n v="48.2"/>
    <s v="Medium"/>
    <n v="7.23"/>
    <n v="40.97"/>
    <x v="0"/>
    <n v="2024"/>
    <n v="30"/>
    <x v="1"/>
    <s v="Sunday"/>
    <x v="0"/>
    <x v="0"/>
    <s v="Regular"/>
  </r>
  <r>
    <n v="8450"/>
    <s v="ValuePlus Market"/>
    <d v="2023-10-17T00:00:00"/>
    <s v="Frozen Foods"/>
    <s v="Cereal"/>
    <n v="4"/>
    <n v="12.4"/>
    <n v="49.6"/>
    <s v="Medium"/>
    <n v="7.44"/>
    <n v="42.160000000000004"/>
    <x v="7"/>
    <n v="2023"/>
    <n v="80"/>
    <x v="3"/>
    <s v="Tuesday"/>
    <x v="1"/>
    <x v="1"/>
    <s v="Regular"/>
  </r>
  <r>
    <n v="9827"/>
    <s v="FreshMart Downtown"/>
    <d v="2023-12-15T00:00:00"/>
    <s v="Produce"/>
    <s v="Tomatoes"/>
    <n v="4"/>
    <n v="12.6"/>
    <n v="50.4"/>
    <s v="Medium"/>
    <n v="7.56"/>
    <n v="42.839999999999996"/>
    <x v="11"/>
    <n v="2023"/>
    <n v="439"/>
    <x v="0"/>
    <s v="Friday"/>
    <x v="1"/>
    <x v="1"/>
    <s v="Regular"/>
  </r>
  <r>
    <n v="4902"/>
    <s v="FamilyFood Express"/>
    <d v="2024-06-28T00:00:00"/>
    <s v="Bakery"/>
    <s v="Rice"/>
    <n v="2"/>
    <n v="26.7"/>
    <n v="53.4"/>
    <s v="Medium"/>
    <n v="8.01"/>
    <n v="45.39"/>
    <x v="10"/>
    <n v="2024"/>
    <n v="418"/>
    <x v="0"/>
    <s v="Friday"/>
    <x v="0"/>
    <x v="1"/>
    <s v="Regular"/>
  </r>
  <r>
    <n v="8847"/>
    <s v="ValuePlus Market"/>
    <d v="2025-05-26T00:00:00"/>
    <s v="Meat &amp; Seafood"/>
    <s v="Salmon"/>
    <n v="5"/>
    <n v="11.44"/>
    <n v="57.2"/>
    <s v="Medium"/>
    <n v="8.58"/>
    <n v="48.620000000000005"/>
    <x v="3"/>
    <n v="2025"/>
    <n v="18"/>
    <x v="1"/>
    <s v="Monday"/>
    <x v="1"/>
    <x v="1"/>
    <s v="Regular"/>
  </r>
  <r>
    <n v="3580"/>
    <s v="FamilyFood Express"/>
    <d v="2025-02-09T00:00:00"/>
    <s v="Dairy"/>
    <s v="Potatoes"/>
    <n v="2"/>
    <n v="28.8"/>
    <n v="57.6"/>
    <s v="Medium"/>
    <n v="8.64"/>
    <n v="48.96"/>
    <x v="4"/>
    <n v="2025"/>
    <n v="426"/>
    <x v="0"/>
    <s v="Sunday"/>
    <x v="0"/>
    <x v="0"/>
    <s v="Regular"/>
  </r>
  <r>
    <n v="5082"/>
    <s v="QuickStop Market"/>
    <d v="2025-07-19T00:00:00"/>
    <s v="Canned Goods"/>
    <s v="Carrots"/>
    <n v="4"/>
    <n v="14.5"/>
    <n v="58"/>
    <s v="Medium"/>
    <n v="8.6999999999999993"/>
    <n v="49.3"/>
    <x v="2"/>
    <n v="2025"/>
    <n v="411"/>
    <x v="0"/>
    <s v="Saturday"/>
    <x v="1"/>
    <x v="0"/>
    <s v="Regular"/>
  </r>
  <r>
    <n v="9120"/>
    <s v="FreshMart Downtown"/>
    <d v="2023-09-12T00:00:00"/>
    <s v="Snacks &amp; Candy"/>
    <s v="Rice"/>
    <n v="4"/>
    <n v="15.3"/>
    <n v="61.2"/>
    <s v="Medium"/>
    <n v="9.18"/>
    <n v="52.02"/>
    <x v="1"/>
    <n v="2023"/>
    <n v="328"/>
    <x v="0"/>
    <s v="Tuesday"/>
    <x v="1"/>
    <x v="1"/>
    <s v="Regular"/>
  </r>
  <r>
    <n v="7150"/>
    <s v="FamilyFood Express"/>
    <d v="2024-07-07T00:00:00"/>
    <s v="Frozen Foods"/>
    <s v="Cheese"/>
    <n v="4"/>
    <n v="16.100000000000001"/>
    <n v="64.400000000000006"/>
    <s v="Medium"/>
    <n v="9.66"/>
    <n v="54.740000000000009"/>
    <x v="2"/>
    <n v="2024"/>
    <n v="425"/>
    <x v="0"/>
    <s v="Sunday"/>
    <x v="1"/>
    <x v="0"/>
    <s v="Regular"/>
  </r>
  <r>
    <n v="8344"/>
    <s v="ValuePlus Market"/>
    <d v="2025-04-02T00:00:00"/>
    <s v="Household Items"/>
    <s v="Apples"/>
    <n v="4"/>
    <n v="16.95"/>
    <n v="67.8"/>
    <s v="High"/>
    <n v="10.17"/>
    <n v="57.629999999999995"/>
    <x v="9"/>
    <n v="2025"/>
    <n v="22"/>
    <x v="1"/>
    <s v="Wednesday"/>
    <x v="1"/>
    <x v="1"/>
    <s v="Regular"/>
  </r>
  <r>
    <n v="7049"/>
    <s v="QuickStop Market"/>
    <d v="2024-11-01T00:00:00"/>
    <s v="Personal Care"/>
    <s v="Tomatoes"/>
    <n v="5"/>
    <n v="14.72"/>
    <n v="73.599999999999994"/>
    <s v="High"/>
    <n v="11.04"/>
    <n v="62.559999999999995"/>
    <x v="0"/>
    <n v="2024"/>
    <n v="18"/>
    <x v="1"/>
    <s v="Friday"/>
    <x v="1"/>
    <x v="1"/>
    <s v="Regular"/>
  </r>
  <r>
    <n v="9793"/>
    <s v="City Fresh Store"/>
    <d v="2023-08-13T00:00:00"/>
    <s v="Health &amp; Wellness"/>
    <s v="Yogurt"/>
    <n v="3"/>
    <n v="26"/>
    <n v="78"/>
    <s v="High"/>
    <n v="11.7"/>
    <n v="66.3"/>
    <x v="5"/>
    <n v="2023"/>
    <n v="246"/>
    <x v="0"/>
    <s v="Sunday"/>
    <x v="1"/>
    <x v="0"/>
    <s v="Regular"/>
  </r>
  <r>
    <n v="6147"/>
    <s v="FreshMart Downtown"/>
    <d v="2024-02-08T00:00:00"/>
    <s v="Produce"/>
    <s v="Yogurt"/>
    <n v="3"/>
    <n v="28.4"/>
    <n v="85.2"/>
    <s v="High"/>
    <n v="12.78"/>
    <n v="72.42"/>
    <x v="4"/>
    <n v="2024"/>
    <n v="392"/>
    <x v="0"/>
    <s v="Thursday"/>
    <x v="1"/>
    <x v="1"/>
    <s v="Regular"/>
  </r>
  <r>
    <n v="4048"/>
    <s v="ValuePlus Market"/>
    <d v="2024-08-28T00:00:00"/>
    <s v="Canned Goods"/>
    <s v="Cereal"/>
    <n v="3"/>
    <n v="29.4"/>
    <n v="88.2"/>
    <s v="High"/>
    <n v="13.23"/>
    <n v="74.97"/>
    <x v="5"/>
    <n v="2024"/>
    <n v="362"/>
    <x v="0"/>
    <s v="Wednesday"/>
    <x v="1"/>
    <x v="1"/>
    <s v="Regular"/>
  </r>
  <r>
    <n v="8811"/>
    <s v="MegaMart Westside"/>
    <d v="2024-08-31T00:00:00"/>
    <s v="Beverages"/>
    <s v="Tomatoes"/>
    <n v="4"/>
    <n v="22.15"/>
    <n v="88.6"/>
    <s v="High"/>
    <n v="13.29"/>
    <n v="75.31"/>
    <x v="5"/>
    <n v="2024"/>
    <n v="160"/>
    <x v="2"/>
    <s v="Saturday"/>
    <x v="1"/>
    <x v="0"/>
    <s v="Regular"/>
  </r>
  <r>
    <n v="9515"/>
    <s v="FamilyFood Express"/>
    <d v="2024-06-22T00:00:00"/>
    <s v="Health &amp; Wellness"/>
    <s v="Yogurt"/>
    <n v="4"/>
    <n v="22.5"/>
    <n v="90"/>
    <s v="High"/>
    <n v="13.5"/>
    <n v="76.5"/>
    <x v="10"/>
    <n v="2024"/>
    <n v="190"/>
    <x v="2"/>
    <s v="Saturday"/>
    <x v="1"/>
    <x v="0"/>
    <s v="Regular"/>
  </r>
  <r>
    <n v="4929"/>
    <s v="ValuePlus Market"/>
    <d v="2023-12-20T00:00:00"/>
    <s v="Health &amp; Wellness"/>
    <s v="Orange Juice"/>
    <n v="5"/>
    <n v="19.760000000000002"/>
    <n v="98.8"/>
    <s v="High"/>
    <n v="14.82"/>
    <n v="83.97999999999999"/>
    <x v="11"/>
    <n v="2023"/>
    <n v="311"/>
    <x v="0"/>
    <s v="Wednesday"/>
    <x v="1"/>
    <x v="1"/>
    <s v="Regular"/>
  </r>
  <r>
    <n v="1919"/>
    <s v="Unknown Store"/>
    <d v="2024-03-21T00:00:00"/>
    <s v="Bakery"/>
    <s v="Yogurt"/>
    <n v="4"/>
    <n v="27.95"/>
    <n v="111.8"/>
    <s v="High"/>
    <n v="16.77"/>
    <n v="95.03"/>
    <x v="6"/>
    <n v="2024"/>
    <n v="294"/>
    <x v="0"/>
    <s v="Thursday"/>
    <x v="1"/>
    <x v="1"/>
    <s v="Regular"/>
  </r>
  <r>
    <n v="7246"/>
    <s v="GreenGrocer Plaza"/>
    <d v="2024-06-01T00:00:00"/>
    <s v="Personal Care"/>
    <s v="Pasta"/>
    <n v="4"/>
    <n v="29.2"/>
    <n v="116.8"/>
    <s v="High"/>
    <n v="17.52"/>
    <n v="99.28"/>
    <x v="10"/>
    <n v="2024"/>
    <n v="114"/>
    <x v="2"/>
    <s v="Saturday"/>
    <x v="1"/>
    <x v="0"/>
    <s v="Regular"/>
  </r>
  <r>
    <n v="4006"/>
    <s v="ValuePlus Market"/>
    <d v="2024-03-10T00:00:00"/>
    <s v="Canned Goods"/>
    <s v="Carrots"/>
    <n v="5"/>
    <n v="27.48"/>
    <n v="137.4"/>
    <s v="Very High"/>
    <n v="20.61"/>
    <n v="116.79"/>
    <x v="6"/>
    <n v="2024"/>
    <n v="425"/>
    <x v="0"/>
    <s v="Sunday"/>
    <x v="1"/>
    <x v="0"/>
    <s v="High Value"/>
  </r>
  <r>
    <n v="2773"/>
    <s v="MegaMart Westside"/>
    <d v="2024-05-04T00:00:00"/>
    <s v="Dairy"/>
    <s v="Bananas"/>
    <n v="5"/>
    <n v="29.6"/>
    <n v="148"/>
    <s v="Very High"/>
    <n v="22.2"/>
    <n v="125.8"/>
    <x v="3"/>
    <n v="2024"/>
    <n v="206"/>
    <x v="0"/>
    <s v="Saturday"/>
    <x v="1"/>
    <x v="0"/>
    <s v="High Value"/>
  </r>
  <r>
    <n v="1647"/>
    <s v="City Fresh Store"/>
    <d v="2025-06-15T00:00:00"/>
    <s v="Meat &amp; Seafood"/>
    <s v="Bananas"/>
    <n v="4"/>
    <n v="13.4"/>
    <n v="53.6"/>
    <s v="Medium"/>
    <n v="8.0399999999999991"/>
    <n v="45.56"/>
    <x v="10"/>
    <n v="2025"/>
    <n v="10"/>
    <x v="1"/>
    <s v="Sunday"/>
    <x v="1"/>
    <x v="0"/>
    <s v="Regular"/>
  </r>
  <r>
    <n v="6455"/>
    <s v="MegaMart Westside"/>
    <d v="2024-03-29T00:00:00"/>
    <s v="Beverages"/>
    <s v="Potatoes"/>
    <n v="3"/>
    <n v="29.69"/>
    <n v="89.07"/>
    <s v="High"/>
    <n v="13.36"/>
    <n v="75.709999999999994"/>
    <x v="6"/>
    <n v="2024"/>
    <n v="131"/>
    <x v="2"/>
    <s v="Friday"/>
    <x v="1"/>
    <x v="1"/>
    <s v="Regular"/>
  </r>
  <r>
    <n v="9056"/>
    <s v="ValuePlus Market"/>
    <d v="2024-06-24T00:00:00"/>
    <s v="Beverages"/>
    <s v="Chicken Breast"/>
    <n v="3"/>
    <n v="27.89"/>
    <n v="83.67"/>
    <s v="High"/>
    <n v="12.55"/>
    <n v="71.12"/>
    <x v="10"/>
    <n v="2024"/>
    <n v="107"/>
    <x v="2"/>
    <s v="Monday"/>
    <x v="1"/>
    <x v="1"/>
    <s v="Regular"/>
  </r>
  <r>
    <n v="4258"/>
    <s v="Corner Grocery"/>
    <d v="2023-12-03T00:00:00"/>
    <s v="Household Items"/>
    <s v="Pasta"/>
    <n v="3"/>
    <n v="25.69"/>
    <n v="77.069999999999993"/>
    <s v="High"/>
    <n v="11.56"/>
    <n v="65.509999999999991"/>
    <x v="11"/>
    <n v="2023"/>
    <n v="425"/>
    <x v="0"/>
    <s v="Sunday"/>
    <x v="1"/>
    <x v="0"/>
    <s v="Regular"/>
  </r>
  <r>
    <n v="2320"/>
    <s v="QuickStop Market"/>
    <d v="2024-12-26T00:00:00"/>
    <s v="Household Items"/>
    <s v="Tomatoes"/>
    <n v="3"/>
    <n v="24.98"/>
    <n v="74.94"/>
    <s v="High"/>
    <n v="11.24"/>
    <n v="63.699999999999996"/>
    <x v="11"/>
    <n v="2024"/>
    <n v="43"/>
    <x v="1"/>
    <s v="Thursday"/>
    <x v="1"/>
    <x v="1"/>
    <s v="Regular"/>
  </r>
  <r>
    <n v="8037"/>
    <s v="Corner Grocery"/>
    <d v="2024-06-04T00:00:00"/>
    <s v="Personal Care"/>
    <s v="Cheese"/>
    <n v="3"/>
    <n v="22.78"/>
    <n v="68.34"/>
    <s v="High"/>
    <n v="10.25"/>
    <n v="58.09"/>
    <x v="10"/>
    <n v="2024"/>
    <n v="214"/>
    <x v="0"/>
    <s v="Tuesday"/>
    <x v="1"/>
    <x v="1"/>
    <s v="Regular"/>
  </r>
  <r>
    <n v="6050"/>
    <s v="Corner Grocery"/>
    <d v="2024-07-17T00:00:00"/>
    <s v="Dairy"/>
    <s v="Apples"/>
    <n v="4"/>
    <n v="28.72"/>
    <n v="114.88"/>
    <s v="High"/>
    <n v="17.23"/>
    <n v="97.649999999999991"/>
    <x v="2"/>
    <n v="2024"/>
    <n v="338"/>
    <x v="0"/>
    <s v="Wednesday"/>
    <x v="1"/>
    <x v="1"/>
    <s v="Regular"/>
  </r>
  <r>
    <n v="6155"/>
    <s v="FreshMart Downtown"/>
    <d v="2024-01-19T00:00:00"/>
    <s v="Snacks &amp; Candy"/>
    <s v="Bananas"/>
    <n v="5"/>
    <n v="27.83"/>
    <n v="139.15"/>
    <s v="Very High"/>
    <n v="20.87"/>
    <n v="118.28"/>
    <x v="8"/>
    <n v="2024"/>
    <n v="275"/>
    <x v="0"/>
    <s v="Friday"/>
    <x v="1"/>
    <x v="1"/>
    <s v="High Value"/>
  </r>
  <r>
    <n v="6401"/>
    <s v="City Fresh Store"/>
    <d v="2023-10-19T00:00:00"/>
    <s v="Dairy"/>
    <s v="Chicken Breast"/>
    <n v="2"/>
    <n v="27.77"/>
    <n v="55.54"/>
    <s v="Medium"/>
    <n v="8.33"/>
    <n v="47.21"/>
    <x v="7"/>
    <n v="2023"/>
    <n v="245"/>
    <x v="0"/>
    <s v="Thursday"/>
    <x v="0"/>
    <x v="1"/>
    <s v="Regular"/>
  </r>
  <r>
    <n v="3161"/>
    <s v="QuickStop Market"/>
    <d v="2024-09-08T00:00:00"/>
    <s v="Snacks &amp; Candy"/>
    <s v="Cheese"/>
    <n v="5"/>
    <n v="27.59"/>
    <n v="137.94999999999999"/>
    <s v="Very High"/>
    <n v="20.69"/>
    <n v="117.25999999999999"/>
    <x v="1"/>
    <n v="2024"/>
    <n v="66"/>
    <x v="3"/>
    <s v="Sunday"/>
    <x v="1"/>
    <x v="0"/>
    <s v="High Value"/>
  </r>
  <r>
    <n v="5119"/>
    <s v="Corner Grocery"/>
    <d v="2024-10-09T00:00:00"/>
    <s v="Personal Care"/>
    <s v="Onions"/>
    <n v="5"/>
    <n v="27.03"/>
    <n v="135.15"/>
    <s v="Very High"/>
    <n v="20.27"/>
    <n v="114.88000000000001"/>
    <x v="7"/>
    <n v="2024"/>
    <n v="249"/>
    <x v="0"/>
    <s v="Wednesday"/>
    <x v="1"/>
    <x v="1"/>
    <s v="High Value"/>
  </r>
  <r>
    <n v="8740"/>
    <s v="City Fresh Store"/>
    <d v="2025-01-28T00:00:00"/>
    <s v="Snacks &amp; Candy"/>
    <s v="Eggs"/>
    <n v="4"/>
    <n v="25.82"/>
    <n v="103.28"/>
    <s v="High"/>
    <n v="15.49"/>
    <n v="87.79"/>
    <x v="8"/>
    <n v="2025"/>
    <n v="307"/>
    <x v="0"/>
    <s v="Tuesday"/>
    <x v="1"/>
    <x v="1"/>
    <s v="Regular"/>
  </r>
  <r>
    <n v="3634"/>
    <s v="City Fresh Store"/>
    <d v="2024-04-19T00:00:00"/>
    <s v="Canned Goods"/>
    <s v="Orange Juice"/>
    <n v="1"/>
    <n v="24.67"/>
    <n v="24.67"/>
    <s v="Low"/>
    <n v="3.7"/>
    <n v="20.970000000000002"/>
    <x v="9"/>
    <n v="2024"/>
    <n v="432"/>
    <x v="0"/>
    <s v="Friday"/>
    <x v="0"/>
    <x v="1"/>
    <s v="Regular"/>
  </r>
  <r>
    <n v="5914"/>
    <s v="GreenGrocer Plaza"/>
    <d v="2025-05-29T00:00:00"/>
    <s v="Produce"/>
    <s v="Potatoes"/>
    <n v="4"/>
    <n v="24.42"/>
    <n v="97.68"/>
    <s v="High"/>
    <n v="14.65"/>
    <n v="83.03"/>
    <x v="3"/>
    <n v="2025"/>
    <n v="303"/>
    <x v="0"/>
    <s v="Thursday"/>
    <x v="1"/>
    <x v="1"/>
    <s v="Regular"/>
  </r>
  <r>
    <n v="3273"/>
    <s v="FamilyFood Express"/>
    <d v="2025-03-18T00:00:00"/>
    <s v="Snacks &amp; Candy"/>
    <s v="Apples"/>
    <n v="4"/>
    <n v="23.97"/>
    <n v="95.88"/>
    <s v="High"/>
    <n v="14.38"/>
    <n v="81.5"/>
    <x v="6"/>
    <n v="2025"/>
    <n v="14"/>
    <x v="1"/>
    <s v="Tuesday"/>
    <x v="1"/>
    <x v="1"/>
    <s v="Regular"/>
  </r>
  <r>
    <n v="7232"/>
    <s v="QuickStop Market"/>
    <d v="2024-08-11T00:00:00"/>
    <s v="Health &amp; Wellness"/>
    <s v="Potatoes"/>
    <n v="5"/>
    <n v="23.67"/>
    <n v="118.35"/>
    <s v="High"/>
    <n v="17.75"/>
    <n v="100.6"/>
    <x v="5"/>
    <n v="2024"/>
    <n v="166"/>
    <x v="2"/>
    <s v="Sunday"/>
    <x v="1"/>
    <x v="0"/>
    <s v="High Value"/>
  </r>
  <r>
    <n v="2946"/>
    <s v="Corner Grocery"/>
    <d v="2023-11-14T00:00:00"/>
    <s v="Dairy"/>
    <s v="Chicken Breast"/>
    <n v="5"/>
    <n v="23.51"/>
    <n v="117.55"/>
    <s v="High"/>
    <n v="17.63"/>
    <n v="99.92"/>
    <x v="0"/>
    <n v="2023"/>
    <n v="176"/>
    <x v="2"/>
    <s v="Tuesday"/>
    <x v="1"/>
    <x v="1"/>
    <s v="Regular"/>
  </r>
  <r>
    <n v="2591"/>
    <s v="FamilyFood Express"/>
    <d v="2025-07-08T00:00:00"/>
    <s v="Frozen Foods"/>
    <s v="Bread"/>
    <n v="4"/>
    <n v="19.12"/>
    <n v="76.48"/>
    <s v="High"/>
    <n v="11.47"/>
    <n v="65.010000000000005"/>
    <x v="2"/>
    <n v="2025"/>
    <n v="264"/>
    <x v="0"/>
    <s v="Tuesday"/>
    <x v="1"/>
    <x v="1"/>
    <s v="Regular"/>
  </r>
  <r>
    <n v="6905"/>
    <s v="City Fresh Store"/>
    <d v="2024-02-17T00:00:00"/>
    <s v="Dairy"/>
    <s v="Cereal"/>
    <n v="3"/>
    <n v="18.87"/>
    <n v="56.61"/>
    <s v="Medium"/>
    <n v="8.49"/>
    <n v="48.12"/>
    <x v="4"/>
    <n v="2024"/>
    <n v="378"/>
    <x v="0"/>
    <s v="Saturday"/>
    <x v="1"/>
    <x v="0"/>
    <s v="Regular"/>
  </r>
  <r>
    <n v="2229"/>
    <s v="GreenGrocer Plaza"/>
    <d v="2023-12-06T00:00:00"/>
    <s v="Beverages"/>
    <s v="Bread"/>
    <n v="3"/>
    <n v="29.65"/>
    <n v="88.95"/>
    <s v="High"/>
    <n v="13.34"/>
    <n v="75.61"/>
    <x v="11"/>
    <n v="2023"/>
    <n v="327"/>
    <x v="0"/>
    <s v="Wednesday"/>
    <x v="1"/>
    <x v="1"/>
    <s v="Regular"/>
  </r>
  <r>
    <n v="8035"/>
    <s v="FreshMart Downtown"/>
    <d v="2024-04-07T00:00:00"/>
    <s v="Beverages"/>
    <s v="Chicken Breast"/>
    <n v="3"/>
    <n v="17.27"/>
    <n v="51.81"/>
    <s v="Medium"/>
    <n v="7.77"/>
    <n v="44.040000000000006"/>
    <x v="9"/>
    <n v="2024"/>
    <n v="312"/>
    <x v="0"/>
    <s v="Sunday"/>
    <x v="1"/>
    <x v="0"/>
    <s v="Regular"/>
  </r>
  <r>
    <n v="7383"/>
    <s v="FamilyFood Express"/>
    <d v="2024-04-08T00:00:00"/>
    <s v="Health &amp; Wellness"/>
    <s v="Orange Juice"/>
    <n v="4"/>
    <n v="16.37"/>
    <n v="65.48"/>
    <s v="Medium"/>
    <n v="9.82"/>
    <n v="55.660000000000004"/>
    <x v="9"/>
    <n v="2024"/>
    <n v="488"/>
    <x v="0"/>
    <s v="Monday"/>
    <x v="1"/>
    <x v="1"/>
    <s v="Regular"/>
  </r>
  <r>
    <n v="9647"/>
    <s v="SuperSave Central"/>
    <d v="2024-06-30T00:00:00"/>
    <s v="Personal Care"/>
    <s v="Potatoes"/>
    <n v="3"/>
    <n v="26.45"/>
    <n v="79.349999999999994"/>
    <s v="High"/>
    <n v="11.9"/>
    <n v="67.449999999999989"/>
    <x v="10"/>
    <n v="2024"/>
    <n v="67"/>
    <x v="3"/>
    <s v="Sunday"/>
    <x v="1"/>
    <x v="0"/>
    <s v="Regular"/>
  </r>
  <r>
    <n v="4396"/>
    <s v="ValuePlus Market"/>
    <d v="2025-01-24T00:00:00"/>
    <s v="Snacks &amp; Candy"/>
    <s v="Bread"/>
    <n v="3"/>
    <n v="19.559999999999999"/>
    <n v="58.68"/>
    <s v="Medium"/>
    <n v="8.8000000000000007"/>
    <n v="49.879999999999995"/>
    <x v="8"/>
    <n v="2025"/>
    <n v="185"/>
    <x v="2"/>
    <s v="Friday"/>
    <x v="1"/>
    <x v="1"/>
    <s v="Regular"/>
  </r>
  <r>
    <n v="6269"/>
    <s v="SuperSave Central"/>
    <d v="2025-03-31T00:00:00"/>
    <s v="Beverages"/>
    <s v="Eggs"/>
    <n v="5"/>
    <n v="29.02"/>
    <n v="145.1"/>
    <s v="Very High"/>
    <n v="21.76"/>
    <n v="123.33999999999999"/>
    <x v="6"/>
    <n v="2025"/>
    <n v="319"/>
    <x v="0"/>
    <s v="Monday"/>
    <x v="1"/>
    <x v="1"/>
    <s v="High Value"/>
  </r>
  <r>
    <n v="1339"/>
    <s v="SuperSave Central"/>
    <d v="2025-03-23T00:00:00"/>
    <s v="Canned Goods"/>
    <s v="Orange Juice"/>
    <n v="4"/>
    <n v="28.69"/>
    <n v="114.76"/>
    <s v="High"/>
    <n v="17.21"/>
    <n v="97.550000000000011"/>
    <x v="6"/>
    <n v="2025"/>
    <n v="137"/>
    <x v="2"/>
    <s v="Sunday"/>
    <x v="1"/>
    <x v="0"/>
    <s v="Regular"/>
  </r>
  <r>
    <n v="3474"/>
    <s v="FreshMart Downtown"/>
    <d v="2023-08-14T00:00:00"/>
    <s v="Meat &amp; Seafood"/>
    <s v="Bananas"/>
    <n v="3"/>
    <n v="23.45"/>
    <n v="70.349999999999994"/>
    <s v="High"/>
    <n v="10.55"/>
    <n v="59.8"/>
    <x v="5"/>
    <n v="2023"/>
    <n v="290"/>
    <x v="0"/>
    <s v="Monday"/>
    <x v="1"/>
    <x v="1"/>
    <s v="Regular"/>
  </r>
  <r>
    <n v="3184"/>
    <s v="SuperSave Central"/>
    <d v="2025-04-20T00:00:00"/>
    <s v="Produce"/>
    <s v="Pasta"/>
    <n v="5"/>
    <n v="28.1"/>
    <n v="140.5"/>
    <s v="Very High"/>
    <n v="21.07"/>
    <n v="119.43"/>
    <x v="9"/>
    <n v="2025"/>
    <n v="296"/>
    <x v="0"/>
    <s v="Sunday"/>
    <x v="1"/>
    <x v="0"/>
    <s v="High Value"/>
  </r>
  <r>
    <n v="8520"/>
    <s v="City Fresh Store"/>
    <d v="2024-10-18T00:00:00"/>
    <s v="Frozen Foods"/>
    <s v="Bread"/>
    <n v="2"/>
    <n v="27.44"/>
    <n v="54.88"/>
    <s v="Medium"/>
    <n v="8.23"/>
    <n v="46.650000000000006"/>
    <x v="7"/>
    <n v="2024"/>
    <n v="430"/>
    <x v="0"/>
    <s v="Friday"/>
    <x v="0"/>
    <x v="1"/>
    <s v="Regular"/>
  </r>
  <r>
    <n v="4342"/>
    <s v="ValuePlus Market"/>
    <d v="2024-04-27T00:00:00"/>
    <s v="Frozen Foods"/>
    <s v="Bread"/>
    <n v="2"/>
    <n v="27.34"/>
    <n v="54.68"/>
    <s v="Medium"/>
    <n v="8.1999999999999993"/>
    <n v="46.480000000000004"/>
    <x v="9"/>
    <n v="2024"/>
    <n v="210"/>
    <x v="0"/>
    <s v="Saturday"/>
    <x v="0"/>
    <x v="0"/>
    <s v="Regular"/>
  </r>
  <r>
    <n v="1634"/>
    <s v="MegaMart Westside"/>
    <d v="2025-06-03T00:00:00"/>
    <s v="Bakery"/>
    <s v="Orange Juice"/>
    <n v="5"/>
    <n v="26.94"/>
    <n v="134.69999999999999"/>
    <s v="Very High"/>
    <n v="20.2"/>
    <n v="114.49999999999999"/>
    <x v="10"/>
    <n v="2025"/>
    <n v="433"/>
    <x v="0"/>
    <s v="Tuesday"/>
    <x v="1"/>
    <x v="1"/>
    <s v="High Value"/>
  </r>
  <r>
    <n v="6802"/>
    <s v="Corner Grocery"/>
    <d v="2023-10-01T00:00:00"/>
    <s v="Canned Goods"/>
    <s v="Tomatoes"/>
    <n v="3"/>
    <n v="4.49"/>
    <n v="13.47"/>
    <s v="Low"/>
    <n v="2.02"/>
    <n v="11.450000000000001"/>
    <x v="7"/>
    <n v="2023"/>
    <n v="350"/>
    <x v="0"/>
    <s v="Sunday"/>
    <x v="1"/>
    <x v="0"/>
    <s v="Regular"/>
  </r>
  <r>
    <n v="7114"/>
    <s v="Corner Grocery"/>
    <d v="2025-04-15T00:00:00"/>
    <s v="Personal Care"/>
    <s v="Cheese"/>
    <n v="3"/>
    <n v="22.25"/>
    <n v="66.75"/>
    <s v="High"/>
    <n v="10.01"/>
    <n v="56.74"/>
    <x v="9"/>
    <n v="2025"/>
    <n v="87"/>
    <x v="3"/>
    <s v="Tuesday"/>
    <x v="1"/>
    <x v="1"/>
    <s v="Regular"/>
  </r>
  <r>
    <n v="3170"/>
    <s v="MegaMart Westside"/>
    <d v="2023-10-13T00:00:00"/>
    <s v="Snacks &amp; Candy"/>
    <s v="Tomatoes"/>
    <n v="4"/>
    <n v="13.32"/>
    <n v="53.28"/>
    <s v="Medium"/>
    <n v="7.99"/>
    <n v="45.29"/>
    <x v="7"/>
    <n v="2023"/>
    <n v="133"/>
    <x v="2"/>
    <s v="Friday"/>
    <x v="1"/>
    <x v="1"/>
    <s v="Regular"/>
  </r>
  <r>
    <n v="6314"/>
    <s v="GreenGrocer Plaza"/>
    <d v="2025-04-16T00:00:00"/>
    <s v="Dairy"/>
    <s v="Onions"/>
    <n v="3"/>
    <n v="22.05"/>
    <n v="66.150000000000006"/>
    <s v="Medium"/>
    <n v="9.92"/>
    <n v="56.230000000000004"/>
    <x v="9"/>
    <n v="2025"/>
    <n v="286"/>
    <x v="0"/>
    <s v="Wednesday"/>
    <x v="1"/>
    <x v="1"/>
    <s v="Regular"/>
  </r>
  <r>
    <n v="6631"/>
    <s v="MegaMart Westside"/>
    <d v="2025-07-01T00:00:00"/>
    <s v="Bakery"/>
    <s v="Potatoes"/>
    <n v="4"/>
    <n v="13.22"/>
    <n v="52.88"/>
    <s v="Medium"/>
    <n v="7.93"/>
    <n v="44.95"/>
    <x v="2"/>
    <n v="2025"/>
    <n v="326"/>
    <x v="0"/>
    <s v="Tuesday"/>
    <x v="1"/>
    <x v="1"/>
    <s v="Regular"/>
  </r>
  <r>
    <n v="1645"/>
    <s v="ValuePlus Market"/>
    <d v="2024-04-02T00:00:00"/>
    <s v="Frozen Foods"/>
    <s v="Cheese"/>
    <n v="2"/>
    <n v="25.74"/>
    <n v="51.48"/>
    <s v="Medium"/>
    <n v="7.72"/>
    <n v="43.76"/>
    <x v="9"/>
    <n v="2024"/>
    <n v="93"/>
    <x v="3"/>
    <s v="Tuesday"/>
    <x v="0"/>
    <x v="1"/>
    <s v="Regular"/>
  </r>
  <r>
    <n v="1949"/>
    <s v="ValuePlus Market"/>
    <d v="2024-02-10T00:00:00"/>
    <s v="Household Items"/>
    <s v="Rice"/>
    <n v="1"/>
    <n v="25.14"/>
    <n v="25.14"/>
    <s v="Low"/>
    <n v="3.77"/>
    <n v="21.37"/>
    <x v="4"/>
    <n v="2024"/>
    <n v="151"/>
    <x v="2"/>
    <s v="Saturday"/>
    <x v="0"/>
    <x v="0"/>
    <s v="Regular"/>
  </r>
  <r>
    <n v="3290"/>
    <s v="City Fresh Store"/>
    <d v="2024-02-15T00:00:00"/>
    <s v="Frozen Foods"/>
    <s v="Milk"/>
    <n v="5"/>
    <n v="25.1"/>
    <n v="125.5"/>
    <s v="High"/>
    <n v="18.82"/>
    <n v="106.68"/>
    <x v="4"/>
    <n v="2024"/>
    <n v="96"/>
    <x v="3"/>
    <s v="Thursday"/>
    <x v="1"/>
    <x v="1"/>
    <s v="High Value"/>
  </r>
  <r>
    <n v="1483"/>
    <s v="FamilyFood Express"/>
    <d v="2024-05-30T00:00:00"/>
    <s v="Canned Goods"/>
    <s v="Rice"/>
    <n v="2"/>
    <n v="24.94"/>
    <n v="49.88"/>
    <s v="Medium"/>
    <n v="7.48"/>
    <n v="42.400000000000006"/>
    <x v="3"/>
    <n v="2024"/>
    <n v="265"/>
    <x v="0"/>
    <s v="Thursday"/>
    <x v="0"/>
    <x v="1"/>
    <s v="Regular"/>
  </r>
  <r>
    <n v="4043"/>
    <s v="ValuePlus Market"/>
    <d v="2024-08-19T00:00:00"/>
    <s v="Bakery"/>
    <s v="Yogurt"/>
    <n v="3"/>
    <n v="20.25"/>
    <n v="60.75"/>
    <s v="Medium"/>
    <n v="9.11"/>
    <n v="51.64"/>
    <x v="5"/>
    <n v="2024"/>
    <n v="204"/>
    <x v="0"/>
    <s v="Monday"/>
    <x v="1"/>
    <x v="1"/>
    <s v="Regular"/>
  </r>
  <r>
    <n v="6651"/>
    <s v="GreenGrocer Plaza"/>
    <d v="2023-08-26T00:00:00"/>
    <s v="Canned Goods"/>
    <s v="Chicken Breast"/>
    <n v="4"/>
    <n v="24.29"/>
    <n v="97.16"/>
    <s v="High"/>
    <n v="14.57"/>
    <n v="82.59"/>
    <x v="5"/>
    <n v="2023"/>
    <n v="6"/>
    <x v="1"/>
    <s v="Saturday"/>
    <x v="1"/>
    <x v="0"/>
    <s v="Regular"/>
  </r>
  <r>
    <n v="7939"/>
    <s v="FreshMart Downtown"/>
    <d v="2025-05-12T00:00:00"/>
    <s v="Canned Goods"/>
    <s v="Chicken Breast"/>
    <n v="3"/>
    <n v="23.94"/>
    <n v="71.819999999999993"/>
    <s v="High"/>
    <n v="10.77"/>
    <n v="61.05"/>
    <x v="3"/>
    <n v="2025"/>
    <n v="70"/>
    <x v="3"/>
    <s v="Monday"/>
    <x v="1"/>
    <x v="1"/>
    <s v="Regular"/>
  </r>
  <r>
    <n v="3827"/>
    <s v="ValuePlus Market"/>
    <d v="2023-09-06T00:00:00"/>
    <s v="Beverages"/>
    <s v="Ground Beef"/>
    <n v="1"/>
    <n v="23.94"/>
    <n v="23.94"/>
    <s v="Low"/>
    <n v="3.59"/>
    <n v="20.350000000000001"/>
    <x v="1"/>
    <n v="2023"/>
    <n v="78"/>
    <x v="3"/>
    <s v="Wednesday"/>
    <x v="0"/>
    <x v="1"/>
    <s v="Regular"/>
  </r>
  <r>
    <n v="8775"/>
    <s v="FreshMart Downtown"/>
    <d v="2024-02-29T00:00:00"/>
    <s v="Household Items"/>
    <s v="Cereal"/>
    <n v="3"/>
    <n v="15.56"/>
    <n v="46.68"/>
    <s v="Medium"/>
    <n v="7"/>
    <n v="39.68"/>
    <x v="4"/>
    <n v="2024"/>
    <n v="352"/>
    <x v="0"/>
    <s v="Thursday"/>
    <x v="1"/>
    <x v="1"/>
    <s v="Regular"/>
  </r>
  <r>
    <n v="1742"/>
    <s v="ValuePlus Market"/>
    <d v="2023-09-06T00:00:00"/>
    <s v="Frozen Foods"/>
    <s v="Potatoes"/>
    <n v="4"/>
    <n v="22.94"/>
    <n v="91.76"/>
    <s v="High"/>
    <n v="13.76"/>
    <n v="78"/>
    <x v="1"/>
    <n v="2023"/>
    <n v="309"/>
    <x v="0"/>
    <s v="Wednesday"/>
    <x v="1"/>
    <x v="1"/>
    <s v="Regular"/>
  </r>
  <r>
    <n v="6990"/>
    <s v="FamilyFood Express"/>
    <d v="2025-03-15T00:00:00"/>
    <s v="Meat &amp; Seafood"/>
    <s v="Yogurt"/>
    <n v="1"/>
    <n v="22.74"/>
    <n v="22.74"/>
    <s v="Low"/>
    <n v="3.41"/>
    <n v="19.329999999999998"/>
    <x v="6"/>
    <n v="2025"/>
    <n v="414"/>
    <x v="0"/>
    <s v="Saturday"/>
    <x v="0"/>
    <x v="0"/>
    <s v="Regular"/>
  </r>
  <r>
    <n v="2838"/>
    <s v="City Fresh Store"/>
    <d v="2023-09-23T00:00:00"/>
    <s v="Produce"/>
    <s v="Milk"/>
    <n v="3"/>
    <n v="3.69"/>
    <n v="11.07"/>
    <s v="Low"/>
    <n v="1.66"/>
    <n v="9.41"/>
    <x v="1"/>
    <n v="2023"/>
    <n v="158"/>
    <x v="2"/>
    <s v="Saturday"/>
    <x v="1"/>
    <x v="0"/>
    <s v="Regular"/>
  </r>
  <r>
    <n v="7594"/>
    <s v="GreenGrocer Plaza"/>
    <d v="2024-03-05T00:00:00"/>
    <s v="Personal Care"/>
    <s v="Pasta"/>
    <n v="4"/>
    <n v="21.34"/>
    <n v="85.36"/>
    <s v="High"/>
    <n v="12.8"/>
    <n v="72.56"/>
    <x v="6"/>
    <n v="2024"/>
    <n v="105"/>
    <x v="2"/>
    <s v="Tuesday"/>
    <x v="1"/>
    <x v="1"/>
    <s v="Regular"/>
  </r>
  <r>
    <n v="9312"/>
    <s v="FamilyFood Express"/>
    <d v="2023-10-03T00:00:00"/>
    <s v="Dairy"/>
    <s v="Milk"/>
    <n v="3"/>
    <n v="17.649999999999999"/>
    <n v="52.95"/>
    <s v="Medium"/>
    <n v="7.94"/>
    <n v="45.010000000000005"/>
    <x v="7"/>
    <n v="2023"/>
    <n v="225"/>
    <x v="0"/>
    <s v="Tuesday"/>
    <x v="1"/>
    <x v="1"/>
    <s v="Regular"/>
  </r>
  <r>
    <n v="4115"/>
    <s v="QuickStop Market"/>
    <d v="2024-12-01T00:00:00"/>
    <s v="Beverages"/>
    <s v="Onions"/>
    <n v="1"/>
    <n v="20.94"/>
    <n v="20.94"/>
    <s v="Low"/>
    <n v="3.14"/>
    <n v="17.8"/>
    <x v="11"/>
    <n v="2024"/>
    <n v="251"/>
    <x v="0"/>
    <s v="Sunday"/>
    <x v="0"/>
    <x v="0"/>
    <s v="Regular"/>
  </r>
  <r>
    <n v="5371"/>
    <s v="Corner Grocery"/>
    <d v="2025-03-25T00:00:00"/>
    <s v="Canned Goods"/>
    <s v="Yogurt"/>
    <n v="4"/>
    <n v="10.47"/>
    <n v="41.88"/>
    <s v="Medium"/>
    <n v="6.28"/>
    <n v="35.6"/>
    <x v="6"/>
    <n v="2025"/>
    <n v="389"/>
    <x v="0"/>
    <s v="Tuesday"/>
    <x v="1"/>
    <x v="1"/>
    <s v="Regular"/>
  </r>
  <r>
    <n v="9742"/>
    <s v="ValuePlus Market"/>
    <d v="2024-05-28T00:00:00"/>
    <s v="Produce"/>
    <s v="Tomatoes"/>
    <n v="2"/>
    <n v="20.94"/>
    <n v="41.88"/>
    <s v="Medium"/>
    <n v="6.28"/>
    <n v="35.6"/>
    <x v="3"/>
    <n v="2024"/>
    <n v="161"/>
    <x v="2"/>
    <s v="Tuesday"/>
    <x v="0"/>
    <x v="1"/>
    <s v="Regular"/>
  </r>
  <r>
    <n v="8460"/>
    <s v="City Fresh Store"/>
    <d v="2025-04-07T00:00:00"/>
    <s v="Canned Goods"/>
    <s v="Milk"/>
    <n v="5"/>
    <n v="20.9"/>
    <n v="104.5"/>
    <s v="High"/>
    <n v="15.67"/>
    <n v="88.83"/>
    <x v="9"/>
    <n v="2025"/>
    <n v="129"/>
    <x v="2"/>
    <s v="Monday"/>
    <x v="1"/>
    <x v="1"/>
    <s v="Regular"/>
  </r>
  <r>
    <n v="5552"/>
    <s v="ValuePlus Market"/>
    <d v="2023-12-05T00:00:00"/>
    <s v="Personal Care"/>
    <s v="Bananas"/>
    <n v="5"/>
    <n v="10.39"/>
    <n v="51.95"/>
    <s v="Medium"/>
    <n v="7.79"/>
    <n v="44.160000000000004"/>
    <x v="11"/>
    <n v="2023"/>
    <n v="9"/>
    <x v="1"/>
    <s v="Tuesday"/>
    <x v="1"/>
    <x v="1"/>
    <s v="Regular"/>
  </r>
  <r>
    <n v="3870"/>
    <s v="GreenGrocer Plaza"/>
    <d v="2024-08-06T00:00:00"/>
    <s v="Snacks &amp; Candy"/>
    <s v="Potatoes"/>
    <n v="5"/>
    <n v="20.66"/>
    <n v="103.3"/>
    <s v="High"/>
    <n v="15.49"/>
    <n v="87.81"/>
    <x v="5"/>
    <n v="2024"/>
    <n v="92"/>
    <x v="3"/>
    <s v="Tuesday"/>
    <x v="1"/>
    <x v="1"/>
    <s v="Regular"/>
  </r>
  <r>
    <n v="7883"/>
    <s v="MegaMart Westside"/>
    <d v="2024-06-04T00:00:00"/>
    <s v="Household Items"/>
    <s v="Tomatoes"/>
    <n v="3"/>
    <n v="13.76"/>
    <n v="41.28"/>
    <s v="Medium"/>
    <n v="6.19"/>
    <n v="35.090000000000003"/>
    <x v="10"/>
    <n v="2024"/>
    <n v="220"/>
    <x v="0"/>
    <s v="Tuesday"/>
    <x v="1"/>
    <x v="1"/>
    <s v="Regular"/>
  </r>
  <r>
    <n v="4246"/>
    <s v="ValuePlus Market"/>
    <d v="2025-05-07T00:00:00"/>
    <s v="Produce"/>
    <s v="Chicken Breast"/>
    <n v="5"/>
    <n v="20.3"/>
    <n v="101.5"/>
    <s v="High"/>
    <n v="15.22"/>
    <n v="86.28"/>
    <x v="3"/>
    <n v="2025"/>
    <n v="299"/>
    <x v="0"/>
    <s v="Wednesday"/>
    <x v="1"/>
    <x v="1"/>
    <s v="Regular"/>
  </r>
  <r>
    <n v="7276"/>
    <s v="SuperSave Central"/>
    <d v="2023-10-15T00:00:00"/>
    <s v="Snacks &amp; Candy"/>
    <s v="Yogurt"/>
    <n v="4"/>
    <n v="9.9700000000000006"/>
    <n v="39.880000000000003"/>
    <s v="Medium"/>
    <n v="5.98"/>
    <n v="33.900000000000006"/>
    <x v="7"/>
    <n v="2023"/>
    <n v="356"/>
    <x v="0"/>
    <s v="Sunday"/>
    <x v="1"/>
    <x v="0"/>
    <s v="Regular"/>
  </r>
  <r>
    <n v="1793"/>
    <s v="QuickStop Market"/>
    <d v="2023-09-11T00:00:00"/>
    <s v="Frozen Foods"/>
    <s v="Carrots"/>
    <n v="3"/>
    <n v="13.16"/>
    <n v="39.479999999999997"/>
    <s v="Medium"/>
    <n v="5.92"/>
    <n v="33.559999999999995"/>
    <x v="1"/>
    <n v="2023"/>
    <n v="428"/>
    <x v="0"/>
    <s v="Monday"/>
    <x v="1"/>
    <x v="1"/>
    <s v="Regular"/>
  </r>
  <r>
    <n v="1794"/>
    <s v="Unknown Store"/>
    <d v="2025-03-22T00:00:00"/>
    <s v="Beverages"/>
    <s v="Orange Juice"/>
    <n v="5"/>
    <n v="19.3"/>
    <n v="96.5"/>
    <s v="High"/>
    <n v="14.47"/>
    <n v="82.03"/>
    <x v="6"/>
    <n v="2025"/>
    <n v="15"/>
    <x v="1"/>
    <s v="Saturday"/>
    <x v="1"/>
    <x v="0"/>
    <s v="Regular"/>
  </r>
  <r>
    <n v="8033"/>
    <s v="FreshMart Downtown"/>
    <d v="2024-10-25T00:00:00"/>
    <s v="Household Items"/>
    <s v="Apples"/>
    <n v="4"/>
    <n v="18.739999999999998"/>
    <n v="74.959999999999994"/>
    <s v="High"/>
    <n v="11.24"/>
    <n v="63.719999999999992"/>
    <x v="7"/>
    <n v="2024"/>
    <n v="45"/>
    <x v="1"/>
    <s v="Friday"/>
    <x v="1"/>
    <x v="1"/>
    <s v="Regular"/>
  </r>
  <r>
    <n v="4432"/>
    <s v="ValuePlus Market"/>
    <d v="2025-01-08T00:00:00"/>
    <s v="Produce"/>
    <s v="Onions"/>
    <n v="3"/>
    <n v="28.01"/>
    <n v="84.03"/>
    <s v="High"/>
    <n v="12.6"/>
    <n v="71.430000000000007"/>
    <x v="8"/>
    <n v="2025"/>
    <n v="53"/>
    <x v="3"/>
    <s v="Wednesday"/>
    <x v="1"/>
    <x v="1"/>
    <s v="Regular"/>
  </r>
  <r>
    <n v="3507"/>
    <s v="ValuePlus Market"/>
    <d v="2024-03-30T00:00:00"/>
    <s v="Snacks &amp; Candy"/>
    <s v="Carrots"/>
    <n v="3"/>
    <n v="15.45"/>
    <n v="46.35"/>
    <s v="Medium"/>
    <n v="6.95"/>
    <n v="39.4"/>
    <x v="6"/>
    <n v="2024"/>
    <n v="237"/>
    <x v="0"/>
    <s v="Saturday"/>
    <x v="1"/>
    <x v="0"/>
    <s v="Regular"/>
  </r>
  <r>
    <n v="6150"/>
    <s v="SuperSave Central"/>
    <d v="2024-12-23T00:00:00"/>
    <s v="Produce"/>
    <s v="Milk"/>
    <n v="4"/>
    <n v="8.92"/>
    <n v="35.68"/>
    <s v="Medium"/>
    <n v="5.35"/>
    <n v="30.33"/>
    <x v="11"/>
    <n v="2024"/>
    <n v="128"/>
    <x v="2"/>
    <s v="Monday"/>
    <x v="1"/>
    <x v="1"/>
    <s v="Regular"/>
  </r>
  <r>
    <n v="8369"/>
    <s v="Unknown Store"/>
    <d v="2025-05-25T00:00:00"/>
    <s v="Produce"/>
    <s v="Milk"/>
    <n v="5"/>
    <n v="8.7100000000000009"/>
    <n v="43.55"/>
    <s v="Medium"/>
    <n v="6.53"/>
    <n v="37.019999999999996"/>
    <x v="3"/>
    <n v="2025"/>
    <n v="33"/>
    <x v="1"/>
    <s v="Sunday"/>
    <x v="1"/>
    <x v="0"/>
    <s v="Regular"/>
  </r>
  <r>
    <n v="8291"/>
    <s v="MegaMart Westside"/>
    <d v="2023-08-14T00:00:00"/>
    <s v="Frozen Foods"/>
    <s v="Cheese"/>
    <n v="3"/>
    <n v="11.56"/>
    <n v="34.68"/>
    <s v="Medium"/>
    <n v="5.2"/>
    <n v="29.48"/>
    <x v="5"/>
    <n v="2023"/>
    <n v="473"/>
    <x v="0"/>
    <s v="Monday"/>
    <x v="1"/>
    <x v="1"/>
    <s v="Regular"/>
  </r>
  <r>
    <n v="1602"/>
    <s v="SuperSave Central"/>
    <d v="2025-04-12T00:00:00"/>
    <s v="Beverages"/>
    <s v="Cereal"/>
    <n v="3"/>
    <n v="17.34"/>
    <n v="52.02"/>
    <s v="Medium"/>
    <n v="7.8"/>
    <n v="44.220000000000006"/>
    <x v="9"/>
    <n v="2025"/>
    <n v="337"/>
    <x v="0"/>
    <s v="Saturday"/>
    <x v="1"/>
    <x v="0"/>
    <s v="Regular"/>
  </r>
  <r>
    <n v="8953"/>
    <s v="FamilyFood Express"/>
    <d v="2024-01-20T00:00:00"/>
    <s v="Household Items"/>
    <s v="Tomatoes"/>
    <n v="2"/>
    <n v="25.81"/>
    <n v="51.62"/>
    <s v="Medium"/>
    <n v="7.74"/>
    <n v="43.879999999999995"/>
    <x v="8"/>
    <n v="2024"/>
    <n v="210"/>
    <x v="0"/>
    <s v="Saturday"/>
    <x v="0"/>
    <x v="0"/>
    <s v="Regular"/>
  </r>
  <r>
    <n v="8272"/>
    <s v="SuperSave Central"/>
    <d v="2024-08-20T00:00:00"/>
    <s v="Bakery"/>
    <s v="Tomatoes"/>
    <n v="2"/>
    <n v="25.71"/>
    <n v="51.42"/>
    <s v="Medium"/>
    <n v="7.71"/>
    <n v="43.71"/>
    <x v="5"/>
    <n v="2024"/>
    <n v="312"/>
    <x v="0"/>
    <s v="Tuesday"/>
    <x v="0"/>
    <x v="1"/>
    <s v="Regular"/>
  </r>
  <r>
    <n v="9824"/>
    <s v="City Fresh Store"/>
    <d v="2024-08-17T00:00:00"/>
    <s v="Canned Goods"/>
    <s v="Rice"/>
    <n v="4"/>
    <n v="16.989999999999998"/>
    <n v="67.959999999999994"/>
    <s v="High"/>
    <n v="10.19"/>
    <n v="57.769999999999996"/>
    <x v="5"/>
    <n v="2024"/>
    <n v="89"/>
    <x v="3"/>
    <s v="Saturday"/>
    <x v="1"/>
    <x v="0"/>
    <s v="Regular"/>
  </r>
  <r>
    <n v="9883"/>
    <s v="City Fresh Store"/>
    <d v="2023-09-23T00:00:00"/>
    <s v="Dairy"/>
    <s v="Bread"/>
    <n v="3"/>
    <n v="18.63"/>
    <n v="55.89"/>
    <s v="Medium"/>
    <n v="8.3800000000000008"/>
    <n v="47.51"/>
    <x v="1"/>
    <n v="2023"/>
    <n v="33"/>
    <x v="1"/>
    <s v="Saturday"/>
    <x v="1"/>
    <x v="0"/>
    <s v="Regular"/>
  </r>
  <r>
    <n v="2592"/>
    <s v="FreshMart Downtown"/>
    <d v="2024-02-05T00:00:00"/>
    <s v="Household Items"/>
    <s v="Tomatoes"/>
    <n v="1"/>
    <n v="23.61"/>
    <n v="23.61"/>
    <s v="Low"/>
    <n v="3.54"/>
    <n v="20.07"/>
    <x v="4"/>
    <n v="2024"/>
    <n v="471"/>
    <x v="0"/>
    <s v="Monday"/>
    <x v="0"/>
    <x v="1"/>
    <s v="Regular"/>
  </r>
  <r>
    <n v="1944"/>
    <s v="Corner Grocery"/>
    <d v="2024-10-16T00:00:00"/>
    <s v="Beverages"/>
    <s v="Carrots"/>
    <n v="2"/>
    <n v="23.61"/>
    <n v="47.22"/>
    <s v="Medium"/>
    <n v="7.08"/>
    <n v="40.14"/>
    <x v="7"/>
    <n v="2024"/>
    <n v="96"/>
    <x v="3"/>
    <s v="Wednesday"/>
    <x v="0"/>
    <x v="1"/>
    <s v="Regular"/>
  </r>
  <r>
    <n v="4043"/>
    <s v="GreenGrocer Plaza"/>
    <d v="2025-01-15T00:00:00"/>
    <s v="Dairy"/>
    <s v="Salmon"/>
    <n v="4"/>
    <n v="15.29"/>
    <n v="61.16"/>
    <s v="Medium"/>
    <n v="9.17"/>
    <n v="51.989999999999995"/>
    <x v="8"/>
    <n v="2025"/>
    <n v="44"/>
    <x v="1"/>
    <s v="Wednesday"/>
    <x v="1"/>
    <x v="1"/>
    <s v="Regular"/>
  </r>
  <r>
    <n v="5390"/>
    <s v="FamilyFood Express"/>
    <d v="2023-12-04T00:00:00"/>
    <s v="Frozen Foods"/>
    <s v="Potatoes"/>
    <n v="2"/>
    <n v="15.04"/>
    <n v="30.08"/>
    <s v="Low"/>
    <n v="4.51"/>
    <n v="25.57"/>
    <x v="11"/>
    <n v="2023"/>
    <n v="95"/>
    <x v="3"/>
    <s v="Monday"/>
    <x v="0"/>
    <x v="1"/>
    <s v="Regular"/>
  </r>
  <r>
    <n v="2565"/>
    <s v="SuperSave Central"/>
    <d v="2024-09-02T00:00:00"/>
    <s v="Produce"/>
    <s v="Chicken Breast"/>
    <n v="1"/>
    <n v="22.01"/>
    <n v="22.01"/>
    <s v="Low"/>
    <n v="3.3"/>
    <n v="18.71"/>
    <x v="1"/>
    <n v="2024"/>
    <n v="233"/>
    <x v="0"/>
    <s v="Monday"/>
    <x v="0"/>
    <x v="1"/>
    <s v="Regular"/>
  </r>
  <r>
    <n v="6427"/>
    <s v="FreshMart Downtown"/>
    <d v="2024-10-19T00:00:00"/>
    <s v="Canned Goods"/>
    <s v="Potatoes"/>
    <n v="5"/>
    <n v="7.31"/>
    <n v="36.549999999999997"/>
    <s v="Medium"/>
    <n v="5.48"/>
    <n v="31.069999999999997"/>
    <x v="7"/>
    <n v="2024"/>
    <n v="29"/>
    <x v="1"/>
    <s v="Saturday"/>
    <x v="1"/>
    <x v="0"/>
    <s v="Regular"/>
  </r>
  <r>
    <n v="9645"/>
    <s v="FreshMart Downtown"/>
    <d v="2025-06-14T00:00:00"/>
    <s v="Snacks &amp; Candy"/>
    <s v="Salmon"/>
    <n v="5"/>
    <n v="14.62"/>
    <n v="73.099999999999994"/>
    <s v="High"/>
    <n v="10.96"/>
    <n v="62.139999999999993"/>
    <x v="10"/>
    <n v="2025"/>
    <n v="16"/>
    <x v="1"/>
    <s v="Saturday"/>
    <x v="1"/>
    <x v="0"/>
    <s v="Regular"/>
  </r>
  <r>
    <n v="8381"/>
    <s v="Corner Grocery"/>
    <d v="2025-01-23T00:00:00"/>
    <s v="Health &amp; Wellness"/>
    <s v="Cereal"/>
    <n v="2"/>
    <n v="21.91"/>
    <n v="43.82"/>
    <s v="Medium"/>
    <n v="6.57"/>
    <n v="37.25"/>
    <x v="8"/>
    <n v="2025"/>
    <n v="335"/>
    <x v="0"/>
    <s v="Thursday"/>
    <x v="0"/>
    <x v="1"/>
    <s v="Regular"/>
  </r>
  <r>
    <n v="7108"/>
    <s v="MegaMart Westside"/>
    <d v="2023-11-07T00:00:00"/>
    <s v="Snacks &amp; Candy"/>
    <s v="Ground Beef"/>
    <n v="2"/>
    <n v="28.38"/>
    <n v="56.76"/>
    <s v="Medium"/>
    <n v="8.51"/>
    <n v="48.25"/>
    <x v="0"/>
    <n v="2023"/>
    <n v="352"/>
    <x v="0"/>
    <s v="Tuesday"/>
    <x v="0"/>
    <x v="1"/>
    <s v="Regular"/>
  </r>
  <r>
    <n v="4545"/>
    <s v="MegaMart Westside"/>
    <d v="2025-03-02T00:00:00"/>
    <s v="Beverages"/>
    <s v="Bananas"/>
    <n v="3"/>
    <n v="7.07"/>
    <n v="21.21"/>
    <s v="Low"/>
    <n v="3.18"/>
    <n v="18.03"/>
    <x v="6"/>
    <n v="2025"/>
    <n v="354"/>
    <x v="0"/>
    <s v="Sunday"/>
    <x v="1"/>
    <x v="0"/>
    <s v="Regular"/>
  </r>
  <r>
    <n v="9008"/>
    <s v="GreenGrocer Plaza"/>
    <d v="2023-10-16T00:00:00"/>
    <s v="Beverages"/>
    <s v="Cereal"/>
    <n v="2"/>
    <n v="28.08"/>
    <n v="56.16"/>
    <s v="Medium"/>
    <n v="8.42"/>
    <n v="47.739999999999995"/>
    <x v="7"/>
    <n v="2023"/>
    <n v="82"/>
    <x v="3"/>
    <s v="Monday"/>
    <x v="0"/>
    <x v="1"/>
    <s v="Regular"/>
  </r>
  <r>
    <n v="3444"/>
    <s v="Corner Grocery"/>
    <d v="2025-04-28T00:00:00"/>
    <s v="Produce"/>
    <s v="Tomatoes"/>
    <n v="3"/>
    <n v="21.01"/>
    <n v="63.03"/>
    <s v="Medium"/>
    <n v="9.4499999999999993"/>
    <n v="53.58"/>
    <x v="9"/>
    <n v="2025"/>
    <n v="25"/>
    <x v="1"/>
    <s v="Monday"/>
    <x v="1"/>
    <x v="1"/>
    <s v="Regular"/>
  </r>
  <r>
    <n v="9312"/>
    <s v="City Fresh Store"/>
    <d v="2025-04-08T00:00:00"/>
    <s v="Health &amp; Wellness"/>
    <s v="Ground Beef"/>
    <n v="2"/>
    <n v="27.98"/>
    <n v="55.96"/>
    <s v="Medium"/>
    <n v="8.39"/>
    <n v="47.57"/>
    <x v="9"/>
    <n v="2025"/>
    <n v="269"/>
    <x v="0"/>
    <s v="Tuesday"/>
    <x v="0"/>
    <x v="1"/>
    <s v="Regular"/>
  </r>
  <r>
    <n v="9423"/>
    <s v="QuickStop Market"/>
    <d v="2024-02-07T00:00:00"/>
    <s v="Household Items"/>
    <s v="Potatoes"/>
    <n v="2"/>
    <n v="13.94"/>
    <n v="27.88"/>
    <s v="Low"/>
    <n v="4.18"/>
    <n v="23.7"/>
    <x v="4"/>
    <n v="2024"/>
    <n v="247"/>
    <x v="0"/>
    <s v="Wednesday"/>
    <x v="0"/>
    <x v="1"/>
    <s v="Regular"/>
  </r>
  <r>
    <n v="2654"/>
    <s v="ValuePlus Market"/>
    <d v="2024-05-28T00:00:00"/>
    <s v="Canned Goods"/>
    <s v="Pasta"/>
    <n v="2"/>
    <n v="20.41"/>
    <n v="40.82"/>
    <s v="Medium"/>
    <n v="6.12"/>
    <n v="34.700000000000003"/>
    <x v="3"/>
    <n v="2024"/>
    <n v="160"/>
    <x v="2"/>
    <s v="Tuesday"/>
    <x v="0"/>
    <x v="1"/>
    <s v="Regular"/>
  </r>
  <r>
    <n v="9955"/>
    <s v="SuperSave Central"/>
    <d v="2023-12-07T00:00:00"/>
    <s v="Beverages"/>
    <s v="Cheese"/>
    <n v="2"/>
    <n v="13.14"/>
    <n v="26.28"/>
    <s v="Low"/>
    <n v="3.94"/>
    <n v="22.34"/>
    <x v="11"/>
    <n v="2023"/>
    <n v="385"/>
    <x v="0"/>
    <s v="Thursday"/>
    <x v="0"/>
    <x v="1"/>
    <s v="Regular"/>
  </r>
  <r>
    <n v="3458"/>
    <s v="SuperSave Central"/>
    <d v="2023-12-24T00:00:00"/>
    <s v="Bakery"/>
    <s v="Chicken Breast"/>
    <n v="1"/>
    <n v="12.34"/>
    <n v="12.34"/>
    <s v="Low"/>
    <n v="1.85"/>
    <n v="10.49"/>
    <x v="11"/>
    <n v="2023"/>
    <n v="76"/>
    <x v="3"/>
    <s v="Sunday"/>
    <x v="0"/>
    <x v="0"/>
    <s v="Regular"/>
  </r>
  <r>
    <n v="4050"/>
    <s v="QuickStop Market"/>
    <d v="2023-08-17T00:00:00"/>
    <s v="Health &amp; Wellness"/>
    <s v="Onions"/>
    <n v="2"/>
    <n v="24.68"/>
    <n v="49.36"/>
    <s v="Medium"/>
    <n v="7.4"/>
    <n v="41.96"/>
    <x v="5"/>
    <n v="2023"/>
    <n v="112"/>
    <x v="2"/>
    <s v="Thursday"/>
    <x v="0"/>
    <x v="1"/>
    <s v="Regular"/>
  </r>
  <r>
    <n v="1444"/>
    <s v="City Fresh Store"/>
    <d v="2023-10-11T00:00:00"/>
    <s v="Personal Care"/>
    <s v="Cereal"/>
    <n v="5"/>
    <n v="12.26"/>
    <n v="61.3"/>
    <s v="Medium"/>
    <n v="9.19"/>
    <n v="52.11"/>
    <x v="7"/>
    <n v="2023"/>
    <n v="200"/>
    <x v="0"/>
    <s v="Wednesday"/>
    <x v="1"/>
    <x v="1"/>
    <s v="Regular"/>
  </r>
  <r>
    <n v="8749"/>
    <s v="QuickStop Market"/>
    <d v="2025-02-04T00:00:00"/>
    <s v="Household Items"/>
    <s v="Onions"/>
    <n v="5"/>
    <n v="6.03"/>
    <n v="30.15"/>
    <s v="Low"/>
    <n v="4.5199999999999996"/>
    <n v="25.63"/>
    <x v="4"/>
    <n v="2025"/>
    <n v="334"/>
    <x v="0"/>
    <s v="Tuesday"/>
    <x v="1"/>
    <x v="1"/>
    <s v="Regular"/>
  </r>
  <r>
    <n v="2684"/>
    <s v="MegaMart Westside"/>
    <d v="2023-11-28T00:00:00"/>
    <s v="Produce"/>
    <s v="Chicken Breast"/>
    <n v="4"/>
    <n v="11.59"/>
    <n v="46.36"/>
    <s v="Medium"/>
    <n v="6.95"/>
    <n v="39.409999999999997"/>
    <x v="0"/>
    <n v="2023"/>
    <n v="316"/>
    <x v="0"/>
    <s v="Tuesday"/>
    <x v="1"/>
    <x v="1"/>
    <s v="Regular"/>
  </r>
  <r>
    <n v="5876"/>
    <s v="FamilyFood Express"/>
    <d v="2025-03-27T00:00:00"/>
    <s v="Canned Goods"/>
    <s v="Carrots"/>
    <n v="5"/>
    <n v="5.75"/>
    <n v="28.75"/>
    <s v="Low"/>
    <n v="4.3099999999999996"/>
    <n v="24.44"/>
    <x v="6"/>
    <n v="2025"/>
    <n v="420"/>
    <x v="0"/>
    <s v="Thursday"/>
    <x v="1"/>
    <x v="1"/>
    <s v="Regular"/>
  </r>
  <r>
    <n v="5979"/>
    <s v="FreshMart Downtown"/>
    <d v="2025-03-03T00:00:00"/>
    <s v="Dairy"/>
    <s v="Milk"/>
    <n v="3"/>
    <n v="17.010000000000002"/>
    <n v="51.03"/>
    <s v="Medium"/>
    <n v="7.65"/>
    <n v="43.38"/>
    <x v="6"/>
    <n v="2025"/>
    <n v="188"/>
    <x v="2"/>
    <s v="Monday"/>
    <x v="1"/>
    <x v="1"/>
    <s v="Regular"/>
  </r>
  <r>
    <n v="7092"/>
    <s v="MegaMart Westside"/>
    <d v="2023-11-13T00:00:00"/>
    <s v="Meat &amp; Seafood"/>
    <s v="Orange Juice"/>
    <n v="3"/>
    <n v="17.010000000000002"/>
    <n v="51.03"/>
    <s v="Medium"/>
    <n v="7.65"/>
    <n v="43.38"/>
    <x v="0"/>
    <n v="2023"/>
    <n v="250"/>
    <x v="0"/>
    <s v="Monday"/>
    <x v="1"/>
    <x v="1"/>
    <s v="Regular"/>
  </r>
  <r>
    <n v="4694"/>
    <s v="QuickStop Market"/>
    <d v="2024-05-01T00:00:00"/>
    <s v="Snacks &amp; Candy"/>
    <s v="Tomatoes"/>
    <n v="5"/>
    <n v="5.55"/>
    <n v="27.75"/>
    <s v="Low"/>
    <n v="4.16"/>
    <n v="23.59"/>
    <x v="3"/>
    <n v="2024"/>
    <n v="431"/>
    <x v="0"/>
    <s v="Wednesday"/>
    <x v="1"/>
    <x v="1"/>
    <s v="Regular"/>
  </r>
  <r>
    <n v="6374"/>
    <s v="SuperSave Central"/>
    <d v="2025-07-17T00:00:00"/>
    <s v="Personal Care"/>
    <s v="Tomatoes"/>
    <n v="5"/>
    <n v="10.78"/>
    <n v="53.9"/>
    <s v="Medium"/>
    <n v="8.08"/>
    <n v="45.82"/>
    <x v="2"/>
    <n v="2025"/>
    <n v="80"/>
    <x v="3"/>
    <s v="Thursday"/>
    <x v="1"/>
    <x v="1"/>
    <s v="Regular"/>
  </r>
  <r>
    <n v="1822"/>
    <s v="FamilyFood Express"/>
    <d v="2024-10-12T00:00:00"/>
    <s v="Personal Care"/>
    <s v="Cereal"/>
    <n v="3"/>
    <n v="12.03"/>
    <n v="36.090000000000003"/>
    <s v="Medium"/>
    <n v="5.41"/>
    <n v="30.680000000000003"/>
    <x v="7"/>
    <n v="2024"/>
    <n v="273"/>
    <x v="0"/>
    <s v="Saturday"/>
    <x v="1"/>
    <x v="0"/>
    <s v="Regular"/>
  </r>
  <r>
    <n v="9394"/>
    <s v="City Fresh Store"/>
    <d v="2023-11-03T00:00:00"/>
    <s v="Frozen Foods"/>
    <s v="Cheese"/>
    <n v="3"/>
    <n v="8.4499999999999993"/>
    <n v="25.35"/>
    <s v="Low"/>
    <n v="3.8"/>
    <n v="21.55"/>
    <x v="0"/>
    <n v="2023"/>
    <n v="399"/>
    <x v="0"/>
    <s v="Friday"/>
    <x v="1"/>
    <x v="1"/>
    <s v="Regular"/>
  </r>
  <r>
    <n v="9147"/>
    <s v="Corner Grocery"/>
    <d v="2024-08-02T00:00:00"/>
    <s v="Health &amp; Wellness"/>
    <s v="Cereal"/>
    <n v="5"/>
    <n v="5.03"/>
    <n v="25.15"/>
    <s v="Low"/>
    <n v="3.77"/>
    <n v="21.38"/>
    <x v="5"/>
    <n v="2024"/>
    <n v="393"/>
    <x v="0"/>
    <s v="Friday"/>
    <x v="1"/>
    <x v="1"/>
    <s v="Regular"/>
  </r>
  <r>
    <n v="7353"/>
    <s v="Corner Grocery"/>
    <d v="2025-04-03T00:00:00"/>
    <s v="Bakery"/>
    <s v="Rice"/>
    <n v="3"/>
    <n v="13.32"/>
    <n v="39.96"/>
    <s v="Medium"/>
    <n v="5.99"/>
    <n v="33.97"/>
    <x v="9"/>
    <n v="2025"/>
    <n v="380"/>
    <x v="0"/>
    <s v="Thursday"/>
    <x v="1"/>
    <x v="1"/>
    <s v="Regular"/>
  </r>
  <r>
    <n v="8749"/>
    <s v="SuperSave Central"/>
    <d v="2025-04-25T00:00:00"/>
    <s v="Snacks &amp; Candy"/>
    <s v="Eggs"/>
    <n v="1"/>
    <n v="14.61"/>
    <n v="14.61"/>
    <s v="Low"/>
    <n v="2.19"/>
    <n v="12.42"/>
    <x v="9"/>
    <n v="2025"/>
    <n v="496"/>
    <x v="0"/>
    <s v="Friday"/>
    <x v="0"/>
    <x v="1"/>
    <s v="Regular"/>
  </r>
  <r>
    <n v="8009"/>
    <s v="FreshMart Downtown"/>
    <d v="2024-01-11T00:00:00"/>
    <s v="Bakery"/>
    <s v="Apples"/>
    <n v="1"/>
    <n v="19.28"/>
    <n v="19.28"/>
    <s v="Low"/>
    <n v="2.89"/>
    <n v="16.39"/>
    <x v="8"/>
    <n v="2024"/>
    <n v="168"/>
    <x v="2"/>
    <s v="Thursday"/>
    <x v="0"/>
    <x v="1"/>
    <s v="Regular"/>
  </r>
  <r>
    <n v="9691"/>
    <s v="FreshMart Downtown"/>
    <d v="2024-01-21T00:00:00"/>
    <s v="Frozen Foods"/>
    <s v="Potatoes"/>
    <n v="1"/>
    <n v="4.67"/>
    <n v="4.67"/>
    <s v="Low"/>
    <n v="0.7"/>
    <n v="3.9699999999999998"/>
    <x v="8"/>
    <n v="2024"/>
    <n v="39"/>
    <x v="1"/>
    <s v="Sunday"/>
    <x v="0"/>
    <x v="0"/>
    <s v="Regular"/>
  </r>
  <r>
    <n v="2245"/>
    <s v="QuickStop Market"/>
    <d v="2024-04-27T00:00:00"/>
    <s v="Dairy"/>
    <s v="Ground Beef"/>
    <n v="3"/>
    <n v="15.3"/>
    <n v="45.9"/>
    <s v="Medium"/>
    <n v="6.88"/>
    <n v="39.019999999999996"/>
    <x v="9"/>
    <n v="2024"/>
    <n v="24"/>
    <x v="1"/>
    <s v="Saturday"/>
    <x v="1"/>
    <x v="0"/>
    <s v="Regular"/>
  </r>
  <r>
    <n v="3541"/>
    <s v="GreenGrocer Plaza"/>
    <d v="2024-03-08T00:00:00"/>
    <s v="Dairy"/>
    <s v="Salmon"/>
    <n v="5"/>
    <n v="4.55"/>
    <n v="22.75"/>
    <s v="Low"/>
    <n v="3.41"/>
    <n v="19.34"/>
    <x v="6"/>
    <n v="2024"/>
    <n v="72"/>
    <x v="3"/>
    <s v="Friday"/>
    <x v="1"/>
    <x v="1"/>
    <s v="Regular"/>
  </r>
  <r>
    <n v="6000"/>
    <s v="ValuePlus Market"/>
    <d v="2025-05-05T00:00:00"/>
    <s v="Frozen Foods"/>
    <s v="Rice"/>
    <n v="4"/>
    <n v="8.09"/>
    <n v="32.36"/>
    <s v="Low"/>
    <n v="4.8499999999999996"/>
    <n v="27.509999999999998"/>
    <x v="3"/>
    <n v="2025"/>
    <n v="413"/>
    <x v="0"/>
    <s v="Monday"/>
    <x v="1"/>
    <x v="1"/>
    <s v="Regular"/>
  </r>
  <r>
    <n v="9586"/>
    <s v="QuickStop Market"/>
    <d v="2024-09-16T00:00:00"/>
    <s v="Health &amp; Wellness"/>
    <s v="Potatoes"/>
    <n v="1"/>
    <n v="11.81"/>
    <n v="11.81"/>
    <s v="Low"/>
    <n v="1.77"/>
    <n v="10.040000000000001"/>
    <x v="1"/>
    <n v="2024"/>
    <n v="375"/>
    <x v="0"/>
    <s v="Monday"/>
    <x v="0"/>
    <x v="1"/>
    <s v="Regular"/>
  </r>
  <r>
    <n v="8967"/>
    <s v="FamilyFood Express"/>
    <d v="2024-01-03T00:00:00"/>
    <s v="Household Items"/>
    <s v="Tomatoes"/>
    <n v="1"/>
    <n v="7.74"/>
    <n v="7.74"/>
    <s v="Low"/>
    <n v="1.1599999999999999"/>
    <n v="6.58"/>
    <x v="8"/>
    <n v="2024"/>
    <n v="217"/>
    <x v="0"/>
    <s v="Wednesday"/>
    <x v="0"/>
    <x v="1"/>
    <s v="Regular"/>
  </r>
  <r>
    <n v="3885"/>
    <s v="City Fresh Store"/>
    <d v="2025-02-26T00:00:00"/>
    <s v="Personal Care"/>
    <s v="Orange Juice"/>
    <n v="1"/>
    <n v="15.48"/>
    <n v="15.48"/>
    <s v="Low"/>
    <n v="2.3199999999999998"/>
    <n v="13.16"/>
    <x v="4"/>
    <n v="2025"/>
    <n v="290"/>
    <x v="0"/>
    <s v="Wednesday"/>
    <x v="0"/>
    <x v="1"/>
    <s v="Regular"/>
  </r>
  <r>
    <n v="3807"/>
    <s v="FreshMart Downtown"/>
    <d v="2023-10-10T00:00:00"/>
    <s v="Frozen Foods"/>
    <s v="Pasta"/>
    <n v="1"/>
    <n v="29.96"/>
    <n v="29.96"/>
    <s v="Low"/>
    <n v="4.49"/>
    <n v="25.47"/>
    <x v="7"/>
    <n v="2023"/>
    <n v="394"/>
    <x v="0"/>
    <s v="Tuesday"/>
    <x v="0"/>
    <x v="1"/>
    <s v="Regular"/>
  </r>
  <r>
    <n v="8632"/>
    <s v="FamilyFood Express"/>
    <d v="2025-01-16T00:00:00"/>
    <s v="Bakery"/>
    <s v="Rice"/>
    <n v="2"/>
    <n v="7.34"/>
    <n v="14.68"/>
    <s v="Low"/>
    <n v="2.2000000000000002"/>
    <n v="12.48"/>
    <x v="8"/>
    <n v="2025"/>
    <n v="134"/>
    <x v="2"/>
    <s v="Thursday"/>
    <x v="0"/>
    <x v="1"/>
    <s v="Regular"/>
  </r>
  <r>
    <n v="5905"/>
    <s v="QuickStop Market"/>
    <d v="2025-07-30T00:00:00"/>
    <s v="Health &amp; Wellness"/>
    <s v="Tomatoes"/>
    <n v="2"/>
    <n v="18.25"/>
    <n v="36.5"/>
    <s v="Medium"/>
    <n v="5.47"/>
    <n v="31.03"/>
    <x v="2"/>
    <n v="2025"/>
    <n v="480"/>
    <x v="0"/>
    <s v="Wednesday"/>
    <x v="0"/>
    <x v="1"/>
    <s v="Regular"/>
  </r>
  <r>
    <n v="3704"/>
    <s v="GreenGrocer Plaza"/>
    <d v="2025-05-20T00:00:00"/>
    <s v="Health &amp; Wellness"/>
    <s v="Apples"/>
    <n v="2"/>
    <n v="15.95"/>
    <n v="31.9"/>
    <s v="Low"/>
    <n v="4.78"/>
    <n v="27.119999999999997"/>
    <x v="3"/>
    <n v="2025"/>
    <n v="282"/>
    <x v="0"/>
    <s v="Tuesday"/>
    <x v="0"/>
    <x v="1"/>
    <s v="Regular"/>
  </r>
  <r>
    <n v="9589"/>
    <s v="City Fresh Store"/>
    <d v="2024-12-07T00:00:00"/>
    <s v="Canned Goods"/>
    <s v="Tomatoes"/>
    <n v="4"/>
    <n v="3.07"/>
    <n v="12.28"/>
    <s v="Low"/>
    <n v="1.84"/>
    <n v="10.44"/>
    <x v="11"/>
    <n v="2024"/>
    <n v="372"/>
    <x v="0"/>
    <s v="Saturday"/>
    <x v="1"/>
    <x v="0"/>
    <s v="Regular"/>
  </r>
  <r>
    <n v="9537"/>
    <s v="QuickStop Market"/>
    <d v="2023-12-16T00:00:00"/>
    <s v="Personal Care"/>
    <s v="Carrots"/>
    <n v="2"/>
    <n v="12.08"/>
    <n v="24.16"/>
    <s v="Low"/>
    <n v="3.62"/>
    <n v="20.54"/>
    <x v="11"/>
    <n v="2023"/>
    <n v="254"/>
    <x v="0"/>
    <s v="Saturday"/>
    <x v="0"/>
    <x v="0"/>
    <s v="Regular"/>
  </r>
  <r>
    <n v="6598"/>
    <s v="Corner Grocery"/>
    <d v="2025-03-24T00:00:00"/>
    <s v="Snacks &amp; Candy"/>
    <s v="Chicken Breast"/>
    <n v="2"/>
    <n v="2.87"/>
    <n v="5.74"/>
    <s v="Low"/>
    <n v="0.86"/>
    <n v="4.88"/>
    <x v="6"/>
    <n v="2025"/>
    <n v="499"/>
    <x v="0"/>
    <s v="Monday"/>
    <x v="0"/>
    <x v="1"/>
    <s v="Regular"/>
  </r>
  <r>
    <n v="1838"/>
    <s v="FreshMart Downtown"/>
    <d v="2024-10-22T00:00:00"/>
    <s v="Dairy"/>
    <s v="Tomatoes"/>
    <n v="5"/>
    <n v="5.7"/>
    <n v="28.5"/>
    <s v="Low"/>
    <n v="4.2699999999999996"/>
    <n v="24.23"/>
    <x v="7"/>
    <n v="2024"/>
    <n v="390"/>
    <x v="0"/>
    <s v="Tuesday"/>
    <x v="1"/>
    <x v="1"/>
    <s v="Regular"/>
  </r>
  <r>
    <n v="3646"/>
    <s v="MegaMart Westside"/>
    <d v="2024-09-28T00:00:00"/>
    <s v="Meat &amp; Seafood"/>
    <s v="Potatoes"/>
    <n v="2"/>
    <n v="11.28"/>
    <n v="22.56"/>
    <s v="Low"/>
    <n v="3.38"/>
    <n v="19.18"/>
    <x v="1"/>
    <n v="2024"/>
    <n v="132"/>
    <x v="2"/>
    <s v="Saturday"/>
    <x v="0"/>
    <x v="0"/>
    <s v="Regular"/>
  </r>
  <r>
    <n v="8573"/>
    <s v="MegaMart Westside"/>
    <d v="2024-05-27T00:00:00"/>
    <s v="Household Items"/>
    <s v="Onions"/>
    <n v="2"/>
    <n v="13.45"/>
    <n v="26.9"/>
    <s v="Low"/>
    <n v="4.03"/>
    <n v="22.869999999999997"/>
    <x v="3"/>
    <n v="2024"/>
    <n v="21"/>
    <x v="1"/>
    <s v="Monday"/>
    <x v="0"/>
    <x v="1"/>
    <s v="Regular"/>
  </r>
  <r>
    <n v="4968"/>
    <s v="QuickStop Market"/>
    <d v="2023-08-31T00:00:00"/>
    <s v="Beverages"/>
    <s v="Apples"/>
    <n v="5"/>
    <n v="4.9800000000000004"/>
    <n v="24.9"/>
    <s v="Low"/>
    <n v="3.73"/>
    <n v="21.169999999999998"/>
    <x v="5"/>
    <n v="2023"/>
    <n v="356"/>
    <x v="0"/>
    <s v="Thursday"/>
    <x v="1"/>
    <x v="1"/>
    <s v="Regular"/>
  </r>
  <r>
    <n v="7524"/>
    <s v="GreenGrocer Plaza"/>
    <d v="2025-05-01T00:00:00"/>
    <s v="Household Items"/>
    <s v="Ground Beef"/>
    <n v="1"/>
    <n v="17.29"/>
    <n v="17.29"/>
    <s v="Low"/>
    <n v="2.59"/>
    <n v="14.7"/>
    <x v="3"/>
    <n v="2025"/>
    <n v="249"/>
    <x v="0"/>
    <s v="Thursday"/>
    <x v="0"/>
    <x v="1"/>
    <s v="Regular"/>
  </r>
  <r>
    <n v="3396"/>
    <s v="City Fresh Store"/>
    <d v="2025-02-09T00:00:00"/>
    <s v="Snacks &amp; Candy"/>
    <s v="Onions"/>
    <n v="4"/>
    <n v="4.8899999999999997"/>
    <n v="19.559999999999999"/>
    <s v="Low"/>
    <n v="2.93"/>
    <n v="16.63"/>
    <x v="4"/>
    <n v="2025"/>
    <n v="308"/>
    <x v="0"/>
    <s v="Sunday"/>
    <x v="1"/>
    <x v="0"/>
    <s v="Regular"/>
  </r>
  <r>
    <n v="1686"/>
    <s v="QuickStop Market"/>
    <d v="2024-04-08T00:00:00"/>
    <s v="Bakery"/>
    <s v="Yogurt"/>
    <n v="5"/>
    <n v="2.35"/>
    <n v="11.75"/>
    <s v="Low"/>
    <n v="1.76"/>
    <n v="9.99"/>
    <x v="9"/>
    <n v="2024"/>
    <n v="9"/>
    <x v="1"/>
    <s v="Monday"/>
    <x v="1"/>
    <x v="1"/>
    <s v="Regular"/>
  </r>
  <r>
    <n v="7636"/>
    <s v="City Fresh Store"/>
    <d v="2024-12-08T00:00:00"/>
    <s v="Personal Care"/>
    <s v="Orange Juice"/>
    <n v="1"/>
    <n v="7.01"/>
    <n v="7.01"/>
    <s v="Low"/>
    <n v="1.05"/>
    <n v="5.96"/>
    <x v="11"/>
    <n v="2024"/>
    <n v="271"/>
    <x v="0"/>
    <s v="Sunday"/>
    <x v="0"/>
    <x v="0"/>
    <s v="Regular"/>
  </r>
  <r>
    <n v="7850"/>
    <s v="FamilyFood Express"/>
    <d v="2024-02-15T00:00:00"/>
    <s v="Personal Care"/>
    <s v="Tomatoes"/>
    <n v="4"/>
    <n v="4.49"/>
    <n v="17.96"/>
    <s v="Low"/>
    <n v="2.69"/>
    <n v="15.270000000000001"/>
    <x v="4"/>
    <n v="2024"/>
    <n v="109"/>
    <x v="2"/>
    <s v="Thursday"/>
    <x v="1"/>
    <x v="1"/>
    <s v="Regular"/>
  </r>
  <r>
    <n v="8916"/>
    <s v="QuickStop Market"/>
    <d v="2024-12-31T00:00:00"/>
    <s v="Frozen Foods"/>
    <s v="Tomatoes"/>
    <n v="3"/>
    <n v="2.96"/>
    <n v="8.8800000000000008"/>
    <s v="Low"/>
    <n v="1.33"/>
    <n v="7.5500000000000007"/>
    <x v="11"/>
    <n v="2024"/>
    <n v="446"/>
    <x v="0"/>
    <s v="Tuesday"/>
    <x v="1"/>
    <x v="1"/>
    <s v="Regular"/>
  </r>
  <r>
    <n v="2964"/>
    <s v="FreshMart Downtown"/>
    <d v="2023-10-16T00:00:00"/>
    <s v="Health &amp; Wellness"/>
    <s v="Potatoes"/>
    <n v="1"/>
    <n v="15.49"/>
    <n v="15.49"/>
    <s v="Low"/>
    <n v="2.3199999999999998"/>
    <n v="13.17"/>
    <x v="7"/>
    <n v="2023"/>
    <n v="179"/>
    <x v="2"/>
    <s v="Monday"/>
    <x v="0"/>
    <x v="1"/>
    <s v="Regular"/>
  </r>
  <r>
    <n v="4974"/>
    <s v="ValuePlus Market"/>
    <d v="2025-01-28T00:00:00"/>
    <s v="Beverages"/>
    <s v="Carrots"/>
    <n v="2"/>
    <n v="8.68"/>
    <n v="17.36"/>
    <s v="Low"/>
    <n v="2.6"/>
    <n v="14.76"/>
    <x v="8"/>
    <n v="2025"/>
    <n v="347"/>
    <x v="0"/>
    <s v="Tuesday"/>
    <x v="0"/>
    <x v="1"/>
    <s v="Regular"/>
  </r>
  <r>
    <n v="5956"/>
    <s v="FreshMart Downtown"/>
    <d v="2024-11-24T00:00:00"/>
    <s v="Health &amp; Wellness"/>
    <s v="Cereal"/>
    <n v="1"/>
    <n v="10.55"/>
    <n v="10.55"/>
    <s v="Low"/>
    <n v="1.58"/>
    <n v="8.9700000000000006"/>
    <x v="0"/>
    <n v="2024"/>
    <n v="285"/>
    <x v="0"/>
    <s v="Sunday"/>
    <x v="0"/>
    <x v="0"/>
    <s v="Regular"/>
  </r>
  <r>
    <n v="2922"/>
    <s v="SuperSave Central"/>
    <d v="2025-03-09T00:00:00"/>
    <s v="Canned Goods"/>
    <s v="Potatoes"/>
    <n v="1"/>
    <n v="8.08"/>
    <n v="8.08"/>
    <s v="Low"/>
    <n v="1.21"/>
    <n v="6.87"/>
    <x v="6"/>
    <n v="2025"/>
    <n v="379"/>
    <x v="0"/>
    <s v="Sunday"/>
    <x v="0"/>
    <x v="0"/>
    <s v="Regular"/>
  </r>
  <r>
    <n v="8777"/>
    <s v="GreenGrocer Plaza"/>
    <d v="2024-07-21T00:00:00"/>
    <s v="Dairy"/>
    <s v="Carrots"/>
    <n v="2"/>
    <n v="7.98"/>
    <n v="15.96"/>
    <s v="Low"/>
    <n v="2.39"/>
    <n v="13.57"/>
    <x v="2"/>
    <n v="2024"/>
    <n v="317"/>
    <x v="0"/>
    <s v="Sunday"/>
    <x v="0"/>
    <x v="0"/>
    <s v="Regular"/>
  </r>
  <r>
    <n v="9261"/>
    <s v="QuickStop Market"/>
    <d v="2024-08-04T00:00:00"/>
    <s v="Personal Care"/>
    <s v="Chicken Breast"/>
    <n v="2"/>
    <n v="7.48"/>
    <n v="14.96"/>
    <s v="Low"/>
    <n v="2.2400000000000002"/>
    <n v="12.72"/>
    <x v="5"/>
    <n v="2024"/>
    <n v="273"/>
    <x v="0"/>
    <s v="Sunday"/>
    <x v="0"/>
    <x v="0"/>
    <s v="Regular"/>
  </r>
  <r>
    <n v="4678"/>
    <s v="MegaMart Westside"/>
    <d v="2023-08-28T00:00:00"/>
    <s v="Beverages"/>
    <s v="Potatoes"/>
    <n v="2"/>
    <n v="8.5500000000000007"/>
    <n v="17.100000000000001"/>
    <s v="Low"/>
    <n v="2.56"/>
    <n v="14.540000000000001"/>
    <x v="5"/>
    <n v="2023"/>
    <n v="351"/>
    <x v="0"/>
    <s v="Monday"/>
    <x v="0"/>
    <x v="1"/>
    <s v="Regular"/>
  </r>
  <r>
    <n v="5193"/>
    <s v="MegaMart Westside"/>
    <d v="2024-01-21T00:00:00"/>
    <s v="Household Items"/>
    <s v="Milk"/>
    <n v="1"/>
    <n v="8.35"/>
    <n v="8.35"/>
    <s v="Low"/>
    <n v="1.25"/>
    <n v="7.1"/>
    <x v="8"/>
    <n v="2024"/>
    <n v="317"/>
    <x v="0"/>
    <s v="Sunday"/>
    <x v="0"/>
    <x v="0"/>
    <s v="Regular"/>
  </r>
  <r>
    <n v="9108"/>
    <s v="ValuePlus Market"/>
    <d v="2024-11-13T00:00:00"/>
    <s v="Bakery"/>
    <s v="Ground Beef"/>
    <n v="5"/>
    <n v="3.26"/>
    <n v="16.3"/>
    <s v="Low"/>
    <n v="2.44"/>
    <n v="13.860000000000001"/>
    <x v="0"/>
    <n v="2024"/>
    <n v="371"/>
    <x v="0"/>
    <s v="Wednesday"/>
    <x v="1"/>
    <x v="1"/>
    <s v="Regular"/>
  </r>
  <r>
    <n v="5002"/>
    <s v="Corner Grocery"/>
    <d v="2024-05-20T00:00:00"/>
    <s v="Beverages"/>
    <s v="Onions"/>
    <n v="1"/>
    <n v="14.03"/>
    <n v="14.03"/>
    <s v="Low"/>
    <n v="2.1"/>
    <n v="11.93"/>
    <x v="3"/>
    <n v="2024"/>
    <n v="414"/>
    <x v="0"/>
    <s v="Monday"/>
    <x v="0"/>
    <x v="1"/>
    <s v="Regular"/>
  </r>
  <r>
    <n v="4456"/>
    <s v="MegaMart Westside"/>
    <d v="2025-07-16T00:00:00"/>
    <s v="Snacks &amp; Candy"/>
    <s v="Carrots"/>
    <n v="1"/>
    <n v="12.16"/>
    <n v="12.16"/>
    <s v="Low"/>
    <n v="1.82"/>
    <n v="10.34"/>
    <x v="2"/>
    <n v="2025"/>
    <n v="295"/>
    <x v="0"/>
    <s v="Wednesday"/>
    <x v="0"/>
    <x v="1"/>
    <s v="Regular"/>
  </r>
  <r>
    <n v="4993"/>
    <s v="GreenGrocer Plaza"/>
    <d v="2024-07-26T00:00:00"/>
    <s v="Household Items"/>
    <s v="Milk"/>
    <n v="1"/>
    <n v="11.36"/>
    <n v="11.36"/>
    <s v="Low"/>
    <n v="1.7"/>
    <n v="9.66"/>
    <x v="2"/>
    <n v="2024"/>
    <n v="257"/>
    <x v="0"/>
    <s v="Friday"/>
    <x v="0"/>
    <x v="1"/>
    <s v="Regular"/>
  </r>
  <r>
    <n v="1274"/>
    <s v="FamilyFood Express"/>
    <d v="2024-09-21T00:00:00"/>
    <s v="Personal Care"/>
    <s v="Cereal"/>
    <n v="1"/>
    <n v="7.82"/>
    <n v="7.82"/>
    <s v="Low"/>
    <n v="1.17"/>
    <n v="6.65"/>
    <x v="1"/>
    <n v="2024"/>
    <n v="37"/>
    <x v="1"/>
    <s v="Saturday"/>
    <x v="0"/>
    <x v="0"/>
    <s v="Regular"/>
  </r>
  <r>
    <n v="4349"/>
    <s v="MegaMart Westside"/>
    <d v="2024-03-28T00:00:00"/>
    <s v="Canned Goods"/>
    <s v="Rice"/>
    <n v="4"/>
    <n v="2.59"/>
    <n v="10.36"/>
    <s v="Low"/>
    <n v="1.55"/>
    <n v="8.8099999999999987"/>
    <x v="6"/>
    <n v="2024"/>
    <n v="490"/>
    <x v="0"/>
    <s v="Thursday"/>
    <x v="1"/>
    <x v="1"/>
    <s v="Regular"/>
  </r>
  <r>
    <n v="7806"/>
    <s v="ValuePlus Market"/>
    <d v="2024-07-26T00:00:00"/>
    <s v="Household Items"/>
    <s v="Cereal"/>
    <n v="3"/>
    <n v="3.41"/>
    <n v="10.23"/>
    <s v="Low"/>
    <n v="1.53"/>
    <n v="8.7000000000000011"/>
    <x v="2"/>
    <n v="2024"/>
    <n v="211"/>
    <x v="0"/>
    <s v="Friday"/>
    <x v="1"/>
    <x v="1"/>
    <s v="Regular"/>
  </r>
  <r>
    <n v="5813"/>
    <s v="Corner Grocery"/>
    <d v="2024-04-12T00:00:00"/>
    <s v="Personal Care"/>
    <s v="Ground Beef"/>
    <n v="1"/>
    <n v="10.5"/>
    <n v="10.5"/>
    <s v="Low"/>
    <n v="1.57"/>
    <n v="8.93"/>
    <x v="9"/>
    <n v="2024"/>
    <n v="298"/>
    <x v="0"/>
    <s v="Friday"/>
    <x v="0"/>
    <x v="1"/>
    <s v="Regular"/>
  </r>
  <r>
    <n v="9233"/>
    <s v="GreenGrocer Plaza"/>
    <d v="2025-07-23T00:00:00"/>
    <s v="Bakery"/>
    <s v="Orange Juice"/>
    <n v="1"/>
    <n v="6.89"/>
    <n v="6.89"/>
    <s v="Low"/>
    <n v="1.03"/>
    <n v="5.8599999999999994"/>
    <x v="2"/>
    <n v="2025"/>
    <n v="435"/>
    <x v="0"/>
    <s v="Wednesday"/>
    <x v="0"/>
    <x v="1"/>
    <s v="Regular"/>
  </r>
  <r>
    <n v="4608"/>
    <s v="City Fresh Store"/>
    <d v="2023-08-12T00:00:00"/>
    <s v="Health &amp; Wellness"/>
    <s v="Salmon"/>
    <n v="1"/>
    <n v="6.89"/>
    <n v="6.89"/>
    <s v="Low"/>
    <n v="1.03"/>
    <n v="5.8599999999999994"/>
    <x v="5"/>
    <n v="2023"/>
    <n v="281"/>
    <x v="0"/>
    <s v="Saturday"/>
    <x v="0"/>
    <x v="0"/>
    <s v="Regular"/>
  </r>
  <r>
    <n v="5102"/>
    <s v="QuickStop Market"/>
    <d v="2023-08-27T00:00:00"/>
    <s v="Frozen Foods"/>
    <s v="Salmon"/>
    <n v="1"/>
    <n v="3.88"/>
    <n v="3.88"/>
    <s v="Low"/>
    <n v="0.57999999999999996"/>
    <n v="3.3"/>
    <x v="5"/>
    <n v="2023"/>
    <n v="89"/>
    <x v="3"/>
    <s v="Sunday"/>
    <x v="0"/>
    <x v="0"/>
    <s v="Regular"/>
  </r>
  <r>
    <n v="8491"/>
    <s v="Corner Grocery"/>
    <d v="2024-02-09T00:00:00"/>
    <s v="Health &amp; Wellness"/>
    <s v="Rice"/>
    <n v="1"/>
    <n v="7.63"/>
    <n v="7.63"/>
    <s v="Low"/>
    <n v="1.1399999999999999"/>
    <n v="6.49"/>
    <x v="4"/>
    <n v="2024"/>
    <n v="375"/>
    <x v="0"/>
    <s v="Friday"/>
    <x v="0"/>
    <x v="1"/>
    <s v="Regular"/>
  </r>
  <r>
    <n v="5272"/>
    <s v="GreenGrocer Plaza"/>
    <d v="2024-05-30T00:00:00"/>
    <s v="Beverages"/>
    <s v="Apples"/>
    <n v="1"/>
    <n v="7.5"/>
    <n v="7.5"/>
    <s v="Low"/>
    <n v="1.1200000000000001"/>
    <n v="6.38"/>
    <x v="3"/>
    <n v="2024"/>
    <n v="489"/>
    <x v="0"/>
    <s v="Thursday"/>
    <x v="0"/>
    <x v="1"/>
    <s v="Regular"/>
  </r>
  <r>
    <n v="6559"/>
    <s v="MegaMart Westside"/>
    <d v="2025-04-19T00:00:00"/>
    <s v="Household Items"/>
    <s v="Rice"/>
    <n v="3"/>
    <n v="1.63"/>
    <n v="4.8899999999999997"/>
    <s v="Low"/>
    <n v="0.73"/>
    <n v="4.16"/>
    <x v="9"/>
    <n v="2025"/>
    <n v="424"/>
    <x v="0"/>
    <s v="Saturday"/>
    <x v="1"/>
    <x v="0"/>
    <s v="Regular"/>
  </r>
  <r>
    <n v="4084"/>
    <s v="Corner Grocery"/>
    <d v="2024-04-12T00:00:00"/>
    <s v="Canned Goods"/>
    <s v="Tomatoes"/>
    <n v="3"/>
    <n v="1.34"/>
    <n v="4.0199999999999996"/>
    <s v="Low"/>
    <n v="0.6"/>
    <n v="3.4199999999999995"/>
    <x v="9"/>
    <n v="2024"/>
    <n v="176"/>
    <x v="2"/>
    <s v="Friday"/>
    <x v="1"/>
    <x v="1"/>
    <s v="Regular"/>
  </r>
  <r>
    <n v="5451"/>
    <s v="GreenGrocer Plaza"/>
    <d v="2024-04-23T00:00:00"/>
    <s v="Personal Care"/>
    <s v="Orange Juice"/>
    <n v="1"/>
    <n v="3.82"/>
    <n v="3.82"/>
    <s v="Low"/>
    <n v="0.56999999999999995"/>
    <n v="3.25"/>
    <x v="9"/>
    <n v="2024"/>
    <n v="118"/>
    <x v="2"/>
    <s v="Tuesday"/>
    <x v="0"/>
    <x v="1"/>
    <s v="Regular"/>
  </r>
  <r>
    <n v="4700"/>
    <s v="City Fresh Store"/>
    <d v="2024-03-26T00:00:00"/>
    <s v="Health &amp; Wellness"/>
    <s v="Salmon"/>
    <n v="1"/>
    <n v="1.61"/>
    <n v="1.61"/>
    <s v="Low"/>
    <n v="0.24"/>
    <n v="1.37"/>
    <x v="6"/>
    <n v="2024"/>
    <n v="428"/>
    <x v="0"/>
    <s v="Tuesday"/>
    <x v="0"/>
    <x v="1"/>
    <s v="Regular"/>
  </r>
  <r>
    <n v="4401"/>
    <s v="FreshMart Downtown"/>
    <d v="2024-07-23T00:00:00"/>
    <s v="Produce"/>
    <s v="Bananas"/>
    <n v="3"/>
    <n v="4.5"/>
    <n v="13.5"/>
    <s v="Low"/>
    <n v="2.0099999999999998"/>
    <n v="11.49"/>
    <x v="2"/>
    <n v="2024"/>
    <n v="95"/>
    <x v="3"/>
    <s v="Tuesday"/>
    <x v="1"/>
    <x v="1"/>
    <s v="Regular"/>
  </r>
  <r>
    <n v="4737"/>
    <s v="FreshMart Downtown"/>
    <d v="2024-05-09T00:00:00"/>
    <s v="Personal Care"/>
    <s v="Onions"/>
    <n v="2"/>
    <n v="1.18"/>
    <n v="2.36"/>
    <s v="Low"/>
    <n v="0.35"/>
    <n v="2.0099999999999998"/>
    <x v="3"/>
    <n v="2024"/>
    <n v="426"/>
    <x v="0"/>
    <s v="Thursday"/>
    <x v="0"/>
    <x v="1"/>
    <s v="Regular"/>
  </r>
  <r>
    <n v="4862"/>
    <s v="SuperSave Central"/>
    <d v="2024-06-01T00:00:00"/>
    <s v="Health &amp; Wellness"/>
    <s v="Salmon"/>
    <n v="2"/>
    <n v="1.08"/>
    <n v="2.16"/>
    <s v="Low"/>
    <n v="0.32"/>
    <n v="1.84"/>
    <x v="10"/>
    <n v="2024"/>
    <n v="102"/>
    <x v="2"/>
    <s v="Saturday"/>
    <x v="0"/>
    <x v="0"/>
    <s v="Regular"/>
  </r>
  <r>
    <n v="3060"/>
    <s v="QuickStop Market"/>
    <d v="2023-11-14T00:00:00"/>
    <s v="Dairy"/>
    <s v="Ground Beef"/>
    <n v="1"/>
    <n v="17.170000000000002"/>
    <n v="17.170000000000002"/>
    <s v="Low"/>
    <n v="2.52"/>
    <n v="14.650000000000002"/>
    <x v="0"/>
    <n v="2023"/>
    <n v="213"/>
    <x v="0"/>
    <s v="Tuesday"/>
    <x v="0"/>
    <x v="1"/>
    <s v="Regular"/>
  </r>
  <r>
    <n v="2845"/>
    <s v="FamilyFood Express"/>
    <d v="2024-04-19T00:00:00"/>
    <s v="Bakery"/>
    <s v="Onions"/>
    <n v="1"/>
    <n v="1.03"/>
    <n v="1.03"/>
    <s v="Low"/>
    <n v="0.15"/>
    <n v="0.88"/>
    <x v="9"/>
    <n v="2024"/>
    <n v="177"/>
    <x v="2"/>
    <s v="Friday"/>
    <x v="0"/>
    <x v="1"/>
    <s v="Regular"/>
  </r>
  <r>
    <n v="4949"/>
    <s v="Corner Grocery"/>
    <d v="2024-08-29T00:00:00"/>
    <s v="Frozen Foods"/>
    <s v="Onions"/>
    <n v="3"/>
    <n v="9.25"/>
    <n v="27.75"/>
    <s v="Low"/>
    <n v="4.04"/>
    <n v="23.71"/>
    <x v="5"/>
    <n v="2024"/>
    <n v="291"/>
    <x v="0"/>
    <s v="Thursday"/>
    <x v="1"/>
    <x v="1"/>
    <s v="Regular"/>
  </r>
  <r>
    <n v="6224"/>
    <s v="GreenGrocer Plaza"/>
    <d v="2024-10-28T00:00:00"/>
    <s v="Bakery"/>
    <s v="Orange Juice"/>
    <n v="3"/>
    <n v="5.2"/>
    <n v="15.6"/>
    <s v="Low"/>
    <n v="2.27"/>
    <n v="13.33"/>
    <x v="7"/>
    <n v="2024"/>
    <n v="160"/>
    <x v="2"/>
    <s v="Monday"/>
    <x v="1"/>
    <x v="1"/>
    <s v="Regular"/>
  </r>
  <r>
    <n v="6977"/>
    <s v="GreenGrocer Plaza"/>
    <d v="2023-12-11T00:00:00"/>
    <s v="Dairy"/>
    <s v="Onions"/>
    <n v="2"/>
    <n v="15.66"/>
    <n v="31.32"/>
    <s v="Low"/>
    <n v="4.5199999999999996"/>
    <n v="26.8"/>
    <x v="11"/>
    <n v="2023"/>
    <n v="67"/>
    <x v="3"/>
    <s v="Monday"/>
    <x v="0"/>
    <x v="1"/>
    <s v="Regular"/>
  </r>
  <r>
    <n v="6383"/>
    <s v="Corner Grocery"/>
    <d v="2025-05-30T00:00:00"/>
    <s v="Frozen Foods"/>
    <s v="Yogurt"/>
    <n v="1"/>
    <n v="21.56"/>
    <n v="21.56"/>
    <s v="Low"/>
    <n v="3.09"/>
    <n v="18.47"/>
    <x v="3"/>
    <n v="2025"/>
    <n v="404"/>
    <x v="0"/>
    <s v="Friday"/>
    <x v="0"/>
    <x v="1"/>
    <s v="Regular"/>
  </r>
  <r>
    <n v="3858"/>
    <s v="Unknown Store"/>
    <d v="2024-10-08T00:00:00"/>
    <s v="Canned Goods"/>
    <s v="Ground Beef"/>
    <n v="1"/>
    <n v="18.72"/>
    <n v="18.72"/>
    <s v="Low"/>
    <n v="2.68"/>
    <n v="16.04"/>
    <x v="7"/>
    <n v="2024"/>
    <n v="372"/>
    <x v="0"/>
    <s v="Tuesday"/>
    <x v="0"/>
    <x v="1"/>
    <s v="Regular"/>
  </r>
  <r>
    <n v="5933"/>
    <s v="GreenGrocer Plaza"/>
    <d v="2024-03-02T00:00:00"/>
    <s v="Dairy"/>
    <s v="Onions"/>
    <n v="2"/>
    <n v="7.01"/>
    <n v="14.02"/>
    <s v="Low"/>
    <n v="2"/>
    <n v="12.02"/>
    <x v="6"/>
    <n v="2024"/>
    <n v="482"/>
    <x v="0"/>
    <s v="Saturday"/>
    <x v="0"/>
    <x v="0"/>
    <s v="Regular"/>
  </r>
  <r>
    <n v="1962"/>
    <s v="Corner Grocery"/>
    <d v="2024-09-16T00:00:00"/>
    <s v="Dairy"/>
    <s v="Milk"/>
    <n v="1"/>
    <n v="25.7"/>
    <n v="25.7"/>
    <s v="Low"/>
    <n v="3.66"/>
    <n v="22.04"/>
    <x v="1"/>
    <n v="2024"/>
    <n v="81"/>
    <x v="3"/>
    <s v="Monday"/>
    <x v="0"/>
    <x v="1"/>
    <s v="Regular"/>
  </r>
  <r>
    <n v="1166"/>
    <s v="City Fresh Store"/>
    <d v="2024-09-11T00:00:00"/>
    <s v="Personal Care"/>
    <s v="Onions"/>
    <n v="2"/>
    <n v="3.74"/>
    <n v="7.48"/>
    <s v="Low"/>
    <n v="1.05"/>
    <n v="6.4300000000000006"/>
    <x v="1"/>
    <n v="2024"/>
    <n v="52"/>
    <x v="3"/>
    <s v="Wednesday"/>
    <x v="0"/>
    <x v="1"/>
    <s v="Regular"/>
  </r>
  <r>
    <n v="4681"/>
    <s v="MegaMart Westside"/>
    <d v="2025-05-21T00:00:00"/>
    <s v="Snacks &amp; Candy"/>
    <s v="Chicken Breast"/>
    <n v="4"/>
    <n v="8.43"/>
    <n v="33.72"/>
    <s v="Low"/>
    <n v="4.6500000000000004"/>
    <n v="29.07"/>
    <x v="3"/>
    <n v="2025"/>
    <n v="370"/>
    <x v="0"/>
    <s v="Wednesday"/>
    <x v="1"/>
    <x v="1"/>
    <s v="Regular"/>
  </r>
  <r>
    <n v="7086"/>
    <s v="FreshMart Downtown"/>
    <d v="2023-10-30T00:00:00"/>
    <s v="Dairy"/>
    <s v="Rice"/>
    <n v="1"/>
    <n v="28.38"/>
    <n v="28.38"/>
    <s v="Low"/>
    <n v="3.9"/>
    <n v="24.48"/>
    <x v="7"/>
    <n v="2023"/>
    <n v="491"/>
    <x v="0"/>
    <s v="Monday"/>
    <x v="0"/>
    <x v="1"/>
    <s v="Regular"/>
  </r>
  <r>
    <n v="4657"/>
    <s v="ValuePlus Market"/>
    <d v="2023-11-23T00:00:00"/>
    <s v="Bakery"/>
    <s v="Onions"/>
    <n v="4"/>
    <n v="7.38"/>
    <n v="29.52"/>
    <s v="Low"/>
    <n v="4.04"/>
    <n v="25.48"/>
    <x v="0"/>
    <n v="2023"/>
    <n v="301"/>
    <x v="0"/>
    <s v="Thursday"/>
    <x v="1"/>
    <x v="1"/>
    <s v="Regular"/>
  </r>
  <r>
    <n v="8508"/>
    <s v="GreenGrocer Plaza"/>
    <d v="2024-12-01T00:00:00"/>
    <s v="Snacks &amp; Candy"/>
    <s v="Rice"/>
    <n v="3"/>
    <n v="7.42"/>
    <n v="22.26"/>
    <s v="Low"/>
    <n v="3.04"/>
    <n v="19.220000000000002"/>
    <x v="11"/>
    <n v="2024"/>
    <n v="398"/>
    <x v="0"/>
    <s v="Sunday"/>
    <x v="1"/>
    <x v="0"/>
    <s v="Regular"/>
  </r>
  <r>
    <n v="7442"/>
    <s v="City Fresh Store"/>
    <d v="2024-09-02T00:00:00"/>
    <s v="Canned Goods"/>
    <s v="Eggs"/>
    <n v="3"/>
    <n v="10.199999999999999"/>
    <n v="30.6"/>
    <s v="Low"/>
    <n v="4.17"/>
    <n v="26.43"/>
    <x v="1"/>
    <n v="2024"/>
    <n v="402"/>
    <x v="0"/>
    <s v="Monday"/>
    <x v="1"/>
    <x v="1"/>
    <s v="Regular"/>
  </r>
  <r>
    <n v="5380"/>
    <s v="MegaMart Westside"/>
    <d v="2025-06-03T00:00:00"/>
    <s v="Produce"/>
    <s v="Eggs"/>
    <n v="2"/>
    <n v="6.13"/>
    <n v="12.26"/>
    <s v="Low"/>
    <n v="1.62"/>
    <n v="10.64"/>
    <x v="10"/>
    <n v="2025"/>
    <n v="4"/>
    <x v="1"/>
    <s v="Tuesday"/>
    <x v="0"/>
    <x v="1"/>
    <s v="Regular"/>
  </r>
  <r>
    <n v="4490"/>
    <s v="SuperSave Central"/>
    <d v="2024-12-06T00:00:00"/>
    <s v="Beverages"/>
    <s v="Apples"/>
    <n v="5"/>
    <n v="5.31"/>
    <n v="26.55"/>
    <s v="Low"/>
    <n v="3.49"/>
    <n v="23.060000000000002"/>
    <x v="11"/>
    <n v="2024"/>
    <n v="419"/>
    <x v="0"/>
    <s v="Friday"/>
    <x v="1"/>
    <x v="1"/>
    <s v="Regular"/>
  </r>
  <r>
    <n v="4728"/>
    <s v="City Fresh Store"/>
    <d v="2025-02-17T00:00:00"/>
    <s v="Health &amp; Wellness"/>
    <s v="Yogurt"/>
    <n v="4"/>
    <n v="9.44"/>
    <n v="37.76"/>
    <s v="Low"/>
    <n v="4.92"/>
    <n v="32.839999999999996"/>
    <x v="4"/>
    <n v="2025"/>
    <n v="494"/>
    <x v="0"/>
    <s v="Monday"/>
    <x v="1"/>
    <x v="1"/>
    <s v="Regular"/>
  </r>
  <r>
    <n v="9837"/>
    <s v="City Fresh Store"/>
    <d v="2025-06-17T00:00:00"/>
    <s v="Bakery"/>
    <s v="Milk"/>
    <n v="2"/>
    <n v="14.35"/>
    <n v="28.7"/>
    <s v="Low"/>
    <n v="3.66"/>
    <n v="25.04"/>
    <x v="10"/>
    <n v="2025"/>
    <n v="394"/>
    <x v="0"/>
    <s v="Tuesday"/>
    <x v="0"/>
    <x v="1"/>
    <s v="Regular"/>
  </r>
  <r>
    <n v="5991"/>
    <s v="ValuePlus Market"/>
    <d v="2023-08-12T00:00:00"/>
    <s v="Beverages"/>
    <s v="Bananas"/>
    <n v="3"/>
    <n v="13.06"/>
    <n v="39.18"/>
    <s v="Low"/>
    <n v="4.97"/>
    <n v="34.21"/>
    <x v="5"/>
    <n v="2023"/>
    <n v="76"/>
    <x v="3"/>
    <s v="Saturday"/>
    <x v="1"/>
    <x v="0"/>
    <s v="Regular"/>
  </r>
  <r>
    <n v="3317"/>
    <s v="ValuePlus Market"/>
    <d v="2025-07-19T00:00:00"/>
    <s v="Household Items"/>
    <s v="Milk"/>
    <n v="4"/>
    <n v="4.4400000000000004"/>
    <n v="17.760000000000002"/>
    <s v="Low"/>
    <n v="2.21"/>
    <n v="15.55"/>
    <x v="2"/>
    <n v="2025"/>
    <n v="129"/>
    <x v="2"/>
    <s v="Saturday"/>
    <x v="1"/>
    <x v="0"/>
    <s v="Regular"/>
  </r>
  <r>
    <n v="4830"/>
    <s v="ValuePlus Market"/>
    <d v="2024-08-07T00:00:00"/>
    <s v="Snacks &amp; Candy"/>
    <s v="Yogurt"/>
    <n v="2"/>
    <n v="16.25"/>
    <n v="32.5"/>
    <s v="Low"/>
    <n v="4"/>
    <n v="28.5"/>
    <x v="5"/>
    <n v="2024"/>
    <n v="127"/>
    <x v="2"/>
    <s v="Wednesday"/>
    <x v="0"/>
    <x v="1"/>
    <s v="Regular"/>
  </r>
  <r>
    <n v="1990"/>
    <s v="ValuePlus Market"/>
    <d v="2024-11-28T00:00:00"/>
    <s v="Frozen Foods"/>
    <s v="Chicken Breast"/>
    <n v="1"/>
    <n v="15.45"/>
    <n v="15.45"/>
    <s v="Low"/>
    <n v="1.9"/>
    <n v="13.549999999999999"/>
    <x v="0"/>
    <n v="2024"/>
    <n v="26"/>
    <x v="1"/>
    <s v="Thursday"/>
    <x v="0"/>
    <x v="1"/>
    <s v="Regular"/>
  </r>
  <r>
    <n v="1452"/>
    <s v="MegaMart Westside"/>
    <d v="2023-11-04T00:00:00"/>
    <s v="Produce"/>
    <s v="Tomatoes"/>
    <n v="1"/>
    <n v="17.53"/>
    <n v="17.53"/>
    <s v="Low"/>
    <n v="2.15"/>
    <n v="15.38"/>
    <x v="0"/>
    <n v="2023"/>
    <n v="99"/>
    <x v="3"/>
    <s v="Saturday"/>
    <x v="0"/>
    <x v="0"/>
    <s v="Regular"/>
  </r>
  <r>
    <n v="4814"/>
    <s v="City Fresh Store"/>
    <d v="2023-09-16T00:00:00"/>
    <s v="Snacks &amp; Candy"/>
    <s v="Orange Juice"/>
    <n v="3"/>
    <n v="11.56"/>
    <n v="34.68"/>
    <s v="Low"/>
    <n v="4.25"/>
    <n v="30.43"/>
    <x v="1"/>
    <n v="2023"/>
    <n v="456"/>
    <x v="0"/>
    <s v="Saturday"/>
    <x v="1"/>
    <x v="0"/>
    <s v="Regular"/>
  </r>
  <r>
    <n v="9228"/>
    <s v="City Fresh Store"/>
    <d v="2025-04-29T00:00:00"/>
    <s v="Frozen Foods"/>
    <s v="Ground Beef"/>
    <n v="1"/>
    <n v="28"/>
    <n v="28"/>
    <s v="Low"/>
    <n v="3.43"/>
    <n v="24.57"/>
    <x v="9"/>
    <n v="2025"/>
    <n v="13"/>
    <x v="1"/>
    <s v="Tuesday"/>
    <x v="0"/>
    <x v="1"/>
    <s v="Regular"/>
  </r>
  <r>
    <n v="2865"/>
    <s v="MegaMart Westside"/>
    <d v="2025-07-30T00:00:00"/>
    <s v="Meat &amp; Seafood"/>
    <s v="Bananas"/>
    <n v="2"/>
    <n v="13.81"/>
    <n v="27.62"/>
    <s v="Low"/>
    <n v="3.34"/>
    <n v="24.28"/>
    <x v="2"/>
    <n v="2025"/>
    <n v="269"/>
    <x v="0"/>
    <s v="Wednesday"/>
    <x v="0"/>
    <x v="1"/>
    <s v="Regular"/>
  </r>
  <r>
    <n v="1333"/>
    <s v="ValuePlus Market"/>
    <d v="2024-06-05T00:00:00"/>
    <s v="Snacks &amp; Candy"/>
    <s v="Rice"/>
    <n v="5"/>
    <n v="2.37"/>
    <n v="11.85"/>
    <s v="Low"/>
    <n v="1.43"/>
    <n v="10.42"/>
    <x v="10"/>
    <n v="2024"/>
    <n v="39"/>
    <x v="1"/>
    <s v="Wednesday"/>
    <x v="1"/>
    <x v="1"/>
    <s v="Regular"/>
  </r>
  <r>
    <n v="8454"/>
    <s v="ValuePlus Market"/>
    <d v="2024-03-15T00:00:00"/>
    <s v="Frozen Foods"/>
    <s v="Apples"/>
    <n v="1"/>
    <n v="20.16"/>
    <n v="20.16"/>
    <s v="Low"/>
    <n v="2.4300000000000002"/>
    <n v="17.73"/>
    <x v="6"/>
    <n v="2024"/>
    <n v="13"/>
    <x v="1"/>
    <s v="Friday"/>
    <x v="0"/>
    <x v="1"/>
    <s v="Regular"/>
  </r>
  <r>
    <n v="8498"/>
    <s v="MegaMart Westside"/>
    <d v="2023-09-04T00:00:00"/>
    <s v="Beverages"/>
    <s v="Ground Beef"/>
    <n v="5"/>
    <n v="7.36"/>
    <n v="36.799999999999997"/>
    <s v="Low"/>
    <n v="4.41"/>
    <n v="32.39"/>
    <x v="1"/>
    <n v="2023"/>
    <n v="465"/>
    <x v="0"/>
    <s v="Monday"/>
    <x v="1"/>
    <x v="1"/>
    <s v="Regular"/>
  </r>
  <r>
    <n v="7906"/>
    <s v="QuickStop Market"/>
    <d v="2024-02-18T00:00:00"/>
    <s v="Produce"/>
    <s v="Pasta"/>
    <n v="2"/>
    <n v="16.579999999999998"/>
    <n v="33.159999999999997"/>
    <s v="Low"/>
    <n v="3.97"/>
    <n v="29.189999999999998"/>
    <x v="4"/>
    <n v="2024"/>
    <n v="86"/>
    <x v="3"/>
    <s v="Sunday"/>
    <x v="0"/>
    <x v="0"/>
    <s v="Regular"/>
  </r>
  <r>
    <n v="2260"/>
    <s v="GreenGrocer Plaza"/>
    <d v="2024-03-26T00:00:00"/>
    <s v="Canned Goods"/>
    <s v="Onions"/>
    <n v="5"/>
    <n v="3.21"/>
    <n v="16.05"/>
    <s v="Low"/>
    <n v="1.92"/>
    <n v="14.13"/>
    <x v="6"/>
    <n v="2024"/>
    <n v="185"/>
    <x v="2"/>
    <s v="Tuesday"/>
    <x v="1"/>
    <x v="1"/>
    <s v="Regular"/>
  </r>
  <r>
    <n v="3194"/>
    <s v="FamilyFood Express"/>
    <d v="2024-04-06T00:00:00"/>
    <s v="Canned Goods"/>
    <s v="Orange Juice"/>
    <n v="3"/>
    <n v="9.8800000000000008"/>
    <n v="29.64"/>
    <s v="Low"/>
    <n v="3.54"/>
    <n v="26.1"/>
    <x v="9"/>
    <n v="2024"/>
    <n v="366"/>
    <x v="0"/>
    <s v="Saturday"/>
    <x v="1"/>
    <x v="0"/>
    <s v="Regular"/>
  </r>
  <r>
    <n v="3500"/>
    <s v="ValuePlus Market"/>
    <d v="2025-01-21T00:00:00"/>
    <s v="Canned Goods"/>
    <s v="Salmon"/>
    <n v="1"/>
    <n v="8.9"/>
    <n v="8.9"/>
    <s v="Low"/>
    <n v="1.06"/>
    <n v="7.84"/>
    <x v="8"/>
    <n v="2025"/>
    <n v="80"/>
    <x v="3"/>
    <s v="Tuesday"/>
    <x v="0"/>
    <x v="1"/>
    <s v="Regular"/>
  </r>
  <r>
    <n v="8842"/>
    <s v="ValuePlus Market"/>
    <d v="2024-09-18T00:00:00"/>
    <s v="Produce"/>
    <s v="Cheese"/>
    <n v="3"/>
    <n v="6.66"/>
    <n v="19.98"/>
    <s v="Low"/>
    <n v="2.37"/>
    <n v="17.61"/>
    <x v="1"/>
    <n v="2024"/>
    <n v="102"/>
    <x v="2"/>
    <s v="Wednesday"/>
    <x v="1"/>
    <x v="1"/>
    <s v="Regular"/>
  </r>
  <r>
    <n v="6218"/>
    <s v="Corner Grocery"/>
    <d v="2023-12-11T00:00:00"/>
    <s v="Beverages"/>
    <s v="Chicken Breast"/>
    <n v="4"/>
    <n v="9.51"/>
    <n v="38.04"/>
    <s v="Low"/>
    <n v="4.5"/>
    <n v="33.54"/>
    <x v="11"/>
    <n v="2023"/>
    <n v="99"/>
    <x v="3"/>
    <s v="Monday"/>
    <x v="1"/>
    <x v="1"/>
    <s v="Regular"/>
  </r>
  <r>
    <n v="9071"/>
    <s v="GreenGrocer Plaza"/>
    <d v="2023-11-05T00:00:00"/>
    <s v="Canned Goods"/>
    <s v="Potatoes"/>
    <n v="2"/>
    <n v="15.15"/>
    <n v="30.3"/>
    <s v="Low"/>
    <n v="3.57"/>
    <n v="26.73"/>
    <x v="0"/>
    <n v="2023"/>
    <n v="460"/>
    <x v="0"/>
    <s v="Sunday"/>
    <x v="0"/>
    <x v="0"/>
    <s v="Regular"/>
  </r>
  <r>
    <n v="7105"/>
    <s v="ValuePlus Market"/>
    <d v="2025-04-28T00:00:00"/>
    <s v="Dairy"/>
    <s v="Salmon"/>
    <n v="5"/>
    <n v="4.8099999999999996"/>
    <n v="24.05"/>
    <s v="Low"/>
    <n v="2.82"/>
    <n v="21.23"/>
    <x v="9"/>
    <n v="2025"/>
    <n v="416"/>
    <x v="0"/>
    <s v="Monday"/>
    <x v="1"/>
    <x v="1"/>
    <s v="Regular"/>
  </r>
  <r>
    <n v="2337"/>
    <s v="GreenGrocer Plaza"/>
    <d v="2024-05-24T00:00:00"/>
    <s v="Dairy"/>
    <s v="Apples"/>
    <n v="2"/>
    <n v="15.96"/>
    <n v="31.92"/>
    <s v="Low"/>
    <n v="3.74"/>
    <n v="28.18"/>
    <x v="3"/>
    <n v="2024"/>
    <n v="496"/>
    <x v="0"/>
    <s v="Friday"/>
    <x v="0"/>
    <x v="1"/>
    <s v="Regular"/>
  </r>
  <r>
    <n v="7684"/>
    <s v="FreshMart Downtown"/>
    <d v="2023-10-18T00:00:00"/>
    <s v="Dairy"/>
    <s v="Orange Juice"/>
    <n v="4"/>
    <n v="7.96"/>
    <n v="31.84"/>
    <s v="Low"/>
    <n v="3.73"/>
    <n v="28.11"/>
    <x v="7"/>
    <n v="2023"/>
    <n v="328"/>
    <x v="0"/>
    <s v="Wednesday"/>
    <x v="1"/>
    <x v="1"/>
    <s v="Regular"/>
  </r>
  <r>
    <n v="4836"/>
    <s v="SuperSave Central"/>
    <d v="2024-07-05T00:00:00"/>
    <s v="Canned Goods"/>
    <s v="Onions"/>
    <n v="3"/>
    <n v="12.5"/>
    <n v="37.5"/>
    <s v="Low"/>
    <n v="4.38"/>
    <n v="33.119999999999997"/>
    <x v="2"/>
    <n v="2024"/>
    <n v="471"/>
    <x v="0"/>
    <s v="Friday"/>
    <x v="1"/>
    <x v="1"/>
    <s v="Regular"/>
  </r>
  <r>
    <n v="3187"/>
    <s v="FreshMart Downtown"/>
    <d v="2024-12-13T00:00:00"/>
    <s v="Household Items"/>
    <s v="Potatoes"/>
    <n v="1"/>
    <n v="22.2"/>
    <n v="22.2"/>
    <s v="Low"/>
    <n v="2.59"/>
    <n v="19.61"/>
    <x v="11"/>
    <n v="2024"/>
    <n v="78"/>
    <x v="3"/>
    <s v="Friday"/>
    <x v="0"/>
    <x v="1"/>
    <s v="Regular"/>
  </r>
  <r>
    <n v="5339"/>
    <s v="Corner Grocery"/>
    <d v="2023-11-23T00:00:00"/>
    <s v="Health &amp; Wellness"/>
    <s v="Tomatoes"/>
    <n v="2"/>
    <n v="18.84"/>
    <n v="37.68"/>
    <s v="Low"/>
    <n v="4.33"/>
    <n v="33.35"/>
    <x v="0"/>
    <n v="2023"/>
    <n v="154"/>
    <x v="2"/>
    <s v="Thursday"/>
    <x v="0"/>
    <x v="1"/>
    <s v="Regular"/>
  </r>
  <r>
    <n v="5742"/>
    <s v="ValuePlus Market"/>
    <d v="2025-06-17T00:00:00"/>
    <s v="Household Items"/>
    <s v="Orange Juice"/>
    <n v="2"/>
    <n v="19.850000000000001"/>
    <n v="39.700000000000003"/>
    <s v="Low"/>
    <n v="4.55"/>
    <n v="35.150000000000006"/>
    <x v="10"/>
    <n v="2025"/>
    <n v="107"/>
    <x v="2"/>
    <s v="Tuesday"/>
    <x v="0"/>
    <x v="1"/>
    <s v="Regular"/>
  </r>
  <r>
    <n v="6198"/>
    <s v="SuperSave Central"/>
    <d v="2025-03-15T00:00:00"/>
    <s v="Canned Goods"/>
    <s v="Apples"/>
    <n v="2"/>
    <n v="21.88"/>
    <n v="43.76"/>
    <s v="Low"/>
    <n v="4.96"/>
    <n v="38.799999999999997"/>
    <x v="6"/>
    <n v="2025"/>
    <n v="250"/>
    <x v="0"/>
    <s v="Saturday"/>
    <x v="0"/>
    <x v="0"/>
    <s v="Regular"/>
  </r>
  <r>
    <n v="8921"/>
    <s v="MegaMart Westside"/>
    <d v="2024-08-02T00:00:00"/>
    <s v="Bakery"/>
    <s v="Cheese"/>
    <n v="3"/>
    <n v="8.86"/>
    <n v="26.58"/>
    <s v="Low"/>
    <n v="3.01"/>
    <n v="23.57"/>
    <x v="5"/>
    <n v="2024"/>
    <n v="39"/>
    <x v="1"/>
    <s v="Friday"/>
    <x v="1"/>
    <x v="1"/>
    <s v="Regular"/>
  </r>
  <r>
    <n v="2746"/>
    <s v="QuickStop Market"/>
    <d v="2025-04-02T00:00:00"/>
    <s v="Bakery"/>
    <s v="Cereal"/>
    <n v="1"/>
    <n v="27.73"/>
    <n v="27.73"/>
    <s v="Low"/>
    <n v="3.14"/>
    <n v="24.59"/>
    <x v="9"/>
    <n v="2025"/>
    <n v="433"/>
    <x v="0"/>
    <s v="Wednesday"/>
    <x v="0"/>
    <x v="1"/>
    <s v="Regular"/>
  </r>
  <r>
    <n v="8438"/>
    <s v="QuickStop Market"/>
    <d v="2023-10-01T00:00:00"/>
    <s v="Snacks &amp; Candy"/>
    <s v="Cereal"/>
    <n v="3"/>
    <n v="8.5500000000000007"/>
    <n v="25.65"/>
    <s v="Low"/>
    <n v="2.88"/>
    <n v="22.77"/>
    <x v="7"/>
    <n v="2023"/>
    <n v="150"/>
    <x v="2"/>
    <s v="Sunday"/>
    <x v="1"/>
    <x v="0"/>
    <s v="Regular"/>
  </r>
  <r>
    <n v="6813"/>
    <s v="GreenGrocer Plaza"/>
    <d v="2025-04-17T00:00:00"/>
    <s v="Meat &amp; Seafood"/>
    <s v="Chicken Breast"/>
    <n v="2"/>
    <n v="14.03"/>
    <n v="28.06"/>
    <s v="Low"/>
    <n v="3.14"/>
    <n v="24.919999999999998"/>
    <x v="9"/>
    <n v="2025"/>
    <n v="160"/>
    <x v="2"/>
    <s v="Thursday"/>
    <x v="0"/>
    <x v="1"/>
    <s v="Regular"/>
  </r>
  <r>
    <n v="2210"/>
    <s v="Corner Grocery"/>
    <d v="2024-07-15T00:00:00"/>
    <s v="Frozen Foods"/>
    <s v="Salmon"/>
    <n v="2"/>
    <n v="17.559999999999999"/>
    <n v="35.119999999999997"/>
    <s v="Low"/>
    <n v="3.88"/>
    <n v="31.24"/>
    <x v="2"/>
    <n v="2024"/>
    <n v="294"/>
    <x v="0"/>
    <s v="Monday"/>
    <x v="0"/>
    <x v="1"/>
    <s v="Regular"/>
  </r>
  <r>
    <n v="9507"/>
    <s v="SuperSave Central"/>
    <d v="2024-03-01T00:00:00"/>
    <s v="Personal Care"/>
    <s v="Onions"/>
    <n v="3"/>
    <n v="7.19"/>
    <n v="21.57"/>
    <s v="Low"/>
    <n v="2.36"/>
    <n v="19.21"/>
    <x v="6"/>
    <n v="2024"/>
    <n v="261"/>
    <x v="0"/>
    <s v="Friday"/>
    <x v="1"/>
    <x v="1"/>
    <s v="Regular"/>
  </r>
  <r>
    <n v="4269"/>
    <s v="SuperSave Central"/>
    <d v="2025-05-02T00:00:00"/>
    <s v="Meat &amp; Seafood"/>
    <s v="Cereal"/>
    <n v="5"/>
    <n v="2.1800000000000002"/>
    <n v="10.9"/>
    <s v="Low"/>
    <n v="1.18"/>
    <n v="9.7200000000000006"/>
    <x v="3"/>
    <n v="2025"/>
    <n v="442"/>
    <x v="0"/>
    <s v="Friday"/>
    <x v="1"/>
    <x v="1"/>
    <s v="Regular"/>
  </r>
  <r>
    <n v="9691"/>
    <s v="MegaMart Westside"/>
    <d v="2024-10-17T00:00:00"/>
    <s v="Health &amp; Wellness"/>
    <s v="Bread"/>
    <n v="3"/>
    <n v="14.09"/>
    <n v="42.27"/>
    <s v="Low"/>
    <n v="4.5199999999999996"/>
    <n v="37.75"/>
    <x v="7"/>
    <n v="2024"/>
    <n v="48"/>
    <x v="1"/>
    <s v="Thursday"/>
    <x v="1"/>
    <x v="1"/>
    <s v="Regular"/>
  </r>
  <r>
    <n v="5840"/>
    <s v="Corner Grocery"/>
    <d v="2024-06-25T00:00:00"/>
    <s v="Snacks &amp; Candy"/>
    <s v="Milk"/>
    <n v="3"/>
    <n v="13.31"/>
    <n v="39.93"/>
    <s v="Low"/>
    <n v="4.2300000000000004"/>
    <n v="35.700000000000003"/>
    <x v="10"/>
    <n v="2024"/>
    <n v="379"/>
    <x v="0"/>
    <s v="Tuesday"/>
    <x v="1"/>
    <x v="1"/>
    <s v="Regular"/>
  </r>
  <r>
    <n v="8179"/>
    <s v="City Fresh Store"/>
    <d v="2023-09-03T00:00:00"/>
    <s v="Personal Care"/>
    <s v="Bananas"/>
    <n v="1"/>
    <n v="20.079999999999998"/>
    <n v="20.079999999999998"/>
    <s v="Low"/>
    <n v="2.1"/>
    <n v="17.979999999999997"/>
    <x v="1"/>
    <n v="2023"/>
    <n v="272"/>
    <x v="0"/>
    <s v="Sunday"/>
    <x v="0"/>
    <x v="0"/>
    <s v="Regular"/>
  </r>
  <r>
    <n v="5634"/>
    <s v="ValuePlus Market"/>
    <d v="2024-06-02T00:00:00"/>
    <s v="Health &amp; Wellness"/>
    <s v="Bread"/>
    <n v="5"/>
    <n v="6.61"/>
    <n v="33.049999999999997"/>
    <s v="Low"/>
    <n v="3.4"/>
    <n v="29.65"/>
    <x v="10"/>
    <n v="2024"/>
    <n v="321"/>
    <x v="0"/>
    <s v="Sunday"/>
    <x v="1"/>
    <x v="0"/>
    <s v="Regular"/>
  </r>
  <r>
    <n v="1440"/>
    <s v="City Fresh Store"/>
    <d v="2025-02-21T00:00:00"/>
    <s v="Household Items"/>
    <s v="Salmon"/>
    <n v="4"/>
    <n v="6.03"/>
    <n v="24.12"/>
    <s v="Low"/>
    <n v="2.48"/>
    <n v="21.64"/>
    <x v="4"/>
    <n v="2025"/>
    <n v="383"/>
    <x v="0"/>
    <s v="Friday"/>
    <x v="1"/>
    <x v="1"/>
    <s v="Regular"/>
  </r>
  <r>
    <n v="7797"/>
    <s v="SuperSave Central"/>
    <d v="2024-12-27T00:00:00"/>
    <s v="Meat &amp; Seafood"/>
    <s v="Potatoes"/>
    <n v="5"/>
    <n v="6.74"/>
    <n v="33.700000000000003"/>
    <s v="Low"/>
    <n v="3.46"/>
    <n v="30.240000000000002"/>
    <x v="11"/>
    <n v="2024"/>
    <n v="202"/>
    <x v="0"/>
    <s v="Friday"/>
    <x v="1"/>
    <x v="1"/>
    <s v="Regular"/>
  </r>
  <r>
    <n v="4164"/>
    <s v="SuperSave Central"/>
    <d v="2024-06-11T00:00:00"/>
    <s v="Canned Goods"/>
    <s v="Carrots"/>
    <n v="5"/>
    <n v="4.07"/>
    <n v="20.350000000000001"/>
    <s v="Low"/>
    <n v="2.0699999999999998"/>
    <n v="18.28"/>
    <x v="10"/>
    <n v="2024"/>
    <n v="123"/>
    <x v="2"/>
    <s v="Tuesday"/>
    <x v="1"/>
    <x v="1"/>
    <s v="Regular"/>
  </r>
  <r>
    <n v="9363"/>
    <s v="Corner Grocery"/>
    <d v="2024-12-10T00:00:00"/>
    <s v="Bakery"/>
    <s v="Eggs"/>
    <n v="3"/>
    <n v="9.57"/>
    <n v="28.71"/>
    <s v="Low"/>
    <n v="2.92"/>
    <n v="25.79"/>
    <x v="11"/>
    <n v="2024"/>
    <n v="331"/>
    <x v="0"/>
    <s v="Tuesday"/>
    <x v="1"/>
    <x v="1"/>
    <s v="Regular"/>
  </r>
  <r>
    <n v="6221"/>
    <s v="FamilyFood Express"/>
    <d v="2025-07-29T00:00:00"/>
    <s v="Dairy"/>
    <s v="Cheese"/>
    <n v="3"/>
    <n v="6.26"/>
    <n v="18.78"/>
    <s v="Low"/>
    <n v="1.9"/>
    <n v="16.880000000000003"/>
    <x v="2"/>
    <n v="2025"/>
    <n v="448"/>
    <x v="0"/>
    <s v="Tuesday"/>
    <x v="1"/>
    <x v="1"/>
    <s v="Regular"/>
  </r>
  <r>
    <n v="3481"/>
    <s v="SuperSave Central"/>
    <d v="2024-06-22T00:00:00"/>
    <s v="Health &amp; Wellness"/>
    <s v="Tomatoes"/>
    <n v="2"/>
    <n v="1.98"/>
    <n v="3.96"/>
    <s v="Low"/>
    <n v="0.4"/>
    <n v="3.56"/>
    <x v="10"/>
    <n v="2024"/>
    <n v="123"/>
    <x v="2"/>
    <s v="Saturday"/>
    <x v="0"/>
    <x v="0"/>
    <s v="Regular"/>
  </r>
  <r>
    <n v="2398"/>
    <s v="SuperSave Central"/>
    <d v="2023-10-18T00:00:00"/>
    <s v="Produce"/>
    <s v="Potatoes"/>
    <n v="1"/>
    <n v="4.0599999999999996"/>
    <n v="4.0599999999999996"/>
    <s v="Low"/>
    <n v="0.41"/>
    <n v="3.6499999999999995"/>
    <x v="7"/>
    <n v="2023"/>
    <n v="27"/>
    <x v="1"/>
    <s v="Wednesday"/>
    <x v="0"/>
    <x v="1"/>
    <s v="Regular"/>
  </r>
  <r>
    <n v="8734"/>
    <s v="SuperSave Central"/>
    <d v="2023-08-31T00:00:00"/>
    <s v="Canned Goods"/>
    <s v="Cereal"/>
    <n v="1"/>
    <n v="5.35"/>
    <n v="5.35"/>
    <s v="Low"/>
    <n v="0.54"/>
    <n v="4.8099999999999996"/>
    <x v="5"/>
    <n v="2023"/>
    <n v="234"/>
    <x v="0"/>
    <s v="Thursday"/>
    <x v="0"/>
    <x v="1"/>
    <s v="Regular"/>
  </r>
  <r>
    <n v="9977"/>
    <s v="SuperSave Central"/>
    <d v="2025-05-15T00:00:00"/>
    <s v="Beverages"/>
    <s v="Cereal"/>
    <n v="2"/>
    <n v="1.19"/>
    <n v="2.38"/>
    <s v="Low"/>
    <n v="0.24"/>
    <n v="2.1399999999999997"/>
    <x v="3"/>
    <n v="2025"/>
    <n v="196"/>
    <x v="2"/>
    <s v="Thursday"/>
    <x v="0"/>
    <x v="1"/>
    <s v="Regular"/>
  </r>
  <r>
    <n v="4692"/>
    <s v="GreenGrocer Plaza"/>
    <d v="2024-03-27T00:00:00"/>
    <s v="Dairy"/>
    <s v="Potatoes"/>
    <n v="1"/>
    <n v="7.15"/>
    <n v="7.15"/>
    <s v="Low"/>
    <n v="0.72"/>
    <n v="6.4300000000000006"/>
    <x v="6"/>
    <n v="2024"/>
    <n v="343"/>
    <x v="0"/>
    <s v="Wednesday"/>
    <x v="0"/>
    <x v="1"/>
    <s v="Regular"/>
  </r>
  <r>
    <n v="2387"/>
    <s v="QuickStop Market"/>
    <d v="2025-02-20T00:00:00"/>
    <s v="Beverages"/>
    <s v="Yogurt"/>
    <n v="1"/>
    <n v="8.65"/>
    <n v="8.65"/>
    <s v="Low"/>
    <n v="0.87"/>
    <n v="7.78"/>
    <x v="4"/>
    <n v="2025"/>
    <n v="335"/>
    <x v="0"/>
    <s v="Thursday"/>
    <x v="0"/>
    <x v="1"/>
    <s v="Regular"/>
  </r>
  <r>
    <n v="5096"/>
    <s v="FamilyFood Express"/>
    <d v="2023-09-16T00:00:00"/>
    <s v="Dairy"/>
    <s v="Eggs"/>
    <n v="2"/>
    <n v="1.79"/>
    <n v="3.58"/>
    <s v="Low"/>
    <n v="0.36"/>
    <n v="3.22"/>
    <x v="1"/>
    <n v="2023"/>
    <n v="408"/>
    <x v="0"/>
    <s v="Saturday"/>
    <x v="0"/>
    <x v="0"/>
    <s v="Regular"/>
  </r>
  <r>
    <n v="3209"/>
    <s v="MegaMart Westside"/>
    <d v="2023-09-25T00:00:00"/>
    <s v="Beverages"/>
    <s v="Cheese"/>
    <n v="1"/>
    <n v="5.67"/>
    <n v="5.67"/>
    <s v="Low"/>
    <n v="0.56999999999999995"/>
    <n v="5.0999999999999996"/>
    <x v="1"/>
    <n v="2023"/>
    <n v="371"/>
    <x v="0"/>
    <s v="Monday"/>
    <x v="0"/>
    <x v="1"/>
    <s v="Regular"/>
  </r>
  <r>
    <n v="5846"/>
    <s v="FamilyFood Express"/>
    <d v="2025-05-23T00:00:00"/>
    <s v="Health &amp; Wellness"/>
    <s v="Eggs"/>
    <n v="1"/>
    <n v="3.88"/>
    <n v="3.88"/>
    <s v="Low"/>
    <n v="0.39"/>
    <n v="3.4899999999999998"/>
    <x v="3"/>
    <n v="2025"/>
    <n v="27"/>
    <x v="1"/>
    <s v="Friday"/>
    <x v="0"/>
    <x v="1"/>
    <s v="Regular"/>
  </r>
  <r>
    <n v="1496"/>
    <s v="FreshMart Downtown"/>
    <d v="2024-08-27T00:00:00"/>
    <s v="Canned Goods"/>
    <s v="Carrots"/>
    <n v="1"/>
    <n v="5.97"/>
    <n v="5.97"/>
    <s v="Low"/>
    <n v="0.6"/>
    <n v="5.37"/>
    <x v="5"/>
    <n v="2024"/>
    <n v="440"/>
    <x v="0"/>
    <s v="Tuesday"/>
    <x v="0"/>
    <x v="1"/>
    <s v="Regular"/>
  </r>
  <r>
    <n v="7505"/>
    <s v="FamilyFood Express"/>
    <d v="2025-06-06T00:00:00"/>
    <s v="Produce"/>
    <s v="Apples"/>
    <n v="3"/>
    <n v="2.82"/>
    <n v="8.4600000000000009"/>
    <s v="Low"/>
    <n v="0.85"/>
    <n v="7.6100000000000012"/>
    <x v="10"/>
    <n v="2025"/>
    <n v="140"/>
    <x v="2"/>
    <s v="Friday"/>
    <x v="1"/>
    <x v="1"/>
    <s v="Regular"/>
  </r>
  <r>
    <n v="2391"/>
    <s v="SuperSave Central"/>
    <d v="2024-10-31T00:00:00"/>
    <s v="Frozen Foods"/>
    <s v="Salmon"/>
    <n v="2"/>
    <n v="4.4800000000000004"/>
    <n v="8.9600000000000009"/>
    <s v="Low"/>
    <n v="0.9"/>
    <n v="8.06"/>
    <x v="7"/>
    <n v="2024"/>
    <n v="325"/>
    <x v="0"/>
    <s v="Thursday"/>
    <x v="0"/>
    <x v="1"/>
    <s v="Regular"/>
  </r>
  <r>
    <n v="5169"/>
    <s v="City Fresh Store"/>
    <d v="2025-05-02T00:00:00"/>
    <s v="Bakery"/>
    <s v="Potatoes"/>
    <n v="1"/>
    <n v="9.06"/>
    <n v="9.06"/>
    <s v="Low"/>
    <n v="0.91"/>
    <n v="8.15"/>
    <x v="3"/>
    <n v="2025"/>
    <n v="19"/>
    <x v="1"/>
    <s v="Friday"/>
    <x v="0"/>
    <x v="1"/>
    <s v="Regular"/>
  </r>
  <r>
    <n v="7625"/>
    <s v="City Fresh Store"/>
    <d v="2025-05-31T00:00:00"/>
    <s v="Dairy"/>
    <s v="Chicken Breast"/>
    <n v="2"/>
    <n v="5.03"/>
    <n v="10.06"/>
    <s v="Low"/>
    <n v="1.01"/>
    <n v="9.0500000000000007"/>
    <x v="3"/>
    <n v="2025"/>
    <n v="379"/>
    <x v="0"/>
    <s v="Saturday"/>
    <x v="0"/>
    <x v="0"/>
    <s v="Regular"/>
  </r>
  <r>
    <n v="4871"/>
    <s v="Corner Grocery"/>
    <d v="2023-09-24T00:00:00"/>
    <s v="Frozen Foods"/>
    <s v="Eggs"/>
    <n v="1"/>
    <n v="10.36"/>
    <n v="10.36"/>
    <s v="Low"/>
    <n v="1.04"/>
    <n v="9.32"/>
    <x v="1"/>
    <n v="2023"/>
    <n v="65"/>
    <x v="3"/>
    <s v="Sunday"/>
    <x v="0"/>
    <x v="0"/>
    <s v="Regular"/>
  </r>
  <r>
    <n v="2113"/>
    <s v="GreenGrocer Plaza"/>
    <d v="2025-01-12T00:00:00"/>
    <s v="Canned Goods"/>
    <s v="Onions"/>
    <n v="3"/>
    <n v="4.32"/>
    <n v="12.96"/>
    <s v="Low"/>
    <n v="1.3"/>
    <n v="11.66"/>
    <x v="8"/>
    <n v="2025"/>
    <n v="142"/>
    <x v="2"/>
    <s v="Sunday"/>
    <x v="1"/>
    <x v="0"/>
    <s v="Regular"/>
  </r>
  <r>
    <n v="2056"/>
    <s v="FreshMart Downtown"/>
    <d v="2024-01-07T00:00:00"/>
    <s v="Canned Goods"/>
    <s v="Tomatoes"/>
    <n v="1"/>
    <n v="6.58"/>
    <n v="6.58"/>
    <s v="Low"/>
    <n v="0.66"/>
    <n v="5.92"/>
    <x v="8"/>
    <n v="2024"/>
    <n v="371"/>
    <x v="0"/>
    <s v="Sunday"/>
    <x v="0"/>
    <x v="0"/>
    <s v="Regular"/>
  </r>
  <r>
    <n v="5557"/>
    <s v="MegaMart Westside"/>
    <d v="2023-12-25T00:00:00"/>
    <s v="Personal Care"/>
    <s v="Carrots"/>
    <n v="5"/>
    <n v="3.75"/>
    <n v="18.75"/>
    <s v="Low"/>
    <n v="1.88"/>
    <n v="16.87"/>
    <x v="11"/>
    <n v="2023"/>
    <n v="338"/>
    <x v="0"/>
    <s v="Monday"/>
    <x v="1"/>
    <x v="1"/>
    <s v="Regular"/>
  </r>
  <r>
    <n v="7363"/>
    <s v="QuickStop Market"/>
    <d v="2024-02-11T00:00:00"/>
    <s v="Dairy"/>
    <s v="Onions"/>
    <n v="1"/>
    <n v="11.27"/>
    <n v="11.27"/>
    <s v="Low"/>
    <n v="1.1299999999999999"/>
    <n v="10.14"/>
    <x v="4"/>
    <n v="2024"/>
    <n v="108"/>
    <x v="2"/>
    <s v="Sunday"/>
    <x v="0"/>
    <x v="0"/>
    <s v="Regular"/>
  </r>
  <r>
    <n v="5425"/>
    <s v="ValuePlus Market"/>
    <d v="2024-11-27T00:00:00"/>
    <s v="Produce"/>
    <s v="Milk"/>
    <n v="1"/>
    <n v="8.08"/>
    <n v="8.08"/>
    <s v="Low"/>
    <n v="0.81"/>
    <n v="7.27"/>
    <x v="0"/>
    <n v="2024"/>
    <n v="241"/>
    <x v="0"/>
    <s v="Wednesday"/>
    <x v="0"/>
    <x v="1"/>
    <s v="Regular"/>
  </r>
  <r>
    <n v="3626"/>
    <s v="FamilyFood Express"/>
    <d v="2024-03-05T00:00:00"/>
    <s v="Snacks &amp; Candy"/>
    <s v="Yogurt"/>
    <n v="2"/>
    <n v="4.09"/>
    <n v="8.18"/>
    <s v="Low"/>
    <n v="0.82"/>
    <n v="7.3599999999999994"/>
    <x v="6"/>
    <n v="2024"/>
    <n v="109"/>
    <x v="2"/>
    <s v="Tuesday"/>
    <x v="0"/>
    <x v="1"/>
    <s v="Regular"/>
  </r>
  <r>
    <n v="2020"/>
    <s v="City Fresh Store"/>
    <d v="2024-01-14T00:00:00"/>
    <s v="Household Items"/>
    <s v="Yogurt"/>
    <n v="4"/>
    <n v="4.09"/>
    <n v="16.36"/>
    <s v="Low"/>
    <n v="1.64"/>
    <n v="14.719999999999999"/>
    <x v="8"/>
    <n v="2024"/>
    <n v="155"/>
    <x v="2"/>
    <s v="Sunday"/>
    <x v="1"/>
    <x v="0"/>
    <s v="Regular"/>
  </r>
  <r>
    <n v="5833"/>
    <s v="FamilyFood Express"/>
    <d v="2024-05-18T00:00:00"/>
    <s v="Bakery"/>
    <s v="Milk"/>
    <n v="2"/>
    <n v="4.3899999999999997"/>
    <n v="8.7799999999999994"/>
    <s v="Low"/>
    <n v="0.88"/>
    <n v="7.8999999999999995"/>
    <x v="3"/>
    <n v="2024"/>
    <n v="356"/>
    <x v="0"/>
    <s v="Saturday"/>
    <x v="0"/>
    <x v="0"/>
    <s v="Regular"/>
  </r>
  <r>
    <n v="8267"/>
    <s v="FamilyFood Express"/>
    <d v="2023-10-03T00:00:00"/>
    <s v="Household Items"/>
    <s v="Milk"/>
    <n v="1"/>
    <n v="17.559999999999999"/>
    <n v="17.559999999999999"/>
    <s v="Low"/>
    <n v="1.76"/>
    <n v="15.799999999999999"/>
    <x v="7"/>
    <n v="2023"/>
    <n v="322"/>
    <x v="0"/>
    <s v="Tuesday"/>
    <x v="0"/>
    <x v="1"/>
    <s v="Regular"/>
  </r>
  <r>
    <n v="5479"/>
    <s v="SuperSave Central"/>
    <d v="2024-06-24T00:00:00"/>
    <s v="Frozen Foods"/>
    <s v="Onions"/>
    <n v="1"/>
    <n v="17.66"/>
    <n v="17.66"/>
    <s v="Low"/>
    <n v="1.77"/>
    <n v="15.89"/>
    <x v="10"/>
    <n v="2024"/>
    <n v="116"/>
    <x v="2"/>
    <s v="Monday"/>
    <x v="0"/>
    <x v="1"/>
    <s v="Regular"/>
  </r>
  <r>
    <n v="2343"/>
    <s v="SuperSave Central"/>
    <d v="2024-06-27T00:00:00"/>
    <s v="Household Items"/>
    <s v="Milk"/>
    <n v="1"/>
    <n v="8.8800000000000008"/>
    <n v="8.8800000000000008"/>
    <s v="Low"/>
    <n v="0.89"/>
    <n v="7.9900000000000011"/>
    <x v="10"/>
    <n v="2024"/>
    <n v="338"/>
    <x v="0"/>
    <s v="Thursday"/>
    <x v="0"/>
    <x v="1"/>
    <s v="Regular"/>
  </r>
  <r>
    <n v="1157"/>
    <s v="City Fresh Store"/>
    <d v="2024-04-23T00:00:00"/>
    <s v="Produce"/>
    <s v="Orange Juice"/>
    <n v="1"/>
    <n v="17.86"/>
    <n v="17.86"/>
    <s v="Low"/>
    <n v="1.79"/>
    <n v="16.07"/>
    <x v="9"/>
    <n v="2024"/>
    <n v="188"/>
    <x v="2"/>
    <s v="Tuesday"/>
    <x v="0"/>
    <x v="1"/>
    <s v="Regular"/>
  </r>
  <r>
    <n v="2106"/>
    <s v="SuperSave Central"/>
    <d v="2024-04-30T00:00:00"/>
    <s v="Dairy"/>
    <s v="Pasta"/>
    <n v="1"/>
    <n v="13.57"/>
    <n v="13.57"/>
    <s v="Low"/>
    <n v="1.36"/>
    <n v="12.21"/>
    <x v="9"/>
    <n v="2024"/>
    <n v="9"/>
    <x v="1"/>
    <s v="Tuesday"/>
    <x v="0"/>
    <x v="1"/>
    <s v="Regular"/>
  </r>
  <r>
    <n v="7825"/>
    <s v="Corner Grocery"/>
    <d v="2024-11-29T00:00:00"/>
    <s v="Frozen Foods"/>
    <s v="Yogurt"/>
    <n v="2"/>
    <n v="9.43"/>
    <n v="18.86"/>
    <s v="Low"/>
    <n v="1.89"/>
    <n v="16.97"/>
    <x v="0"/>
    <n v="2024"/>
    <n v="268"/>
    <x v="0"/>
    <s v="Friday"/>
    <x v="0"/>
    <x v="1"/>
    <s v="Regular"/>
  </r>
  <r>
    <n v="5901"/>
    <s v="FreshMart Downtown"/>
    <d v="2024-12-15T00:00:00"/>
    <s v="Meat &amp; Seafood"/>
    <s v="Cheese"/>
    <n v="4"/>
    <n v="4.8899999999999997"/>
    <n v="19.559999999999999"/>
    <s v="Low"/>
    <n v="1.96"/>
    <n v="17.599999999999998"/>
    <x v="11"/>
    <n v="2024"/>
    <n v="457"/>
    <x v="0"/>
    <s v="Sunday"/>
    <x v="1"/>
    <x v="0"/>
    <s v="Regular"/>
  </r>
  <r>
    <n v="4164"/>
    <s v="City Fresh Store"/>
    <d v="2023-12-21T00:00:00"/>
    <s v="Meat &amp; Seafood"/>
    <s v="Rice"/>
    <n v="1"/>
    <n v="9.98"/>
    <n v="9.98"/>
    <s v="Low"/>
    <n v="1"/>
    <n v="8.98"/>
    <x v="11"/>
    <n v="2023"/>
    <n v="453"/>
    <x v="0"/>
    <s v="Thursday"/>
    <x v="0"/>
    <x v="1"/>
    <s v="Regular"/>
  </r>
  <r>
    <n v="3007"/>
    <s v="ValuePlus Market"/>
    <d v="2024-03-01T00:00:00"/>
    <s v="Bakery"/>
    <s v="Salmon"/>
    <n v="1"/>
    <n v="25.25"/>
    <n v="25.25"/>
    <s v="Low"/>
    <n v="2.5299999999999998"/>
    <n v="22.72"/>
    <x v="6"/>
    <n v="2024"/>
    <n v="415"/>
    <x v="0"/>
    <s v="Friday"/>
    <x v="0"/>
    <x v="1"/>
    <s v="Regular"/>
  </r>
  <r>
    <n v="7745"/>
    <s v="GreenGrocer Plaza"/>
    <d v="2024-11-27T00:00:00"/>
    <s v="Beverages"/>
    <s v="Yogurt"/>
    <n v="5"/>
    <n v="5.49"/>
    <n v="27.45"/>
    <s v="Low"/>
    <n v="2.75"/>
    <n v="24.7"/>
    <x v="0"/>
    <n v="2024"/>
    <n v="313"/>
    <x v="0"/>
    <s v="Wednesday"/>
    <x v="1"/>
    <x v="1"/>
    <s v="Regular"/>
  </r>
  <r>
    <n v="8126"/>
    <s v="SuperSave Central"/>
    <d v="2024-03-07T00:00:00"/>
    <s v="Beverages"/>
    <s v="Bananas"/>
    <n v="1"/>
    <n v="16.87"/>
    <n v="16.87"/>
    <s v="Low"/>
    <n v="1.69"/>
    <n v="15.180000000000001"/>
    <x v="6"/>
    <n v="2024"/>
    <n v="34"/>
    <x v="1"/>
    <s v="Thursday"/>
    <x v="0"/>
    <x v="1"/>
    <s v="Regular"/>
  </r>
  <r>
    <n v="5873"/>
    <s v="City Fresh Store"/>
    <d v="2025-07-20T00:00:00"/>
    <s v="Bakery"/>
    <s v="Pasta"/>
    <n v="3"/>
    <n v="9.5500000000000007"/>
    <n v="28.65"/>
    <s v="Low"/>
    <n v="2.87"/>
    <n v="25.779999999999998"/>
    <x v="2"/>
    <n v="2025"/>
    <n v="227"/>
    <x v="0"/>
    <s v="Sunday"/>
    <x v="1"/>
    <x v="0"/>
    <s v="Regular"/>
  </r>
  <r>
    <n v="8532"/>
    <s v="MegaMart Westside"/>
    <d v="2025-02-06T00:00:00"/>
    <s v="Meat &amp; Seafood"/>
    <s v="Pasta"/>
    <n v="1"/>
    <n v="23.36"/>
    <n v="23.36"/>
    <s v="Low"/>
    <n v="2.34"/>
    <n v="21.02"/>
    <x v="4"/>
    <n v="2025"/>
    <n v="15"/>
    <x v="1"/>
    <s v="Thursday"/>
    <x v="0"/>
    <x v="1"/>
    <s v="Regular"/>
  </r>
  <r>
    <n v="6922"/>
    <s v="City Fresh Store"/>
    <d v="2024-09-05T00:00:00"/>
    <s v="Household Items"/>
    <s v="Chicken Breast"/>
    <n v="1"/>
    <n v="29.25"/>
    <n v="29.25"/>
    <s v="Low"/>
    <n v="2.93"/>
    <n v="26.32"/>
    <x v="1"/>
    <n v="2024"/>
    <n v="469"/>
    <x v="0"/>
    <s v="Thursday"/>
    <x v="0"/>
    <x v="1"/>
    <s v="Regular"/>
  </r>
  <r>
    <n v="3068"/>
    <s v="GreenGrocer Plaza"/>
    <d v="2024-08-08T00:00:00"/>
    <s v="Beverages"/>
    <s v="Orange Juice"/>
    <n v="1"/>
    <n v="24.06"/>
    <n v="24.06"/>
    <s v="Low"/>
    <n v="2.41"/>
    <n v="21.65"/>
    <x v="5"/>
    <n v="2024"/>
    <n v="203"/>
    <x v="0"/>
    <s v="Thursday"/>
    <x v="0"/>
    <x v="1"/>
    <s v="Regular"/>
  </r>
  <r>
    <n v="8651"/>
    <s v="SuperSave Central"/>
    <d v="2025-06-07T00:00:00"/>
    <s v="Meat &amp; Seafood"/>
    <s v="Apples"/>
    <n v="1"/>
    <n v="18.670000000000002"/>
    <n v="18.670000000000002"/>
    <s v="Low"/>
    <n v="1.87"/>
    <n v="16.8"/>
    <x v="10"/>
    <n v="2025"/>
    <n v="195"/>
    <x v="2"/>
    <s v="Saturday"/>
    <x v="0"/>
    <x v="0"/>
    <s v="Regular"/>
  </r>
  <r>
    <n v="5161"/>
    <s v="MegaMart Westside"/>
    <d v="2024-07-28T00:00:00"/>
    <s v="Beverages"/>
    <s v="Pasta"/>
    <n v="4"/>
    <n v="6.29"/>
    <n v="25.16"/>
    <s v="Low"/>
    <n v="2.52"/>
    <n v="22.64"/>
    <x v="2"/>
    <n v="2024"/>
    <n v="391"/>
    <x v="0"/>
    <s v="Sunday"/>
    <x v="1"/>
    <x v="0"/>
    <s v="Regular"/>
  </r>
  <r>
    <n v="1333"/>
    <s v="Corner Grocery"/>
    <d v="2024-12-01T00:00:00"/>
    <s v="Snacks &amp; Candy"/>
    <s v="Salmon"/>
    <n v="1"/>
    <n v="19.37"/>
    <n v="19.37"/>
    <s v="Low"/>
    <n v="1.94"/>
    <n v="17.43"/>
    <x v="11"/>
    <n v="2024"/>
    <n v="450"/>
    <x v="0"/>
    <s v="Sunday"/>
    <x v="0"/>
    <x v="0"/>
    <s v="Regular"/>
  </r>
  <r>
    <n v="2442"/>
    <s v="MegaMart Westside"/>
    <d v="2024-04-07T00:00:00"/>
    <s v="Dairy"/>
    <s v="Cheese"/>
    <n v="1"/>
    <n v="27.86"/>
    <n v="27.86"/>
    <s v="Low"/>
    <n v="2.79"/>
    <n v="25.07"/>
    <x v="9"/>
    <n v="2024"/>
    <n v="428"/>
    <x v="0"/>
    <s v="Sunday"/>
    <x v="0"/>
    <x v="0"/>
    <s v="Regular"/>
  </r>
  <r>
    <n v="6727"/>
    <s v="QuickStop Market"/>
    <d v="2025-07-29T00:00:00"/>
    <s v="Dairy"/>
    <s v="Ground Beef"/>
    <n v="3"/>
    <n v="7.09"/>
    <n v="21.27"/>
    <s v="Low"/>
    <n v="2.13"/>
    <n v="19.14"/>
    <x v="2"/>
    <n v="2025"/>
    <n v="455"/>
    <x v="0"/>
    <s v="Tuesday"/>
    <x v="1"/>
    <x v="1"/>
    <s v="Regular"/>
  </r>
  <r>
    <n v="2975"/>
    <s v="MegaMart Westside"/>
    <d v="2025-06-05T00:00:00"/>
    <s v="Health &amp; Wellness"/>
    <s v="Onions"/>
    <n v="2"/>
    <n v="14.48"/>
    <n v="28.96"/>
    <s v="Low"/>
    <n v="2.9"/>
    <n v="26.060000000000002"/>
    <x v="10"/>
    <n v="2025"/>
    <n v="294"/>
    <x v="0"/>
    <s v="Thursday"/>
    <x v="0"/>
    <x v="1"/>
    <s v="Regular"/>
  </r>
  <r>
    <n v="6928"/>
    <s v="City Fresh Store"/>
    <d v="2023-08-21T00:00:00"/>
    <s v="Household Items"/>
    <s v="Rice"/>
    <n v="4"/>
    <n v="7.54"/>
    <n v="30.16"/>
    <s v="Low"/>
    <n v="3.02"/>
    <n v="27.14"/>
    <x v="5"/>
    <n v="2023"/>
    <n v="208"/>
    <x v="0"/>
    <s v="Monday"/>
    <x v="1"/>
    <x v="1"/>
    <s v="Regular"/>
  </r>
  <r>
    <n v="7553"/>
    <s v="ValuePlus Market"/>
    <d v="2025-03-06T00:00:00"/>
    <s v="Dairy"/>
    <s v="Bread"/>
    <n v="3"/>
    <n v="10.119999999999999"/>
    <n v="30.36"/>
    <s v="Low"/>
    <n v="3.04"/>
    <n v="27.32"/>
    <x v="6"/>
    <n v="2025"/>
    <n v="395"/>
    <x v="0"/>
    <s v="Thursday"/>
    <x v="1"/>
    <x v="1"/>
    <s v="Regular"/>
  </r>
  <r>
    <n v="6549"/>
    <s v="ValuePlus Market"/>
    <d v="2025-04-22T00:00:00"/>
    <s v="Dairy"/>
    <s v="Eggs"/>
    <n v="4"/>
    <n v="7.74"/>
    <n v="30.96"/>
    <s v="Low"/>
    <n v="3.1"/>
    <n v="27.86"/>
    <x v="9"/>
    <n v="2025"/>
    <n v="285"/>
    <x v="0"/>
    <s v="Tuesday"/>
    <x v="1"/>
    <x v="1"/>
    <s v="Regular"/>
  </r>
  <r>
    <n v="5537"/>
    <s v="ValuePlus Market"/>
    <d v="2024-12-19T00:00:00"/>
    <s v="Meat &amp; Seafood"/>
    <s v="Cereal"/>
    <n v="1"/>
    <n v="16.48"/>
    <n v="16.48"/>
    <s v="Low"/>
    <n v="1.65"/>
    <n v="14.83"/>
    <x v="11"/>
    <n v="2024"/>
    <n v="24"/>
    <x v="1"/>
    <s v="Thursday"/>
    <x v="0"/>
    <x v="1"/>
    <s v="Regular"/>
  </r>
  <r>
    <n v="3538"/>
    <s v="ValuePlus Market"/>
    <d v="2023-10-05T00:00:00"/>
    <s v="Frozen Foods"/>
    <s v="Eggs"/>
    <n v="4"/>
    <n v="4.12"/>
    <n v="16.48"/>
    <s v="Low"/>
    <n v="1.65"/>
    <n v="14.83"/>
    <x v="7"/>
    <n v="2023"/>
    <n v="128"/>
    <x v="2"/>
    <s v="Thursday"/>
    <x v="1"/>
    <x v="1"/>
    <s v="Regular"/>
  </r>
  <r>
    <n v="3240"/>
    <s v="Corner Grocery"/>
    <d v="2024-12-06T00:00:00"/>
    <s v="Personal Care"/>
    <s v="Cheese"/>
    <n v="4"/>
    <n v="8.24"/>
    <n v="32.96"/>
    <s v="Low"/>
    <n v="3.3"/>
    <n v="29.66"/>
    <x v="11"/>
    <n v="2024"/>
    <n v="366"/>
    <x v="0"/>
    <s v="Friday"/>
    <x v="1"/>
    <x v="1"/>
    <s v="Regular"/>
  </r>
  <r>
    <n v="5605"/>
    <s v="FamilyFood Express"/>
    <d v="2024-11-12T00:00:00"/>
    <s v="Dairy"/>
    <s v="Carrots"/>
    <n v="3"/>
    <n v="14.85"/>
    <n v="44.55"/>
    <s v="Low"/>
    <n v="4.46"/>
    <n v="40.089999999999996"/>
    <x v="0"/>
    <n v="2024"/>
    <n v="260"/>
    <x v="0"/>
    <s v="Tuesday"/>
    <x v="1"/>
    <x v="1"/>
    <s v="Regular"/>
  </r>
  <r>
    <n v="6236"/>
    <s v="FreshMart Downtown"/>
    <d v="2025-01-06T00:00:00"/>
    <s v="Canned Goods"/>
    <s v="Cheese"/>
    <n v="4"/>
    <n v="8.94"/>
    <n v="35.76"/>
    <s v="Low"/>
    <n v="3.58"/>
    <n v="32.18"/>
    <x v="8"/>
    <n v="2025"/>
    <n v="348"/>
    <x v="0"/>
    <s v="Monday"/>
    <x v="1"/>
    <x v="1"/>
    <s v="Regular"/>
  </r>
  <r>
    <n v="2262"/>
    <s v="City Fresh Store"/>
    <d v="2024-08-26T00:00:00"/>
    <s v="Household Items"/>
    <s v="Apples"/>
    <n v="4"/>
    <n v="9.34"/>
    <n v="37.36"/>
    <s v="Low"/>
    <n v="3.74"/>
    <n v="33.619999999999997"/>
    <x v="5"/>
    <n v="2024"/>
    <n v="346"/>
    <x v="0"/>
    <s v="Monday"/>
    <x v="1"/>
    <x v="1"/>
    <s v="Regular"/>
  </r>
  <r>
    <n v="4921"/>
    <s v="City Fresh Store"/>
    <d v="2024-08-25T00:00:00"/>
    <s v="Meat &amp; Seafood"/>
    <s v="Ground Beef"/>
    <n v="1"/>
    <n v="19.48"/>
    <n v="19.48"/>
    <s v="Low"/>
    <n v="1.95"/>
    <n v="17.53"/>
    <x v="5"/>
    <n v="2024"/>
    <n v="59"/>
    <x v="3"/>
    <s v="Sunday"/>
    <x v="0"/>
    <x v="0"/>
    <s v="Regular"/>
  </r>
  <r>
    <n v="9785"/>
    <s v="ValuePlus Market"/>
    <d v="2024-04-20T00:00:00"/>
    <s v="Produce"/>
    <s v="Chicken Breast"/>
    <n v="4"/>
    <n v="4.87"/>
    <n v="19.48"/>
    <s v="Low"/>
    <n v="1.95"/>
    <n v="17.53"/>
    <x v="9"/>
    <n v="2024"/>
    <n v="135"/>
    <x v="2"/>
    <s v="Saturday"/>
    <x v="1"/>
    <x v="0"/>
    <s v="Regular"/>
  </r>
  <r>
    <n v="7438"/>
    <s v="MegaMart Westside"/>
    <d v="2025-02-01T00:00:00"/>
    <s v="Personal Care"/>
    <s v="Onions"/>
    <n v="2"/>
    <n v="10.29"/>
    <n v="20.58"/>
    <s v="Low"/>
    <n v="2.06"/>
    <n v="18.52"/>
    <x v="4"/>
    <n v="2025"/>
    <n v="327"/>
    <x v="0"/>
    <s v="Saturday"/>
    <x v="0"/>
    <x v="0"/>
    <s v="Regular"/>
  </r>
  <r>
    <n v="8405"/>
    <s v="FreshMart Downtown"/>
    <d v="2023-10-04T00:00:00"/>
    <s v="Bakery"/>
    <s v="Apples"/>
    <n v="4"/>
    <n v="10.34"/>
    <n v="41.36"/>
    <s v="Low"/>
    <n v="4.1399999999999997"/>
    <n v="37.22"/>
    <x v="7"/>
    <n v="2023"/>
    <n v="292"/>
    <x v="0"/>
    <s v="Wednesday"/>
    <x v="1"/>
    <x v="1"/>
    <s v="Regular"/>
  </r>
  <r>
    <n v="1887"/>
    <s v="SuperSave Central"/>
    <d v="2025-01-11T00:00:00"/>
    <s v="Bakery"/>
    <s v="Salmon"/>
    <n v="3"/>
    <n v="14.32"/>
    <n v="42.96"/>
    <s v="Low"/>
    <n v="4.3"/>
    <n v="38.660000000000004"/>
    <x v="8"/>
    <n v="2025"/>
    <n v="341"/>
    <x v="0"/>
    <s v="Saturday"/>
    <x v="1"/>
    <x v="0"/>
    <s v="Regular"/>
  </r>
  <r>
    <n v="2040"/>
    <s v="SuperSave Central"/>
    <d v="2024-05-31T00:00:00"/>
    <s v="Bakery"/>
    <s v="Tomatoes"/>
    <n v="2"/>
    <n v="21.48"/>
    <n v="42.96"/>
    <s v="Low"/>
    <n v="4.3"/>
    <n v="38.660000000000004"/>
    <x v="3"/>
    <n v="2024"/>
    <n v="32"/>
    <x v="1"/>
    <s v="Friday"/>
    <x v="0"/>
    <x v="1"/>
    <s v="Regular"/>
  </r>
  <r>
    <n v="2100"/>
    <s v="GreenGrocer Plaza"/>
    <d v="2024-03-27T00:00:00"/>
    <s v="Snacks &amp; Candy"/>
    <s v="Carrots"/>
    <n v="1"/>
    <n v="10.79"/>
    <n v="10.79"/>
    <s v="Low"/>
    <n v="1.08"/>
    <n v="9.7099999999999991"/>
    <x v="6"/>
    <n v="2024"/>
    <n v="326"/>
    <x v="0"/>
    <s v="Wednesday"/>
    <x v="0"/>
    <x v="1"/>
    <s v="Regular"/>
  </r>
  <r>
    <n v="7895"/>
    <s v="SuperSave Central"/>
    <d v="2024-05-16T00:00:00"/>
    <s v="Canned Goods"/>
    <s v="Pasta"/>
    <n v="2"/>
    <n v="11.14"/>
    <n v="22.28"/>
    <s v="Low"/>
    <n v="2.23"/>
    <n v="20.05"/>
    <x v="3"/>
    <n v="2024"/>
    <n v="102"/>
    <x v="2"/>
    <s v="Thursday"/>
    <x v="0"/>
    <x v="1"/>
    <s v="Regular"/>
  </r>
  <r>
    <n v="9565"/>
    <s v="City Fresh Store"/>
    <d v="2024-04-08T00:00:00"/>
    <s v="Snacks &amp; Candy"/>
    <s v="Pasta"/>
    <n v="2"/>
    <n v="22.88"/>
    <n v="45.76"/>
    <s v="Low"/>
    <n v="4.58"/>
    <n v="41.18"/>
    <x v="9"/>
    <n v="2024"/>
    <n v="58"/>
    <x v="3"/>
    <s v="Monday"/>
    <x v="0"/>
    <x v="1"/>
    <s v="Regular"/>
  </r>
  <r>
    <n v="9782"/>
    <s v="GreenGrocer Plaza"/>
    <d v="2023-08-19T00:00:00"/>
    <s v="Canned Goods"/>
    <s v="Bananas"/>
    <n v="3"/>
    <n v="20.75"/>
    <n v="62.25"/>
    <s v="Medium"/>
    <n v="6.23"/>
    <n v="56.019999999999996"/>
    <x v="5"/>
    <n v="2023"/>
    <n v="348"/>
    <x v="0"/>
    <s v="Saturday"/>
    <x v="1"/>
    <x v="0"/>
    <s v="Regular"/>
  </r>
  <r>
    <n v="6555"/>
    <s v="SuperSave Central"/>
    <d v="2024-10-13T00:00:00"/>
    <s v="Meat &amp; Seafood"/>
    <s v="Yogurt"/>
    <n v="4"/>
    <n v="6.27"/>
    <n v="25.08"/>
    <s v="Low"/>
    <n v="2.5099999999999998"/>
    <n v="22.57"/>
    <x v="7"/>
    <n v="2024"/>
    <n v="485"/>
    <x v="0"/>
    <s v="Sunday"/>
    <x v="1"/>
    <x v="0"/>
    <s v="Regular"/>
  </r>
  <r>
    <n v="7691"/>
    <s v="SuperSave Central"/>
    <d v="2024-04-16T00:00:00"/>
    <s v="Produce"/>
    <s v="Onions"/>
    <n v="2"/>
    <n v="12.79"/>
    <n v="25.58"/>
    <s v="Low"/>
    <n v="2.56"/>
    <n v="23.02"/>
    <x v="9"/>
    <n v="2024"/>
    <n v="478"/>
    <x v="0"/>
    <s v="Tuesday"/>
    <x v="0"/>
    <x v="1"/>
    <s v="Regular"/>
  </r>
  <r>
    <n v="7606"/>
    <s v="SuperSave Central"/>
    <d v="2024-05-17T00:00:00"/>
    <s v="Bakery"/>
    <s v="Bananas"/>
    <n v="1"/>
    <n v="25.98"/>
    <n v="25.98"/>
    <s v="Low"/>
    <n v="2.6"/>
    <n v="23.38"/>
    <x v="3"/>
    <n v="2024"/>
    <n v="373"/>
    <x v="0"/>
    <s v="Friday"/>
    <x v="0"/>
    <x v="1"/>
    <s v="Regular"/>
  </r>
  <r>
    <n v="6908"/>
    <s v="City Fresh Store"/>
    <d v="2023-09-28T00:00:00"/>
    <s v="Snacks &amp; Candy"/>
    <s v="Potatoes"/>
    <n v="3"/>
    <n v="17.32"/>
    <n v="51.96"/>
    <s v="Medium"/>
    <n v="5.2"/>
    <n v="46.76"/>
    <x v="1"/>
    <n v="2023"/>
    <n v="216"/>
    <x v="0"/>
    <s v="Thursday"/>
    <x v="1"/>
    <x v="1"/>
    <s v="Regular"/>
  </r>
  <r>
    <n v="3506"/>
    <s v="QuickStop Market"/>
    <d v="2024-07-10T00:00:00"/>
    <s v="Personal Care"/>
    <s v="Bread"/>
    <n v="3"/>
    <n v="21.65"/>
    <n v="64.95"/>
    <s v="Medium"/>
    <n v="6.5"/>
    <n v="58.45"/>
    <x v="2"/>
    <n v="2024"/>
    <n v="295"/>
    <x v="0"/>
    <s v="Wednesday"/>
    <x v="1"/>
    <x v="1"/>
    <s v="Regular"/>
  </r>
  <r>
    <n v="8541"/>
    <s v="QuickStop Market"/>
    <d v="2024-05-04T00:00:00"/>
    <s v="Health &amp; Wellness"/>
    <s v="Yogurt"/>
    <n v="5"/>
    <n v="13.07"/>
    <n v="65.349999999999994"/>
    <s v="Medium"/>
    <n v="6.54"/>
    <n v="58.809999999999995"/>
    <x v="3"/>
    <n v="2024"/>
    <n v="327"/>
    <x v="0"/>
    <s v="Saturday"/>
    <x v="1"/>
    <x v="0"/>
    <s v="Regular"/>
  </r>
  <r>
    <n v="9348"/>
    <s v="Corner Grocery"/>
    <d v="2024-08-24T00:00:00"/>
    <s v="Bakery"/>
    <s v="Eggs"/>
    <n v="1"/>
    <n v="26.88"/>
    <n v="26.88"/>
    <s v="Low"/>
    <n v="2.69"/>
    <n v="24.189999999999998"/>
    <x v="5"/>
    <n v="2024"/>
    <n v="440"/>
    <x v="0"/>
    <s v="Saturday"/>
    <x v="0"/>
    <x v="0"/>
    <s v="Regular"/>
  </r>
  <r>
    <n v="4683"/>
    <s v="City Fresh Store"/>
    <d v="2024-12-22T00:00:00"/>
    <s v="Dairy"/>
    <s v="Eggs"/>
    <n v="5"/>
    <n v="13.57"/>
    <n v="67.849999999999994"/>
    <s v="Medium"/>
    <n v="6.79"/>
    <n v="61.059999999999995"/>
    <x v="11"/>
    <n v="2024"/>
    <n v="219"/>
    <x v="0"/>
    <s v="Sunday"/>
    <x v="1"/>
    <x v="0"/>
    <s v="Regular"/>
  </r>
  <r>
    <n v="7932"/>
    <s v="QuickStop Market"/>
    <d v="2024-01-18T00:00:00"/>
    <s v="Beverages"/>
    <s v="Bread"/>
    <n v="2"/>
    <n v="27.78"/>
    <n v="55.56"/>
    <s v="Medium"/>
    <n v="5.56"/>
    <n v="50"/>
    <x v="8"/>
    <n v="2024"/>
    <n v="403"/>
    <x v="0"/>
    <s v="Thursday"/>
    <x v="0"/>
    <x v="1"/>
    <s v="Regular"/>
  </r>
  <r>
    <n v="5333"/>
    <s v="ValuePlus Market"/>
    <d v="2025-02-22T00:00:00"/>
    <s v="Meat &amp; Seafood"/>
    <s v="Pasta"/>
    <n v="4"/>
    <n v="14.44"/>
    <n v="57.76"/>
    <s v="Medium"/>
    <n v="5.78"/>
    <n v="51.98"/>
    <x v="4"/>
    <n v="2025"/>
    <n v="232"/>
    <x v="0"/>
    <s v="Saturday"/>
    <x v="1"/>
    <x v="0"/>
    <s v="Regular"/>
  </r>
  <r>
    <n v="1201"/>
    <s v="City Fresh Store"/>
    <d v="2024-02-12T00:00:00"/>
    <s v="Beverages"/>
    <s v="Cereal"/>
    <n v="4"/>
    <n v="14.44"/>
    <n v="57.76"/>
    <s v="Medium"/>
    <n v="5.78"/>
    <n v="51.98"/>
    <x v="4"/>
    <n v="2024"/>
    <n v="460"/>
    <x v="0"/>
    <s v="Monday"/>
    <x v="1"/>
    <x v="1"/>
    <s v="Regular"/>
  </r>
  <r>
    <n v="4977"/>
    <s v="QuickStop Market"/>
    <d v="2024-10-24T00:00:00"/>
    <s v="Snacks &amp; Candy"/>
    <s v="Bread"/>
    <n v="2"/>
    <n v="29.03"/>
    <n v="58.06"/>
    <s v="Medium"/>
    <n v="5.81"/>
    <n v="52.25"/>
    <x v="7"/>
    <n v="2024"/>
    <n v="287"/>
    <x v="0"/>
    <s v="Thursday"/>
    <x v="0"/>
    <x v="1"/>
    <s v="Regular"/>
  </r>
  <r>
    <n v="3399"/>
    <s v="Corner Grocery"/>
    <d v="2024-03-19T00:00:00"/>
    <s v="Personal Care"/>
    <s v="Ground Beef"/>
    <n v="3"/>
    <n v="19.420000000000002"/>
    <n v="58.26"/>
    <s v="Medium"/>
    <n v="5.83"/>
    <n v="52.43"/>
    <x v="6"/>
    <n v="2024"/>
    <n v="44"/>
    <x v="1"/>
    <s v="Tuesday"/>
    <x v="1"/>
    <x v="1"/>
    <s v="Regular"/>
  </r>
  <r>
    <n v="5906"/>
    <s v="FreshMart Downtown"/>
    <d v="2025-07-08T00:00:00"/>
    <s v="Canned Goods"/>
    <s v="Ground Beef"/>
    <n v="1"/>
    <n v="29.28"/>
    <n v="29.28"/>
    <s v="Low"/>
    <n v="2.93"/>
    <n v="26.35"/>
    <x v="2"/>
    <n v="2025"/>
    <n v="44"/>
    <x v="1"/>
    <s v="Tuesday"/>
    <x v="0"/>
    <x v="1"/>
    <s v="Regular"/>
  </r>
  <r>
    <n v="4711"/>
    <s v="QuickStop Market"/>
    <d v="2023-11-21T00:00:00"/>
    <s v="Health &amp; Wellness"/>
    <s v="Tomatoes"/>
    <n v="3"/>
    <n v="14.79"/>
    <n v="44.37"/>
    <s v="Low"/>
    <n v="4.4400000000000004"/>
    <n v="39.93"/>
    <x v="0"/>
    <n v="2023"/>
    <n v="308"/>
    <x v="0"/>
    <s v="Tuesday"/>
    <x v="1"/>
    <x v="1"/>
    <s v="Regular"/>
  </r>
  <r>
    <n v="8682"/>
    <s v="Corner Grocery"/>
    <d v="2024-07-15T00:00:00"/>
    <s v="Household Items"/>
    <s v="Cereal"/>
    <n v="3"/>
    <n v="15.09"/>
    <n v="45.27"/>
    <s v="Low"/>
    <n v="4.53"/>
    <n v="40.74"/>
    <x v="2"/>
    <n v="2024"/>
    <n v="340"/>
    <x v="0"/>
    <s v="Monday"/>
    <x v="1"/>
    <x v="1"/>
    <s v="Regular"/>
  </r>
  <r>
    <n v="6107"/>
    <s v="Corner Grocery"/>
    <d v="2024-06-11T00:00:00"/>
    <s v="Frozen Foods"/>
    <s v="Carrots"/>
    <n v="5"/>
    <n v="15.31"/>
    <n v="76.55"/>
    <s v="Medium"/>
    <n v="7.66"/>
    <n v="68.89"/>
    <x v="10"/>
    <n v="2024"/>
    <n v="41"/>
    <x v="1"/>
    <s v="Tuesday"/>
    <x v="1"/>
    <x v="1"/>
    <s v="Regular"/>
  </r>
  <r>
    <n v="2983"/>
    <s v="Unknown Store"/>
    <d v="2025-04-16T00:00:00"/>
    <s v="Frozen Foods"/>
    <s v="Milk"/>
    <n v="2"/>
    <n v="15.34"/>
    <n v="30.68"/>
    <s v="Low"/>
    <n v="3.07"/>
    <n v="27.61"/>
    <x v="9"/>
    <n v="2025"/>
    <n v="57"/>
    <x v="3"/>
    <s v="Wednesday"/>
    <x v="0"/>
    <x v="1"/>
    <s v="Regular"/>
  </r>
  <r>
    <n v="8700"/>
    <s v="FamilyFood Express"/>
    <d v="2024-05-03T00:00:00"/>
    <s v="Canned Goods"/>
    <s v="Pasta"/>
    <n v="1"/>
    <n v="15.69"/>
    <n v="15.69"/>
    <s v="Low"/>
    <n v="1.57"/>
    <n v="14.12"/>
    <x v="3"/>
    <n v="2024"/>
    <n v="281"/>
    <x v="0"/>
    <s v="Friday"/>
    <x v="0"/>
    <x v="1"/>
    <s v="Regular"/>
  </r>
  <r>
    <n v="1732"/>
    <s v="Corner Grocery"/>
    <d v="2025-04-27T00:00:00"/>
    <s v="Produce"/>
    <s v="Apples"/>
    <n v="3"/>
    <n v="21.92"/>
    <n v="65.760000000000005"/>
    <s v="Medium"/>
    <n v="6.58"/>
    <n v="59.180000000000007"/>
    <x v="9"/>
    <n v="2025"/>
    <n v="380"/>
    <x v="0"/>
    <s v="Sunday"/>
    <x v="1"/>
    <x v="0"/>
    <s v="Regular"/>
  </r>
  <r>
    <n v="2996"/>
    <s v="Corner Grocery"/>
    <d v="2024-10-25T00:00:00"/>
    <s v="Meat &amp; Seafood"/>
    <s v="Orange Juice"/>
    <n v="5"/>
    <n v="16.989999999999998"/>
    <n v="84.95"/>
    <s v="Medium"/>
    <n v="8.5"/>
    <n v="76.45"/>
    <x v="7"/>
    <n v="2024"/>
    <n v="451"/>
    <x v="0"/>
    <s v="Friday"/>
    <x v="1"/>
    <x v="1"/>
    <s v="Regular"/>
  </r>
  <r>
    <n v="7730"/>
    <s v="City Fresh Store"/>
    <d v="2025-03-26T00:00:00"/>
    <s v="Beverages"/>
    <s v="Cereal"/>
    <n v="5"/>
    <n v="17.41"/>
    <n v="87.05"/>
    <s v="Medium"/>
    <n v="8.7100000000000009"/>
    <n v="78.34"/>
    <x v="6"/>
    <n v="2025"/>
    <n v="171"/>
    <x v="2"/>
    <s v="Wednesday"/>
    <x v="1"/>
    <x v="1"/>
    <s v="Regular"/>
  </r>
  <r>
    <n v="5315"/>
    <s v="QuickStop Market"/>
    <d v="2024-08-29T00:00:00"/>
    <s v="Dairy"/>
    <s v="Bananas"/>
    <n v="3"/>
    <n v="17.690000000000001"/>
    <n v="53.07"/>
    <s v="Medium"/>
    <n v="5.31"/>
    <n v="47.76"/>
    <x v="5"/>
    <n v="2024"/>
    <n v="464"/>
    <x v="0"/>
    <s v="Thursday"/>
    <x v="1"/>
    <x v="1"/>
    <s v="Regular"/>
  </r>
  <r>
    <n v="4595"/>
    <s v="FamilyFood Express"/>
    <d v="2024-03-05T00:00:00"/>
    <s v="Personal Care"/>
    <s v="Carrots"/>
    <n v="5"/>
    <n v="17.829999999999998"/>
    <n v="89.15"/>
    <s v="Medium"/>
    <n v="8.92"/>
    <n v="80.23"/>
    <x v="6"/>
    <n v="2024"/>
    <n v="294"/>
    <x v="0"/>
    <s v="Tuesday"/>
    <x v="1"/>
    <x v="1"/>
    <s v="Regular"/>
  </r>
  <r>
    <n v="6697"/>
    <s v="ValuePlus Market"/>
    <d v="2023-11-07T00:00:00"/>
    <s v="Dairy"/>
    <s v="Salmon"/>
    <n v="5"/>
    <n v="17.850000000000001"/>
    <n v="89.25"/>
    <s v="Medium"/>
    <n v="8.93"/>
    <n v="80.319999999999993"/>
    <x v="0"/>
    <n v="2023"/>
    <n v="16"/>
    <x v="1"/>
    <s v="Tuesday"/>
    <x v="1"/>
    <x v="1"/>
    <s v="Regular"/>
  </r>
  <r>
    <n v="4814"/>
    <s v="GreenGrocer Plaza"/>
    <d v="2025-06-10T00:00:00"/>
    <s v="Household Items"/>
    <s v="Ground Beef"/>
    <n v="5"/>
    <n v="18.23"/>
    <n v="91.15"/>
    <s v="Medium"/>
    <n v="9.1199999999999992"/>
    <n v="82.03"/>
    <x v="10"/>
    <n v="2025"/>
    <n v="317"/>
    <x v="0"/>
    <s v="Tuesday"/>
    <x v="1"/>
    <x v="1"/>
    <s v="Regular"/>
  </r>
  <r>
    <n v="1823"/>
    <s v="SuperSave Central"/>
    <d v="2024-02-25T00:00:00"/>
    <s v="Personal Care"/>
    <s v="Tomatoes"/>
    <n v="4"/>
    <n v="18.29"/>
    <n v="73.16"/>
    <s v="Medium"/>
    <n v="7.32"/>
    <n v="65.84"/>
    <x v="4"/>
    <n v="2024"/>
    <n v="294"/>
    <x v="0"/>
    <s v="Sunday"/>
    <x v="1"/>
    <x v="0"/>
    <s v="Regular"/>
  </r>
  <r>
    <n v="8432"/>
    <s v="SuperSave Central"/>
    <d v="2024-04-27T00:00:00"/>
    <s v="Health &amp; Wellness"/>
    <s v="Salmon"/>
    <n v="3"/>
    <n v="24.42"/>
    <n v="73.260000000000005"/>
    <s v="Medium"/>
    <n v="7.33"/>
    <n v="65.930000000000007"/>
    <x v="9"/>
    <n v="2024"/>
    <n v="133"/>
    <x v="2"/>
    <s v="Saturday"/>
    <x v="1"/>
    <x v="0"/>
    <s v="Regular"/>
  </r>
  <r>
    <n v="1341"/>
    <s v="SuperSave Central"/>
    <d v="2024-04-15T00:00:00"/>
    <s v="Meat &amp; Seafood"/>
    <s v="Milk"/>
    <n v="1"/>
    <n v="19.690000000000001"/>
    <n v="19.690000000000001"/>
    <s v="Low"/>
    <n v="1.97"/>
    <n v="17.720000000000002"/>
    <x v="9"/>
    <n v="2024"/>
    <n v="145"/>
    <x v="2"/>
    <s v="Monday"/>
    <x v="0"/>
    <x v="1"/>
    <s v="Regular"/>
  </r>
  <r>
    <n v="7172"/>
    <s v="Corner Grocery"/>
    <d v="2023-12-04T00:00:00"/>
    <s v="Beverages"/>
    <s v="Chicken Breast"/>
    <n v="5"/>
    <n v="20.57"/>
    <n v="102.85"/>
    <s v="High"/>
    <n v="10.29"/>
    <n v="92.56"/>
    <x v="11"/>
    <n v="2023"/>
    <n v="337"/>
    <x v="0"/>
    <s v="Monday"/>
    <x v="1"/>
    <x v="1"/>
    <s v="Regular"/>
  </r>
  <r>
    <n v="5982"/>
    <s v="GreenGrocer Plaza"/>
    <d v="2025-01-31T00:00:00"/>
    <s v="Health &amp; Wellness"/>
    <s v="Bananas"/>
    <n v="1"/>
    <n v="20.99"/>
    <n v="20.99"/>
    <s v="Low"/>
    <n v="2.1"/>
    <n v="18.889999999999997"/>
    <x v="8"/>
    <n v="2025"/>
    <n v="213"/>
    <x v="0"/>
    <s v="Friday"/>
    <x v="0"/>
    <x v="1"/>
    <s v="Regular"/>
  </r>
  <r>
    <n v="7929"/>
    <s v="City Fresh Store"/>
    <d v="2025-06-11T00:00:00"/>
    <s v="Snacks &amp; Candy"/>
    <s v="Bread"/>
    <n v="3"/>
    <n v="7.03"/>
    <n v="21.09"/>
    <s v="Low"/>
    <n v="2.11"/>
    <n v="18.98"/>
    <x v="10"/>
    <n v="2025"/>
    <n v="355"/>
    <x v="0"/>
    <s v="Wednesday"/>
    <x v="1"/>
    <x v="1"/>
    <s v="Regular"/>
  </r>
  <r>
    <n v="4189"/>
    <s v="MegaMart Westside"/>
    <d v="2024-05-14T00:00:00"/>
    <s v="Personal Care"/>
    <s v="Potatoes"/>
    <n v="3"/>
    <n v="21.19"/>
    <n v="63.57"/>
    <s v="Medium"/>
    <n v="6.36"/>
    <n v="57.21"/>
    <x v="3"/>
    <n v="2024"/>
    <n v="333"/>
    <x v="0"/>
    <s v="Tuesday"/>
    <x v="1"/>
    <x v="1"/>
    <s v="Regular"/>
  </r>
  <r>
    <n v="5247"/>
    <s v="Corner Grocery"/>
    <d v="2023-12-14T00:00:00"/>
    <s v="Produce"/>
    <s v="Pasta"/>
    <n v="4"/>
    <n v="10.72"/>
    <n v="42.88"/>
    <s v="Low"/>
    <n v="4.29"/>
    <n v="38.590000000000003"/>
    <x v="11"/>
    <n v="2023"/>
    <n v="411"/>
    <x v="0"/>
    <s v="Thursday"/>
    <x v="1"/>
    <x v="1"/>
    <s v="Regular"/>
  </r>
  <r>
    <n v="5839"/>
    <s v="City Fresh Store"/>
    <d v="2025-04-17T00:00:00"/>
    <s v="Health &amp; Wellness"/>
    <s v="Carrots"/>
    <n v="1"/>
    <n v="21.49"/>
    <n v="21.49"/>
    <s v="Low"/>
    <n v="2.15"/>
    <n v="19.34"/>
    <x v="9"/>
    <n v="2025"/>
    <n v="161"/>
    <x v="2"/>
    <s v="Thursday"/>
    <x v="0"/>
    <x v="1"/>
    <s v="Regular"/>
  </r>
  <r>
    <n v="3262"/>
    <s v="SuperSave Central"/>
    <d v="2024-09-12T00:00:00"/>
    <s v="Dairy"/>
    <s v="Cereal"/>
    <n v="1"/>
    <n v="21.69"/>
    <n v="21.69"/>
    <s v="Low"/>
    <n v="2.17"/>
    <n v="19.520000000000003"/>
    <x v="1"/>
    <n v="2024"/>
    <n v="441"/>
    <x v="0"/>
    <s v="Thursday"/>
    <x v="0"/>
    <x v="1"/>
    <s v="Regular"/>
  </r>
  <r>
    <n v="5820"/>
    <s v="MegaMart Westside"/>
    <d v="2024-01-26T00:00:00"/>
    <s v="Beverages"/>
    <s v="Onions"/>
    <n v="4"/>
    <n v="10.97"/>
    <n v="43.88"/>
    <s v="Low"/>
    <n v="4.3899999999999997"/>
    <n v="39.49"/>
    <x v="8"/>
    <n v="2024"/>
    <n v="289"/>
    <x v="0"/>
    <s v="Friday"/>
    <x v="1"/>
    <x v="1"/>
    <s v="Regular"/>
  </r>
  <r>
    <n v="9279"/>
    <s v="GreenGrocer Plaza"/>
    <d v="2024-11-16T00:00:00"/>
    <s v="Household Items"/>
    <s v="Apples"/>
    <n v="5"/>
    <n v="22.13"/>
    <n v="110.65"/>
    <s v="High"/>
    <n v="11.07"/>
    <n v="99.580000000000013"/>
    <x v="0"/>
    <n v="2024"/>
    <n v="83"/>
    <x v="3"/>
    <s v="Saturday"/>
    <x v="1"/>
    <x v="0"/>
    <s v="Regular"/>
  </r>
  <r>
    <n v="1243"/>
    <s v="Corner Grocery"/>
    <d v="2024-05-11T00:00:00"/>
    <s v="Snacks &amp; Candy"/>
    <s v="Milk"/>
    <n v="5"/>
    <n v="22.31"/>
    <n v="111.55"/>
    <s v="High"/>
    <n v="11.16"/>
    <n v="100.39"/>
    <x v="3"/>
    <n v="2024"/>
    <n v="194"/>
    <x v="2"/>
    <s v="Saturday"/>
    <x v="1"/>
    <x v="0"/>
    <s v="High Value"/>
  </r>
  <r>
    <n v="7149"/>
    <s v="FreshMart Downtown"/>
    <d v="2024-06-10T00:00:00"/>
    <s v="Household Items"/>
    <s v="Apples"/>
    <n v="4"/>
    <n v="11.17"/>
    <n v="44.68"/>
    <s v="Low"/>
    <n v="4.47"/>
    <n v="40.21"/>
    <x v="10"/>
    <n v="2024"/>
    <n v="109"/>
    <x v="2"/>
    <s v="Monday"/>
    <x v="1"/>
    <x v="1"/>
    <s v="Regular"/>
  </r>
  <r>
    <n v="2731"/>
    <s v="FreshMart Downtown"/>
    <d v="2023-12-12T00:00:00"/>
    <s v="Frozen Foods"/>
    <s v="Onions"/>
    <n v="2"/>
    <n v="22.44"/>
    <n v="44.88"/>
    <s v="Low"/>
    <n v="4.49"/>
    <n v="40.39"/>
    <x v="11"/>
    <n v="2023"/>
    <n v="350"/>
    <x v="0"/>
    <s v="Tuesday"/>
    <x v="0"/>
    <x v="1"/>
    <s v="Regular"/>
  </r>
  <r>
    <n v="3252"/>
    <s v="QuickStop Market"/>
    <d v="2025-05-22T00:00:00"/>
    <s v="Beverages"/>
    <s v="Salmon"/>
    <n v="3"/>
    <n v="7.53"/>
    <n v="22.59"/>
    <s v="Low"/>
    <n v="2.2599999999999998"/>
    <n v="20.329999999999998"/>
    <x v="3"/>
    <n v="2025"/>
    <n v="379"/>
    <x v="0"/>
    <s v="Thursday"/>
    <x v="1"/>
    <x v="1"/>
    <s v="Regular"/>
  </r>
  <r>
    <n v="3695"/>
    <s v="GreenGrocer Plaza"/>
    <d v="2024-04-17T00:00:00"/>
    <s v="Bakery"/>
    <s v="Yogurt"/>
    <n v="2"/>
    <n v="23.29"/>
    <n v="46.58"/>
    <s v="Low"/>
    <n v="4.66"/>
    <n v="41.92"/>
    <x v="9"/>
    <n v="2024"/>
    <n v="82"/>
    <x v="3"/>
    <s v="Wednesday"/>
    <x v="0"/>
    <x v="1"/>
    <s v="Regular"/>
  </r>
  <r>
    <n v="4340"/>
    <s v="QuickStop Market"/>
    <d v="2024-06-20T00:00:00"/>
    <s v="Household Items"/>
    <s v="Apples"/>
    <n v="4"/>
    <n v="23.49"/>
    <n v="93.96"/>
    <s v="Medium"/>
    <n v="9.4"/>
    <n v="84.559999999999988"/>
    <x v="10"/>
    <n v="2024"/>
    <n v="407"/>
    <x v="0"/>
    <s v="Thursday"/>
    <x v="1"/>
    <x v="1"/>
    <s v="Regular"/>
  </r>
  <r>
    <n v="4155"/>
    <s v="MegaMart Westside"/>
    <d v="2024-04-08T00:00:00"/>
    <s v="Meat &amp; Seafood"/>
    <s v="Onions"/>
    <n v="5"/>
    <n v="23.81"/>
    <n v="119.05"/>
    <s v="High"/>
    <n v="11.91"/>
    <n v="107.14"/>
    <x v="9"/>
    <n v="2024"/>
    <n v="114"/>
    <x v="2"/>
    <s v="Monday"/>
    <x v="1"/>
    <x v="1"/>
    <s v="High Value"/>
  </r>
  <r>
    <n v="3068"/>
    <s v="FamilyFood Express"/>
    <d v="2023-09-28T00:00:00"/>
    <s v="Bakery"/>
    <s v="Salmon"/>
    <n v="1"/>
    <n v="24.39"/>
    <n v="24.39"/>
    <s v="Low"/>
    <n v="2.44"/>
    <n v="21.95"/>
    <x v="1"/>
    <n v="2023"/>
    <n v="310"/>
    <x v="0"/>
    <s v="Thursday"/>
    <x v="0"/>
    <x v="1"/>
    <s v="Regular"/>
  </r>
  <r>
    <n v="9004"/>
    <s v="Corner Grocery"/>
    <d v="2024-02-18T00:00:00"/>
    <s v="Dairy"/>
    <s v="Ground Beef"/>
    <n v="4"/>
    <n v="26.64"/>
    <n v="106.56"/>
    <s v="High"/>
    <n v="10.66"/>
    <n v="95.9"/>
    <x v="4"/>
    <n v="2024"/>
    <n v="476"/>
    <x v="0"/>
    <s v="Sunday"/>
    <x v="1"/>
    <x v="0"/>
    <s v="Regular"/>
  </r>
  <r>
    <n v="7730"/>
    <s v="FamilyFood Express"/>
    <d v="2023-09-09T00:00:00"/>
    <s v="Produce"/>
    <s v="Yogurt"/>
    <n v="5"/>
    <n v="27.31"/>
    <n v="136.55000000000001"/>
    <s v="High"/>
    <n v="13.66"/>
    <n v="122.89000000000001"/>
    <x v="1"/>
    <n v="2023"/>
    <n v="184"/>
    <x v="2"/>
    <s v="Saturday"/>
    <x v="1"/>
    <x v="0"/>
    <s v="High Value"/>
  </r>
  <r>
    <n v="2294"/>
    <s v="FreshMart Downtown"/>
    <d v="2024-05-02T00:00:00"/>
    <s v="Dairy"/>
    <s v="Rice"/>
    <n v="5"/>
    <n v="27.95"/>
    <n v="139.75"/>
    <s v="High"/>
    <n v="13.98"/>
    <n v="125.77"/>
    <x v="3"/>
    <n v="2024"/>
    <n v="413"/>
    <x v="0"/>
    <s v="Thursday"/>
    <x v="1"/>
    <x v="1"/>
    <s v="High Value"/>
  </r>
  <r>
    <n v="8993"/>
    <s v="GreenGrocer Plaza"/>
    <d v="2023-08-19T00:00:00"/>
    <s v="Personal Care"/>
    <s v="Ground Beef"/>
    <n v="5"/>
    <n v="28.01"/>
    <n v="140.05000000000001"/>
    <s v="High"/>
    <n v="14.01"/>
    <n v="126.04"/>
    <x v="5"/>
    <n v="2023"/>
    <n v="256"/>
    <x v="0"/>
    <s v="Saturday"/>
    <x v="1"/>
    <x v="0"/>
    <s v="High Value"/>
  </r>
  <r>
    <n v="2104"/>
    <s v="GreenGrocer Plaza"/>
    <d v="2025-07-10T00:00:00"/>
    <s v="Health &amp; Wellness"/>
    <s v="Eggs"/>
    <n v="4"/>
    <n v="28.04"/>
    <n v="112.16"/>
    <s v="High"/>
    <n v="11.22"/>
    <n v="100.94"/>
    <x v="2"/>
    <n v="2025"/>
    <n v="149"/>
    <x v="2"/>
    <s v="Thursday"/>
    <x v="1"/>
    <x v="1"/>
    <s v="High Value"/>
  </r>
  <r>
    <n v="2369"/>
    <s v="Corner Grocery"/>
    <d v="2024-04-03T00:00:00"/>
    <s v="Personal Care"/>
    <s v="Cheese"/>
    <n v="2"/>
    <n v="28.34"/>
    <n v="56.68"/>
    <s v="Medium"/>
    <n v="5.67"/>
    <n v="51.01"/>
    <x v="9"/>
    <n v="2024"/>
    <n v="12"/>
    <x v="1"/>
    <s v="Wednesday"/>
    <x v="0"/>
    <x v="1"/>
    <s v="Regular"/>
  </r>
  <r>
    <n v="1478"/>
    <s v="ValuePlus Market"/>
    <d v="2025-03-01T00:00:00"/>
    <s v="Meat &amp; Seafood"/>
    <s v="Tomatoes"/>
    <n v="5"/>
    <n v="28.51"/>
    <n v="142.55000000000001"/>
    <s v="High"/>
    <n v="14.26"/>
    <n v="128.29000000000002"/>
    <x v="6"/>
    <n v="2025"/>
    <n v="63"/>
    <x v="3"/>
    <s v="Saturday"/>
    <x v="1"/>
    <x v="0"/>
    <s v="High Value"/>
  </r>
  <r>
    <n v="7499"/>
    <s v="MegaMart Westside"/>
    <d v="2025-03-29T00:00:00"/>
    <s v="Snacks &amp; Candy"/>
    <s v="Cereal"/>
    <n v="2"/>
    <n v="28.64"/>
    <n v="57.28"/>
    <s v="Medium"/>
    <n v="5.73"/>
    <n v="51.55"/>
    <x v="6"/>
    <n v="2025"/>
    <n v="21"/>
    <x v="1"/>
    <s v="Saturday"/>
    <x v="0"/>
    <x v="0"/>
    <s v="Regular"/>
  </r>
  <r>
    <n v="6464"/>
    <s v="SuperSave Central"/>
    <d v="2024-02-12T00:00:00"/>
    <s v="Dairy"/>
    <s v="Tomatoes"/>
    <n v="5"/>
    <n v="28.85"/>
    <n v="144.25"/>
    <s v="High"/>
    <n v="14.43"/>
    <n v="129.82"/>
    <x v="4"/>
    <n v="2024"/>
    <n v="313"/>
    <x v="0"/>
    <s v="Monday"/>
    <x v="1"/>
    <x v="1"/>
    <s v="High Value"/>
  </r>
  <r>
    <n v="2982"/>
    <s v="SuperSave Central"/>
    <d v="2024-02-15T00:00:00"/>
    <s v="Household Items"/>
    <s v="Cheese"/>
    <n v="4"/>
    <n v="29.09"/>
    <n v="116.36"/>
    <s v="High"/>
    <n v="11.64"/>
    <n v="104.72"/>
    <x v="4"/>
    <n v="2024"/>
    <n v="240"/>
    <x v="0"/>
    <s v="Thursday"/>
    <x v="1"/>
    <x v="1"/>
    <s v="High Value"/>
  </r>
  <r>
    <n v="2276"/>
    <s v="MegaMart Westside"/>
    <d v="2024-10-23T00:00:00"/>
    <s v="Meat &amp; Seafood"/>
    <s v="Orange Juice"/>
    <n v="5"/>
    <n v="29.13"/>
    <n v="145.65"/>
    <s v="High"/>
    <n v="14.57"/>
    <n v="131.08000000000001"/>
    <x v="7"/>
    <n v="2024"/>
    <n v="32"/>
    <x v="1"/>
    <s v="Wednesday"/>
    <x v="1"/>
    <x v="1"/>
    <s v="High Value"/>
  </r>
  <r>
    <n v="3063"/>
    <s v="FamilyFood Express"/>
    <d v="2025-04-09T00:00:00"/>
    <s v="Household Items"/>
    <s v="Eggs"/>
    <n v="4"/>
    <n v="29.14"/>
    <n v="116.56"/>
    <s v="High"/>
    <n v="11.66"/>
    <n v="104.9"/>
    <x v="9"/>
    <n v="2025"/>
    <n v="465"/>
    <x v="0"/>
    <s v="Wednesday"/>
    <x v="1"/>
    <x v="1"/>
    <s v="High Value"/>
  </r>
  <r>
    <n v="5065"/>
    <s v="Corner Grocery"/>
    <d v="2024-03-01T00:00:00"/>
    <s v="Household Items"/>
    <s v="Bread"/>
    <n v="2"/>
    <n v="29.19"/>
    <n v="58.38"/>
    <s v="Medium"/>
    <n v="5.84"/>
    <n v="52.540000000000006"/>
    <x v="6"/>
    <n v="2024"/>
    <n v="328"/>
    <x v="0"/>
    <s v="Friday"/>
    <x v="0"/>
    <x v="1"/>
    <s v="Regular"/>
  </r>
  <r>
    <n v="4228"/>
    <s v="FamilyFood Express"/>
    <d v="2024-07-27T00:00:00"/>
    <s v="Meat &amp; Seafood"/>
    <s v="Salmon"/>
    <n v="3"/>
    <n v="21.96"/>
    <n v="65.88"/>
    <s v="Medium"/>
    <n v="6.59"/>
    <n v="59.289999999999992"/>
    <x v="2"/>
    <n v="2024"/>
    <n v="122"/>
    <x v="2"/>
    <s v="Saturday"/>
    <x v="1"/>
    <x v="0"/>
    <s v="Regular"/>
  </r>
  <r>
    <n v="1505"/>
    <s v="MegaMart Westside"/>
    <d v="2025-04-16T00:00:00"/>
    <s v="Meat &amp; Seafood"/>
    <s v="Rice"/>
    <n v="3"/>
    <n v="22.06"/>
    <n v="66.180000000000007"/>
    <s v="Medium"/>
    <n v="6.62"/>
    <n v="59.560000000000009"/>
    <x v="9"/>
    <n v="2025"/>
    <n v="424"/>
    <x v="0"/>
    <s v="Wednesday"/>
    <x v="1"/>
    <x v="1"/>
    <s v="Regular"/>
  </r>
  <r>
    <n v="7658"/>
    <s v="MegaMart Westside"/>
    <d v="2024-08-18T00:00:00"/>
    <s v="Health &amp; Wellness"/>
    <s v="Onions"/>
    <n v="4"/>
    <n v="18.02"/>
    <n v="72.08"/>
    <s v="Medium"/>
    <n v="7.21"/>
    <n v="64.87"/>
    <x v="5"/>
    <n v="2024"/>
    <n v="372"/>
    <x v="0"/>
    <s v="Sunday"/>
    <x v="1"/>
    <x v="0"/>
    <s v="Regular"/>
  </r>
  <r>
    <n v="9568"/>
    <s v="FreshMart Downtown"/>
    <d v="2024-09-11T00:00:00"/>
    <s v="Household Items"/>
    <s v="Bananas"/>
    <n v="3"/>
    <n v="12.03"/>
    <n v="36.090000000000003"/>
    <s v="Low"/>
    <n v="3.61"/>
    <n v="32.480000000000004"/>
    <x v="1"/>
    <n v="2024"/>
    <n v="463"/>
    <x v="0"/>
    <s v="Wednesday"/>
    <x v="1"/>
    <x v="1"/>
    <s v="Regular"/>
  </r>
  <r>
    <n v="1741"/>
    <s v="Corner Grocery"/>
    <d v="2024-06-13T00:00:00"/>
    <s v="Snacks &amp; Candy"/>
    <s v="Tomatoes"/>
    <n v="3"/>
    <n v="12.13"/>
    <n v="36.39"/>
    <s v="Low"/>
    <n v="3.64"/>
    <n v="32.75"/>
    <x v="10"/>
    <n v="2024"/>
    <n v="157"/>
    <x v="2"/>
    <s v="Thursday"/>
    <x v="1"/>
    <x v="1"/>
    <s v="Regular"/>
  </r>
  <r>
    <n v="1815"/>
    <s v="QuickStop Market"/>
    <d v="2025-01-11T00:00:00"/>
    <s v="Canned Goods"/>
    <s v="Pasta"/>
    <n v="3"/>
    <n v="24.26"/>
    <n v="72.78"/>
    <s v="Medium"/>
    <n v="7.28"/>
    <n v="65.5"/>
    <x v="8"/>
    <n v="2025"/>
    <n v="130"/>
    <x v="2"/>
    <s v="Saturday"/>
    <x v="1"/>
    <x v="0"/>
    <s v="Regular"/>
  </r>
  <r>
    <n v="1981"/>
    <s v="City Fresh Store"/>
    <d v="2023-12-07T00:00:00"/>
    <s v="Canned Goods"/>
    <s v="Rice"/>
    <n v="4"/>
    <n v="18.77"/>
    <n v="75.08"/>
    <s v="Medium"/>
    <n v="7.51"/>
    <n v="67.569999999999993"/>
    <x v="11"/>
    <n v="2023"/>
    <n v="414"/>
    <x v="0"/>
    <s v="Thursday"/>
    <x v="1"/>
    <x v="1"/>
    <s v="Regular"/>
  </r>
  <r>
    <n v="3039"/>
    <s v="FamilyFood Express"/>
    <d v="2025-04-18T00:00:00"/>
    <s v="Meat &amp; Seafood"/>
    <s v="Carrots"/>
    <n v="4"/>
    <n v="23.82"/>
    <n v="95.28"/>
    <s v="Medium"/>
    <n v="9.5299999999999994"/>
    <n v="85.75"/>
    <x v="9"/>
    <n v="2025"/>
    <n v="70"/>
    <x v="3"/>
    <s v="Friday"/>
    <x v="1"/>
    <x v="1"/>
    <s v="Regular"/>
  </r>
  <r>
    <n v="8080"/>
    <s v="Corner Grocery"/>
    <d v="2024-06-09T00:00:00"/>
    <s v="Snacks &amp; Candy"/>
    <s v="Bananas"/>
    <n v="3"/>
    <n v="17.13"/>
    <n v="51.39"/>
    <s v="Medium"/>
    <n v="5.14"/>
    <n v="46.25"/>
    <x v="10"/>
    <n v="2024"/>
    <n v="251"/>
    <x v="0"/>
    <s v="Sunday"/>
    <x v="1"/>
    <x v="0"/>
    <s v="Regular"/>
  </r>
  <r>
    <n v="8900"/>
    <s v="FamilyFood Express"/>
    <d v="2024-01-28T00:00:00"/>
    <s v="Health &amp; Wellness"/>
    <s v="Cereal"/>
    <n v="3"/>
    <n v="17.53"/>
    <n v="52.59"/>
    <s v="Medium"/>
    <n v="5.26"/>
    <n v="47.330000000000005"/>
    <x v="8"/>
    <n v="2024"/>
    <n v="467"/>
    <x v="0"/>
    <s v="Sunday"/>
    <x v="1"/>
    <x v="0"/>
    <s v="Regular"/>
  </r>
  <r>
    <n v="5807"/>
    <s v="City Fresh Store"/>
    <d v="2024-01-10T00:00:00"/>
    <s v="Meat &amp; Seafood"/>
    <s v="Rice"/>
    <n v="4"/>
    <n v="28.82"/>
    <n v="115.28"/>
    <s v="High"/>
    <n v="11.53"/>
    <n v="103.75"/>
    <x v="8"/>
    <n v="2024"/>
    <n v="426"/>
    <x v="0"/>
    <s v="Wednesday"/>
    <x v="1"/>
    <x v="1"/>
    <s v="High Value"/>
  </r>
  <r>
    <n v="3267"/>
    <s v="FamilyFood Express"/>
    <d v="2025-06-15T00:00:00"/>
    <s v="Snacks &amp; Candy"/>
    <s v="Pasta"/>
    <n v="3"/>
    <n v="19.73"/>
    <n v="59.19"/>
    <s v="Medium"/>
    <n v="5.92"/>
    <n v="53.269999999999996"/>
    <x v="10"/>
    <n v="2025"/>
    <n v="131"/>
    <x v="2"/>
    <s v="Sunday"/>
    <x v="1"/>
    <x v="0"/>
    <s v="Regular"/>
  </r>
  <r>
    <n v="9702"/>
    <s v="ValuePlus Market"/>
    <d v="2024-10-14T00:00:00"/>
    <s v="Health &amp; Wellness"/>
    <s v="Cereal"/>
    <n v="3"/>
    <n v="23.13"/>
    <n v="69.39"/>
    <s v="Medium"/>
    <n v="6.94"/>
    <n v="62.45"/>
    <x v="7"/>
    <n v="2024"/>
    <n v="250"/>
    <x v="0"/>
    <s v="Monday"/>
    <x v="1"/>
    <x v="1"/>
    <s v="Regular"/>
  </r>
  <r>
    <n v="1924"/>
    <s v="FamilyFood Express"/>
    <d v="2023-11-23T00:00:00"/>
    <s v="Household Items"/>
    <s v="Orange Juice"/>
    <n v="3"/>
    <n v="27.03"/>
    <n v="81.09"/>
    <s v="Medium"/>
    <n v="8.11"/>
    <n v="72.98"/>
    <x v="0"/>
    <n v="2023"/>
    <n v="419"/>
    <x v="0"/>
    <s v="Thursday"/>
    <x v="1"/>
    <x v="1"/>
    <s v="Regular"/>
  </r>
  <r>
    <n v="7252"/>
    <s v="MegaMart Westside"/>
    <d v="2024-11-11T00:00:00"/>
    <s v="Personal Care"/>
    <s v="Salmon"/>
    <n v="4"/>
    <n v="2.8"/>
    <n v="11.2"/>
    <s v="Low"/>
    <n v="1.1200000000000001"/>
    <n v="10.079999999999998"/>
    <x v="0"/>
    <n v="2024"/>
    <n v="426"/>
    <x v="0"/>
    <s v="Monday"/>
    <x v="1"/>
    <x v="1"/>
    <s v="Regular"/>
  </r>
  <r>
    <n v="2776"/>
    <s v="ValuePlus Market"/>
    <d v="2024-11-12T00:00:00"/>
    <s v="Snacks &amp; Candy"/>
    <s v="Carrots"/>
    <n v="1"/>
    <n v="2.2999999999999998"/>
    <n v="2.2999999999999998"/>
    <s v="Low"/>
    <n v="0.23"/>
    <n v="2.0699999999999998"/>
    <x v="0"/>
    <n v="2024"/>
    <n v="70"/>
    <x v="3"/>
    <s v="Tuesday"/>
    <x v="0"/>
    <x v="1"/>
    <s v="Regular"/>
  </r>
  <r>
    <n v="8242"/>
    <s v="FamilyFood Express"/>
    <d v="2024-06-23T00:00:00"/>
    <s v="Household Items"/>
    <s v="Chicken Breast"/>
    <n v="1"/>
    <n v="3.5"/>
    <n v="3.5"/>
    <s v="Low"/>
    <n v="0.35"/>
    <n v="3.15"/>
    <x v="10"/>
    <n v="2024"/>
    <n v="309"/>
    <x v="0"/>
    <s v="Sunday"/>
    <x v="0"/>
    <x v="0"/>
    <s v="Regular"/>
  </r>
  <r>
    <n v="8527"/>
    <s v="City Fresh Store"/>
    <d v="2024-09-26T00:00:00"/>
    <s v="Snacks &amp; Candy"/>
    <s v="Yogurt"/>
    <n v="1"/>
    <n v="3.8"/>
    <n v="3.8"/>
    <s v="Low"/>
    <n v="0.38"/>
    <n v="3.42"/>
    <x v="1"/>
    <n v="2024"/>
    <n v="220"/>
    <x v="0"/>
    <s v="Thursday"/>
    <x v="0"/>
    <x v="1"/>
    <s v="Regular"/>
  </r>
  <r>
    <n v="3492"/>
    <s v="MegaMart Westside"/>
    <d v="2024-08-25T00:00:00"/>
    <s v="Beverages"/>
    <s v="Potatoes"/>
    <n v="5"/>
    <n v="1.18"/>
    <n v="5.9"/>
    <s v="Low"/>
    <n v="0.59"/>
    <n v="5.3100000000000005"/>
    <x v="5"/>
    <n v="2024"/>
    <n v="451"/>
    <x v="0"/>
    <s v="Sunday"/>
    <x v="1"/>
    <x v="0"/>
    <s v="Regular"/>
  </r>
  <r>
    <n v="2489"/>
    <s v="FamilyFood Express"/>
    <d v="2025-03-16T00:00:00"/>
    <s v="Meat &amp; Seafood"/>
    <s v="Carrots"/>
    <n v="4"/>
    <n v="2.4500000000000002"/>
    <n v="9.8000000000000007"/>
    <s v="Low"/>
    <n v="0.98"/>
    <n v="8.82"/>
    <x v="6"/>
    <n v="2025"/>
    <n v="127"/>
    <x v="2"/>
    <s v="Sunday"/>
    <x v="1"/>
    <x v="0"/>
    <s v="Regular"/>
  </r>
  <r>
    <n v="6404"/>
    <s v="FreshMart Downtown"/>
    <d v="2024-02-01T00:00:00"/>
    <s v="Personal Care"/>
    <s v="Salmon"/>
    <n v="4"/>
    <n v="2.6"/>
    <n v="10.4"/>
    <s v="Low"/>
    <n v="1.04"/>
    <n v="9.36"/>
    <x v="4"/>
    <n v="2024"/>
    <n v="62"/>
    <x v="3"/>
    <s v="Thursday"/>
    <x v="1"/>
    <x v="1"/>
    <s v="Regular"/>
  </r>
  <r>
    <n v="9433"/>
    <s v="SuperSave Central"/>
    <d v="2024-08-03T00:00:00"/>
    <s v="Health &amp; Wellness"/>
    <s v="Cereal"/>
    <n v="4"/>
    <n v="2.95"/>
    <n v="11.8"/>
    <s v="Low"/>
    <n v="1.18"/>
    <n v="10.620000000000001"/>
    <x v="5"/>
    <n v="2024"/>
    <n v="9"/>
    <x v="1"/>
    <s v="Saturday"/>
    <x v="1"/>
    <x v="0"/>
    <s v="Regular"/>
  </r>
  <r>
    <n v="4467"/>
    <s v="SuperSave Central"/>
    <d v="2024-07-25T00:00:00"/>
    <s v="Canned Goods"/>
    <s v="Salmon"/>
    <n v="5"/>
    <n v="2.54"/>
    <n v="12.7"/>
    <s v="Low"/>
    <n v="1.27"/>
    <n v="11.43"/>
    <x v="2"/>
    <n v="2024"/>
    <n v="183"/>
    <x v="2"/>
    <s v="Thursday"/>
    <x v="1"/>
    <x v="1"/>
    <s v="Regular"/>
  </r>
  <r>
    <n v="3426"/>
    <s v="MegaMart Westside"/>
    <d v="2024-07-05T00:00:00"/>
    <s v="Produce"/>
    <s v="Cereal"/>
    <n v="3"/>
    <n v="4.5999999999999996"/>
    <n v="13.8"/>
    <s v="Low"/>
    <n v="1.38"/>
    <n v="12.420000000000002"/>
    <x v="2"/>
    <n v="2024"/>
    <n v="188"/>
    <x v="2"/>
    <s v="Friday"/>
    <x v="1"/>
    <x v="1"/>
    <s v="Regular"/>
  </r>
  <r>
    <n v="5741"/>
    <s v="GreenGrocer Plaza"/>
    <d v="2023-10-07T00:00:00"/>
    <s v="Meat &amp; Seafood"/>
    <s v="Bread"/>
    <n v="5"/>
    <n v="2.96"/>
    <n v="14.8"/>
    <s v="Low"/>
    <n v="1.48"/>
    <n v="13.32"/>
    <x v="7"/>
    <n v="2023"/>
    <n v="441"/>
    <x v="0"/>
    <s v="Saturday"/>
    <x v="1"/>
    <x v="0"/>
    <s v="Regular"/>
  </r>
  <r>
    <n v="3497"/>
    <s v="SuperSave Central"/>
    <d v="2024-01-06T00:00:00"/>
    <s v="Household Items"/>
    <s v="Chicken Breast"/>
    <n v="5"/>
    <n v="3.8"/>
    <n v="19"/>
    <s v="Low"/>
    <n v="1.9"/>
    <n v="17.100000000000001"/>
    <x v="8"/>
    <n v="2024"/>
    <n v="104"/>
    <x v="2"/>
    <s v="Saturday"/>
    <x v="1"/>
    <x v="0"/>
    <s v="Regular"/>
  </r>
  <r>
    <n v="1971"/>
    <s v="MegaMart Westside"/>
    <d v="2024-03-09T00:00:00"/>
    <s v="Frozen Foods"/>
    <s v="Cereal"/>
    <n v="1"/>
    <n v="23.7"/>
    <n v="23.7"/>
    <s v="Low"/>
    <n v="2.37"/>
    <n v="21.33"/>
    <x v="6"/>
    <n v="2024"/>
    <n v="169"/>
    <x v="2"/>
    <s v="Saturday"/>
    <x v="0"/>
    <x v="0"/>
    <s v="Regular"/>
  </r>
  <r>
    <n v="2391"/>
    <s v="QuickStop Market"/>
    <d v="2025-06-23T00:00:00"/>
    <s v="Beverages"/>
    <s v="Onions"/>
    <n v="2"/>
    <n v="12"/>
    <n v="24"/>
    <s v="Low"/>
    <n v="2.4"/>
    <n v="21.6"/>
    <x v="10"/>
    <n v="2025"/>
    <n v="361"/>
    <x v="0"/>
    <s v="Monday"/>
    <x v="0"/>
    <x v="1"/>
    <s v="Regular"/>
  </r>
  <r>
    <n v="9199"/>
    <s v="City Fresh Store"/>
    <d v="2023-12-02T00:00:00"/>
    <s v="Produce"/>
    <s v="Pasta"/>
    <n v="4"/>
    <n v="6.2"/>
    <n v="24.8"/>
    <s v="Low"/>
    <n v="2.48"/>
    <n v="22.32"/>
    <x v="11"/>
    <n v="2023"/>
    <n v="203"/>
    <x v="0"/>
    <s v="Saturday"/>
    <x v="1"/>
    <x v="0"/>
    <s v="Regular"/>
  </r>
  <r>
    <n v="8962"/>
    <s v="SuperSave Central"/>
    <d v="2025-05-01T00:00:00"/>
    <s v="Health &amp; Wellness"/>
    <s v="Potatoes"/>
    <n v="1"/>
    <n v="26.3"/>
    <n v="26.3"/>
    <s v="Low"/>
    <n v="2.63"/>
    <n v="23.67"/>
    <x v="3"/>
    <n v="2025"/>
    <n v="293"/>
    <x v="0"/>
    <s v="Thursday"/>
    <x v="0"/>
    <x v="1"/>
    <s v="Regular"/>
  </r>
  <r>
    <n v="3579"/>
    <s v="MegaMart Westside"/>
    <d v="2025-03-14T00:00:00"/>
    <s v="Personal Care"/>
    <s v="Milk"/>
    <n v="1"/>
    <n v="27.6"/>
    <n v="27.6"/>
    <s v="Low"/>
    <n v="2.76"/>
    <n v="24.840000000000003"/>
    <x v="6"/>
    <n v="2025"/>
    <n v="326"/>
    <x v="0"/>
    <s v="Friday"/>
    <x v="0"/>
    <x v="1"/>
    <s v="Regular"/>
  </r>
  <r>
    <n v="1721"/>
    <s v="ValuePlus Market"/>
    <d v="2025-06-03T00:00:00"/>
    <s v="Bakery"/>
    <s v="Ground Beef"/>
    <n v="5"/>
    <n v="5.94"/>
    <n v="29.7"/>
    <s v="Low"/>
    <n v="2.97"/>
    <n v="26.73"/>
    <x v="10"/>
    <n v="2025"/>
    <n v="353"/>
    <x v="0"/>
    <s v="Tuesday"/>
    <x v="1"/>
    <x v="1"/>
    <s v="Regular"/>
  </r>
  <r>
    <n v="4939"/>
    <s v="SuperSave Central"/>
    <d v="2024-10-20T00:00:00"/>
    <s v="Household Items"/>
    <s v="Pasta"/>
    <n v="3"/>
    <n v="10.9"/>
    <n v="32.700000000000003"/>
    <s v="Low"/>
    <n v="3.27"/>
    <n v="29.430000000000003"/>
    <x v="7"/>
    <n v="2024"/>
    <n v="60"/>
    <x v="3"/>
    <s v="Sunday"/>
    <x v="1"/>
    <x v="0"/>
    <s v="Regular"/>
  </r>
  <r>
    <n v="9348"/>
    <s v="Corner Grocery"/>
    <d v="2023-12-31T00:00:00"/>
    <s v="Produce"/>
    <s v="Eggs"/>
    <n v="2"/>
    <n v="18.350000000000001"/>
    <n v="36.700000000000003"/>
    <s v="Low"/>
    <n v="3.67"/>
    <n v="33.03"/>
    <x v="11"/>
    <n v="2023"/>
    <n v="318"/>
    <x v="0"/>
    <s v="Sunday"/>
    <x v="0"/>
    <x v="0"/>
    <s v="Regular"/>
  </r>
  <r>
    <n v="7999"/>
    <s v="QuickStop Market"/>
    <d v="2024-10-11T00:00:00"/>
    <s v="Frozen Foods"/>
    <s v="Cereal"/>
    <n v="3"/>
    <n v="12.6"/>
    <n v="37.799999999999997"/>
    <s v="Low"/>
    <n v="3.78"/>
    <n v="34.019999999999996"/>
    <x v="7"/>
    <n v="2024"/>
    <n v="284"/>
    <x v="0"/>
    <s v="Friday"/>
    <x v="1"/>
    <x v="1"/>
    <s v="Regular"/>
  </r>
  <r>
    <n v="9369"/>
    <s v="MegaMart Westside"/>
    <d v="2023-11-02T00:00:00"/>
    <s v="Frozen Foods"/>
    <s v="Onions"/>
    <n v="3"/>
    <n v="13.7"/>
    <n v="41.1"/>
    <s v="Low"/>
    <n v="4.1100000000000003"/>
    <n v="36.99"/>
    <x v="0"/>
    <n v="2023"/>
    <n v="145"/>
    <x v="2"/>
    <s v="Thursday"/>
    <x v="1"/>
    <x v="1"/>
    <s v="Regular"/>
  </r>
  <r>
    <n v="1282"/>
    <s v="SuperSave Central"/>
    <d v="2023-10-18T00:00:00"/>
    <s v="Snacks &amp; Candy"/>
    <s v="Yogurt"/>
    <n v="5"/>
    <n v="8.2200000000000006"/>
    <n v="41.1"/>
    <s v="Low"/>
    <n v="4.1100000000000003"/>
    <n v="36.99"/>
    <x v="7"/>
    <n v="2023"/>
    <n v="410"/>
    <x v="0"/>
    <s v="Wednesday"/>
    <x v="1"/>
    <x v="1"/>
    <s v="Regular"/>
  </r>
  <r>
    <n v="1652"/>
    <s v="FamilyFood Express"/>
    <d v="2025-07-23T00:00:00"/>
    <s v="Health &amp; Wellness"/>
    <s v="Potatoes"/>
    <n v="5"/>
    <n v="8.24"/>
    <n v="41.2"/>
    <s v="Low"/>
    <n v="4.12"/>
    <n v="37.080000000000005"/>
    <x v="2"/>
    <n v="2025"/>
    <n v="325"/>
    <x v="0"/>
    <s v="Wednesday"/>
    <x v="1"/>
    <x v="1"/>
    <s v="Regular"/>
  </r>
  <r>
    <n v="3434"/>
    <s v="Corner Grocery"/>
    <d v="2024-07-18T00:00:00"/>
    <s v="Frozen Foods"/>
    <s v="Orange Juice"/>
    <n v="2"/>
    <n v="20.7"/>
    <n v="41.4"/>
    <s v="Low"/>
    <n v="4.1399999999999997"/>
    <n v="37.26"/>
    <x v="2"/>
    <n v="2024"/>
    <n v="169"/>
    <x v="2"/>
    <s v="Thursday"/>
    <x v="0"/>
    <x v="1"/>
    <s v="Regular"/>
  </r>
  <r>
    <n v="1841"/>
    <s v="MegaMart Westside"/>
    <d v="2024-11-02T00:00:00"/>
    <s v="Meat &amp; Seafood"/>
    <s v="Yogurt"/>
    <n v="2"/>
    <n v="21.3"/>
    <n v="42.6"/>
    <s v="Low"/>
    <n v="4.26"/>
    <n v="38.340000000000003"/>
    <x v="0"/>
    <n v="2024"/>
    <n v="26"/>
    <x v="1"/>
    <s v="Saturday"/>
    <x v="0"/>
    <x v="0"/>
    <s v="Regular"/>
  </r>
  <r>
    <n v="1185"/>
    <s v="MegaMart Westside"/>
    <d v="2023-12-12T00:00:00"/>
    <s v="Meat &amp; Seafood"/>
    <s v="Milk"/>
    <n v="2"/>
    <n v="21.3"/>
    <n v="42.6"/>
    <s v="Low"/>
    <n v="4.26"/>
    <n v="38.340000000000003"/>
    <x v="11"/>
    <n v="2023"/>
    <n v="134"/>
    <x v="2"/>
    <s v="Tuesday"/>
    <x v="0"/>
    <x v="1"/>
    <s v="Regular"/>
  </r>
  <r>
    <n v="1439"/>
    <s v="GreenGrocer Plaza"/>
    <d v="2025-05-26T00:00:00"/>
    <s v="Beverages"/>
    <s v="Apples"/>
    <n v="2"/>
    <n v="21.65"/>
    <n v="43.3"/>
    <s v="Low"/>
    <n v="4.33"/>
    <n v="38.97"/>
    <x v="3"/>
    <n v="2025"/>
    <n v="37"/>
    <x v="1"/>
    <s v="Monday"/>
    <x v="0"/>
    <x v="1"/>
    <s v="Regular"/>
  </r>
  <r>
    <n v="8840"/>
    <s v="City Fresh Store"/>
    <d v="2024-12-09T00:00:00"/>
    <s v="Personal Care"/>
    <s v="Potatoes"/>
    <n v="2"/>
    <n v="21.7"/>
    <n v="43.4"/>
    <s v="Low"/>
    <n v="4.34"/>
    <n v="39.06"/>
    <x v="11"/>
    <n v="2024"/>
    <n v="270"/>
    <x v="0"/>
    <s v="Monday"/>
    <x v="0"/>
    <x v="1"/>
    <s v="Regular"/>
  </r>
  <r>
    <n v="9199"/>
    <s v="Corner Grocery"/>
    <d v="2024-09-29T00:00:00"/>
    <s v="Health &amp; Wellness"/>
    <s v="Chicken Breast"/>
    <n v="5"/>
    <n v="8.82"/>
    <n v="44.1"/>
    <s v="Low"/>
    <n v="4.41"/>
    <n v="39.69"/>
    <x v="1"/>
    <n v="2024"/>
    <n v="310"/>
    <x v="0"/>
    <s v="Sunday"/>
    <x v="1"/>
    <x v="0"/>
    <s v="Regular"/>
  </r>
  <r>
    <n v="8792"/>
    <s v="City Fresh Store"/>
    <d v="2024-08-30T00:00:00"/>
    <s v="Personal Care"/>
    <s v="Bread"/>
    <n v="2"/>
    <n v="22.1"/>
    <n v="44.2"/>
    <s v="Low"/>
    <n v="4.42"/>
    <n v="39.78"/>
    <x v="5"/>
    <n v="2024"/>
    <n v="227"/>
    <x v="0"/>
    <s v="Friday"/>
    <x v="0"/>
    <x v="1"/>
    <s v="Regular"/>
  </r>
  <r>
    <n v="3248"/>
    <s v="MegaMart Westside"/>
    <d v="2025-02-01T00:00:00"/>
    <s v="Frozen Foods"/>
    <s v="Yogurt"/>
    <n v="5"/>
    <n v="9.1199999999999992"/>
    <n v="45.6"/>
    <s v="Low"/>
    <n v="4.5599999999999996"/>
    <n v="41.04"/>
    <x v="4"/>
    <n v="2025"/>
    <n v="266"/>
    <x v="0"/>
    <s v="Saturday"/>
    <x v="1"/>
    <x v="0"/>
    <s v="Regular"/>
  </r>
  <r>
    <n v="6718"/>
    <s v="QuickStop Market"/>
    <d v="2025-06-21T00:00:00"/>
    <s v="Frozen Foods"/>
    <s v="Milk"/>
    <n v="3"/>
    <n v="15.7"/>
    <n v="47.1"/>
    <s v="Low"/>
    <n v="4.71"/>
    <n v="42.39"/>
    <x v="10"/>
    <n v="2025"/>
    <n v="158"/>
    <x v="2"/>
    <s v="Saturday"/>
    <x v="1"/>
    <x v="0"/>
    <s v="Regular"/>
  </r>
  <r>
    <n v="3955"/>
    <s v="ValuePlus Market"/>
    <d v="2024-03-06T00:00:00"/>
    <s v="Snacks &amp; Candy"/>
    <s v="Onions"/>
    <n v="4"/>
    <n v="12.15"/>
    <n v="48.6"/>
    <s v="Low"/>
    <n v="4.8600000000000003"/>
    <n v="43.74"/>
    <x v="6"/>
    <n v="2024"/>
    <n v="115"/>
    <x v="2"/>
    <s v="Wednesday"/>
    <x v="1"/>
    <x v="1"/>
    <s v="Regular"/>
  </r>
  <r>
    <n v="2228"/>
    <s v="Corner Grocery"/>
    <d v="2023-08-23T00:00:00"/>
    <s v="Health &amp; Wellness"/>
    <s v="Orange Juice"/>
    <n v="2"/>
    <n v="25"/>
    <n v="50"/>
    <s v="Low"/>
    <n v="5"/>
    <n v="45"/>
    <x v="5"/>
    <n v="2023"/>
    <n v="208"/>
    <x v="0"/>
    <s v="Wednesday"/>
    <x v="0"/>
    <x v="1"/>
    <s v="Regular"/>
  </r>
  <r>
    <n v="5415"/>
    <s v="MegaMart Westside"/>
    <d v="2024-10-27T00:00:00"/>
    <s v="Meat &amp; Seafood"/>
    <s v="Chicken Breast"/>
    <n v="4"/>
    <n v="12.6"/>
    <n v="50.4"/>
    <s v="Medium"/>
    <n v="5.04"/>
    <n v="45.36"/>
    <x v="7"/>
    <n v="2024"/>
    <n v="233"/>
    <x v="0"/>
    <s v="Sunday"/>
    <x v="1"/>
    <x v="0"/>
    <s v="Regular"/>
  </r>
  <r>
    <n v="5693"/>
    <s v="ValuePlus Market"/>
    <d v="2024-12-07T00:00:00"/>
    <s v="Bakery"/>
    <s v="Tomatoes"/>
    <n v="2"/>
    <n v="25.35"/>
    <n v="50.7"/>
    <s v="Medium"/>
    <n v="5.07"/>
    <n v="45.63"/>
    <x v="11"/>
    <n v="2024"/>
    <n v="180"/>
    <x v="2"/>
    <s v="Saturday"/>
    <x v="0"/>
    <x v="0"/>
    <s v="Regular"/>
  </r>
  <r>
    <n v="5653"/>
    <s v="FreshMart Downtown"/>
    <d v="2025-05-25T00:00:00"/>
    <s v="Beverages"/>
    <s v="Carrots"/>
    <n v="5"/>
    <n v="10.74"/>
    <n v="53.7"/>
    <s v="Medium"/>
    <n v="5.37"/>
    <n v="48.330000000000005"/>
    <x v="3"/>
    <n v="2025"/>
    <n v="230"/>
    <x v="0"/>
    <s v="Sunday"/>
    <x v="1"/>
    <x v="0"/>
    <s v="Regular"/>
  </r>
  <r>
    <n v="2192"/>
    <s v="GreenGrocer Plaza"/>
    <d v="2023-12-31T00:00:00"/>
    <s v="Meat &amp; Seafood"/>
    <s v="Bananas"/>
    <n v="5"/>
    <n v="11.2"/>
    <n v="56"/>
    <s v="Medium"/>
    <n v="5.6"/>
    <n v="50.4"/>
    <x v="11"/>
    <n v="2023"/>
    <n v="242"/>
    <x v="0"/>
    <s v="Sunday"/>
    <x v="1"/>
    <x v="0"/>
    <s v="Regular"/>
  </r>
  <r>
    <n v="4310"/>
    <s v="GreenGrocer Plaza"/>
    <d v="2025-05-11T00:00:00"/>
    <s v="Canned Goods"/>
    <s v="Eggs"/>
    <n v="5"/>
    <n v="11.24"/>
    <n v="56.2"/>
    <s v="Medium"/>
    <n v="5.62"/>
    <n v="50.580000000000005"/>
    <x v="3"/>
    <n v="2025"/>
    <n v="26"/>
    <x v="1"/>
    <s v="Sunday"/>
    <x v="1"/>
    <x v="0"/>
    <s v="Regular"/>
  </r>
  <r>
    <n v="4878"/>
    <s v="MegaMart Westside"/>
    <d v="2025-06-08T00:00:00"/>
    <s v="Health &amp; Wellness"/>
    <s v="Pasta"/>
    <n v="2"/>
    <n v="28.85"/>
    <n v="57.7"/>
    <s v="Medium"/>
    <n v="5.77"/>
    <n v="51.930000000000007"/>
    <x v="10"/>
    <n v="2025"/>
    <n v="13"/>
    <x v="1"/>
    <s v="Sunday"/>
    <x v="0"/>
    <x v="0"/>
    <s v="Regular"/>
  </r>
  <r>
    <n v="5564"/>
    <s v="FreshMart Downtown"/>
    <d v="2024-10-25T00:00:00"/>
    <s v="Bakery"/>
    <s v="Cheese"/>
    <n v="5"/>
    <n v="12.42"/>
    <n v="62.1"/>
    <s v="Medium"/>
    <n v="6.21"/>
    <n v="55.89"/>
    <x v="7"/>
    <n v="2024"/>
    <n v="162"/>
    <x v="2"/>
    <s v="Friday"/>
    <x v="1"/>
    <x v="1"/>
    <s v="Regular"/>
  </r>
  <r>
    <n v="9938"/>
    <s v="SuperSave Central"/>
    <d v="2024-03-18T00:00:00"/>
    <s v="Dairy"/>
    <s v="Eggs"/>
    <n v="5"/>
    <n v="13.12"/>
    <n v="65.599999999999994"/>
    <s v="Medium"/>
    <n v="6.56"/>
    <n v="59.039999999999992"/>
    <x v="6"/>
    <n v="2024"/>
    <n v="380"/>
    <x v="0"/>
    <s v="Monday"/>
    <x v="1"/>
    <x v="1"/>
    <s v="Regular"/>
  </r>
  <r>
    <n v="2886"/>
    <s v="FamilyFood Express"/>
    <d v="2024-08-04T00:00:00"/>
    <s v="Produce"/>
    <s v="Tomatoes"/>
    <n v="3"/>
    <n v="22"/>
    <n v="66"/>
    <s v="Medium"/>
    <n v="6.6"/>
    <n v="59.4"/>
    <x v="5"/>
    <n v="2024"/>
    <n v="128"/>
    <x v="2"/>
    <s v="Sunday"/>
    <x v="1"/>
    <x v="0"/>
    <s v="Regular"/>
  </r>
  <r>
    <n v="4612"/>
    <s v="QuickStop Market"/>
    <d v="2024-06-09T00:00:00"/>
    <s v="Meat &amp; Seafood"/>
    <s v="Cereal"/>
    <n v="4"/>
    <n v="17.649999999999999"/>
    <n v="70.599999999999994"/>
    <s v="Medium"/>
    <n v="7.06"/>
    <n v="63.539999999999992"/>
    <x v="10"/>
    <n v="2024"/>
    <n v="263"/>
    <x v="0"/>
    <s v="Sunday"/>
    <x v="1"/>
    <x v="0"/>
    <s v="Regular"/>
  </r>
  <r>
    <n v="9041"/>
    <s v="QuickStop Market"/>
    <d v="2024-07-20T00:00:00"/>
    <s v="Beverages"/>
    <s v="Cheese"/>
    <n v="5"/>
    <n v="14.88"/>
    <n v="74.400000000000006"/>
    <s v="Medium"/>
    <n v="7.44"/>
    <n v="66.960000000000008"/>
    <x v="2"/>
    <n v="2024"/>
    <n v="44"/>
    <x v="1"/>
    <s v="Saturday"/>
    <x v="1"/>
    <x v="0"/>
    <s v="Regular"/>
  </r>
  <r>
    <n v="3621"/>
    <s v="QuickStop Market"/>
    <d v="2025-04-13T00:00:00"/>
    <s v="Bakery"/>
    <s v="Pasta"/>
    <n v="5"/>
    <n v="15.04"/>
    <n v="75.2"/>
    <s v="Medium"/>
    <n v="7.52"/>
    <n v="67.680000000000007"/>
    <x v="9"/>
    <n v="2025"/>
    <n v="122"/>
    <x v="2"/>
    <s v="Sunday"/>
    <x v="1"/>
    <x v="0"/>
    <s v="Regular"/>
  </r>
  <r>
    <n v="6083"/>
    <s v="FamilyFood Express"/>
    <d v="2025-03-08T00:00:00"/>
    <s v="Dairy"/>
    <s v="Cheese"/>
    <n v="5"/>
    <n v="15.18"/>
    <n v="75.900000000000006"/>
    <s v="Medium"/>
    <n v="7.59"/>
    <n v="68.31"/>
    <x v="6"/>
    <n v="2025"/>
    <n v="110"/>
    <x v="2"/>
    <s v="Saturday"/>
    <x v="1"/>
    <x v="0"/>
    <s v="Regular"/>
  </r>
  <r>
    <n v="4268"/>
    <s v="SuperSave Central"/>
    <d v="2025-06-25T00:00:00"/>
    <s v="Bakery"/>
    <s v="Apples"/>
    <n v="5"/>
    <n v="15.26"/>
    <n v="76.3"/>
    <s v="Medium"/>
    <n v="7.63"/>
    <n v="68.67"/>
    <x v="10"/>
    <n v="2025"/>
    <n v="406"/>
    <x v="0"/>
    <s v="Wednesday"/>
    <x v="1"/>
    <x v="1"/>
    <s v="Regular"/>
  </r>
  <r>
    <n v="8714"/>
    <s v="City Fresh Store"/>
    <d v="2025-03-17T00:00:00"/>
    <s v="Personal Care"/>
    <s v="Pasta"/>
    <n v="5"/>
    <n v="15.54"/>
    <n v="77.7"/>
    <s v="Medium"/>
    <n v="7.77"/>
    <n v="69.930000000000007"/>
    <x v="6"/>
    <n v="2025"/>
    <n v="363"/>
    <x v="0"/>
    <s v="Monday"/>
    <x v="1"/>
    <x v="1"/>
    <s v="Regular"/>
  </r>
  <r>
    <n v="7437"/>
    <s v="MegaMart Westside"/>
    <d v="2024-05-16T00:00:00"/>
    <s v="Snacks &amp; Candy"/>
    <s v="Yogurt"/>
    <n v="5"/>
    <n v="17.22"/>
    <n v="86.1"/>
    <s v="Medium"/>
    <n v="8.61"/>
    <n v="77.489999999999995"/>
    <x v="3"/>
    <n v="2024"/>
    <n v="471"/>
    <x v="0"/>
    <s v="Thursday"/>
    <x v="1"/>
    <x v="1"/>
    <s v="Regular"/>
  </r>
  <r>
    <n v="3509"/>
    <s v="Corner Grocery"/>
    <d v="2024-07-25T00:00:00"/>
    <s v="Meat &amp; Seafood"/>
    <s v="Apples"/>
    <n v="4"/>
    <n v="22.55"/>
    <n v="90.2"/>
    <s v="Medium"/>
    <n v="9.02"/>
    <n v="81.180000000000007"/>
    <x v="2"/>
    <n v="2024"/>
    <n v="383"/>
    <x v="0"/>
    <s v="Thursday"/>
    <x v="1"/>
    <x v="1"/>
    <s v="Regular"/>
  </r>
  <r>
    <n v="1783"/>
    <s v="GreenGrocer Plaza"/>
    <d v="2025-06-09T00:00:00"/>
    <s v="Bakery"/>
    <s v="Salmon"/>
    <n v="4"/>
    <n v="23.3"/>
    <n v="93.2"/>
    <s v="Medium"/>
    <n v="9.32"/>
    <n v="83.88"/>
    <x v="10"/>
    <n v="2025"/>
    <n v="3"/>
    <x v="1"/>
    <s v="Monday"/>
    <x v="1"/>
    <x v="1"/>
    <s v="Regular"/>
  </r>
  <r>
    <n v="1862"/>
    <s v="MegaMart Westside"/>
    <d v="2023-12-24T00:00:00"/>
    <s v="Health &amp; Wellness"/>
    <s v="Ground Beef"/>
    <n v="5"/>
    <n v="18.66"/>
    <n v="93.3"/>
    <s v="Medium"/>
    <n v="9.33"/>
    <n v="83.97"/>
    <x v="11"/>
    <n v="2023"/>
    <n v="416"/>
    <x v="0"/>
    <s v="Sunday"/>
    <x v="1"/>
    <x v="0"/>
    <s v="Regular"/>
  </r>
  <r>
    <n v="6482"/>
    <s v="ValuePlus Market"/>
    <d v="2023-09-27T00:00:00"/>
    <s v="Bakery"/>
    <s v="Yogurt"/>
    <n v="5"/>
    <n v="18.78"/>
    <n v="93.9"/>
    <s v="Medium"/>
    <n v="9.39"/>
    <n v="84.51"/>
    <x v="1"/>
    <n v="2023"/>
    <n v="425"/>
    <x v="0"/>
    <s v="Wednesday"/>
    <x v="1"/>
    <x v="1"/>
    <s v="Regular"/>
  </r>
  <r>
    <n v="7431"/>
    <s v="QuickStop Market"/>
    <d v="2024-11-04T00:00:00"/>
    <s v="Personal Care"/>
    <s v="Chicken Breast"/>
    <n v="5"/>
    <n v="19.760000000000002"/>
    <n v="98.8"/>
    <s v="Medium"/>
    <n v="9.8800000000000008"/>
    <n v="88.92"/>
    <x v="0"/>
    <n v="2024"/>
    <n v="273"/>
    <x v="0"/>
    <s v="Monday"/>
    <x v="1"/>
    <x v="1"/>
    <s v="Regular"/>
  </r>
  <r>
    <n v="5272"/>
    <s v="GreenGrocer Plaza"/>
    <d v="2024-01-12T00:00:00"/>
    <s v="Frozen Foods"/>
    <s v="Potatoes"/>
    <n v="5"/>
    <n v="20.34"/>
    <n v="101.7"/>
    <s v="High"/>
    <n v="10.17"/>
    <n v="91.53"/>
    <x v="8"/>
    <n v="2024"/>
    <n v="23"/>
    <x v="1"/>
    <s v="Friday"/>
    <x v="1"/>
    <x v="1"/>
    <s v="Regular"/>
  </r>
  <r>
    <n v="7708"/>
    <s v="MegaMart Westside"/>
    <d v="2025-05-07T00:00:00"/>
    <s v="Meat &amp; Seafood"/>
    <s v="Chicken Breast"/>
    <n v="4"/>
    <n v="26.4"/>
    <n v="105.6"/>
    <s v="High"/>
    <n v="10.56"/>
    <n v="95.039999999999992"/>
    <x v="3"/>
    <n v="2025"/>
    <n v="466"/>
    <x v="0"/>
    <s v="Wednesday"/>
    <x v="1"/>
    <x v="1"/>
    <s v="Regular"/>
  </r>
  <r>
    <n v="2868"/>
    <s v="QuickStop Market"/>
    <d v="2024-09-22T00:00:00"/>
    <s v="Meat &amp; Seafood"/>
    <s v="Salmon"/>
    <n v="5"/>
    <n v="22.66"/>
    <n v="113.3"/>
    <s v="High"/>
    <n v="11.33"/>
    <n v="101.97"/>
    <x v="1"/>
    <n v="2024"/>
    <n v="12"/>
    <x v="1"/>
    <s v="Sunday"/>
    <x v="1"/>
    <x v="0"/>
    <s v="High Value"/>
  </r>
  <r>
    <n v="2697"/>
    <s v="GreenGrocer Plaza"/>
    <d v="2024-10-28T00:00:00"/>
    <s v="Household Items"/>
    <s v="Chicken Breast"/>
    <n v="5"/>
    <n v="23.36"/>
    <n v="116.8"/>
    <s v="High"/>
    <n v="11.68"/>
    <n v="105.12"/>
    <x v="7"/>
    <n v="2024"/>
    <n v="194"/>
    <x v="2"/>
    <s v="Monday"/>
    <x v="1"/>
    <x v="1"/>
    <s v="High Value"/>
  </r>
  <r>
    <n v="7512"/>
    <s v="City Fresh Store"/>
    <d v="2024-12-23T00:00:00"/>
    <s v="Snacks &amp; Candy"/>
    <s v="Orange Juice"/>
    <n v="5"/>
    <n v="24.32"/>
    <n v="121.6"/>
    <s v="High"/>
    <n v="12.16"/>
    <n v="109.44"/>
    <x v="11"/>
    <n v="2024"/>
    <n v="464"/>
    <x v="0"/>
    <s v="Monday"/>
    <x v="1"/>
    <x v="1"/>
    <s v="High Value"/>
  </r>
  <r>
    <n v="3316"/>
    <s v="SuperSave Central"/>
    <d v="2024-09-06T00:00:00"/>
    <s v="Canned Goods"/>
    <s v="Eggs"/>
    <n v="5"/>
    <n v="25.72"/>
    <n v="128.6"/>
    <s v="High"/>
    <n v="12.86"/>
    <n v="115.74"/>
    <x v="1"/>
    <n v="2024"/>
    <n v="160"/>
    <x v="2"/>
    <s v="Friday"/>
    <x v="1"/>
    <x v="1"/>
    <s v="High Value"/>
  </r>
  <r>
    <n v="3091"/>
    <s v="Corner Grocery"/>
    <d v="2024-12-02T00:00:00"/>
    <s v="Snacks &amp; Candy"/>
    <s v="Bananas"/>
    <n v="5"/>
    <n v="26.6"/>
    <n v="133"/>
    <s v="High"/>
    <n v="13.3"/>
    <n v="119.7"/>
    <x v="11"/>
    <n v="2024"/>
    <n v="230"/>
    <x v="0"/>
    <s v="Monday"/>
    <x v="1"/>
    <x v="1"/>
    <s v="High Value"/>
  </r>
  <r>
    <n v="9445"/>
    <s v="Unknown Store"/>
    <d v="2025-01-03T00:00:00"/>
    <s v="Canned Goods"/>
    <s v="Bread"/>
    <n v="5"/>
    <n v="29.82"/>
    <n v="149.1"/>
    <s v="High"/>
    <n v="14.91"/>
    <n v="134.19"/>
    <x v="8"/>
    <n v="2025"/>
    <n v="478"/>
    <x v="0"/>
    <s v="Friday"/>
    <x v="1"/>
    <x v="1"/>
    <s v="High Value"/>
  </r>
  <r>
    <n v="6260"/>
    <s v="City Fresh Store"/>
    <d v="2025-01-08T00:00:00"/>
    <s v="Canned Goods"/>
    <s v="Chicken Breast"/>
    <n v="4"/>
    <n v="22.6"/>
    <n v="90.4"/>
    <s v="Medium"/>
    <n v="9.0399999999999991"/>
    <n v="81.360000000000014"/>
    <x v="8"/>
    <n v="2025"/>
    <n v="9"/>
    <x v="1"/>
    <s v="Wednesday"/>
    <x v="1"/>
    <x v="1"/>
    <s v="Regular"/>
  </r>
  <r>
    <n v="2218"/>
    <s v="FreshMart Downtown"/>
    <d v="2025-01-19T00:00:00"/>
    <s v="Canned Goods"/>
    <s v="Orange Juice"/>
    <n v="3"/>
    <n v="29.27"/>
    <n v="87.81"/>
    <s v="Medium"/>
    <n v="8.7799999999999994"/>
    <n v="79.03"/>
    <x v="8"/>
    <n v="2025"/>
    <n v="459"/>
    <x v="0"/>
    <s v="Sunday"/>
    <x v="1"/>
    <x v="0"/>
    <s v="Regular"/>
  </r>
  <r>
    <n v="1387"/>
    <s v="MegaMart Westside"/>
    <d v="2024-12-31T00:00:00"/>
    <s v="Household Items"/>
    <s v="Eggs"/>
    <n v="3"/>
    <n v="25.97"/>
    <n v="77.91"/>
    <s v="Medium"/>
    <n v="7.79"/>
    <n v="70.11999999999999"/>
    <x v="11"/>
    <n v="2024"/>
    <n v="163"/>
    <x v="2"/>
    <s v="Tuesday"/>
    <x v="1"/>
    <x v="1"/>
    <s v="Regular"/>
  </r>
  <r>
    <n v="5584"/>
    <s v="City Fresh Store"/>
    <d v="2023-10-18T00:00:00"/>
    <s v="Snacks &amp; Candy"/>
    <s v="Cereal"/>
    <n v="4"/>
    <n v="29.53"/>
    <n v="118.12"/>
    <s v="High"/>
    <n v="11.81"/>
    <n v="106.31"/>
    <x v="7"/>
    <n v="2023"/>
    <n v="308"/>
    <x v="0"/>
    <s v="Wednesday"/>
    <x v="1"/>
    <x v="1"/>
    <s v="High Value"/>
  </r>
  <r>
    <n v="9502"/>
    <s v="FreshMart Downtown"/>
    <d v="2024-12-25T00:00:00"/>
    <s v="Health &amp; Wellness"/>
    <s v="Eggs"/>
    <n v="4"/>
    <n v="27.68"/>
    <n v="110.72"/>
    <s v="High"/>
    <n v="11.07"/>
    <n v="99.65"/>
    <x v="11"/>
    <n v="2024"/>
    <n v="57"/>
    <x v="3"/>
    <s v="Wednesday"/>
    <x v="1"/>
    <x v="1"/>
    <s v="Regular"/>
  </r>
  <r>
    <n v="4088"/>
    <s v="SuperSave Central"/>
    <d v="2025-08-04T00:00:00"/>
    <s v="Dairy"/>
    <s v="Bread"/>
    <n v="4"/>
    <n v="25.48"/>
    <n v="101.92"/>
    <s v="High"/>
    <n v="10.19"/>
    <n v="91.73"/>
    <x v="5"/>
    <n v="2025"/>
    <n v="467"/>
    <x v="0"/>
    <s v="Monday"/>
    <x v="1"/>
    <x v="1"/>
    <s v="Regular"/>
  </r>
  <r>
    <n v="7563"/>
    <s v="SuperSave Central"/>
    <d v="2024-05-22T00:00:00"/>
    <s v="Canned Goods"/>
    <s v="Ground Beef"/>
    <n v="4"/>
    <n v="24.23"/>
    <n v="96.92"/>
    <s v="Medium"/>
    <n v="9.69"/>
    <n v="87.23"/>
    <x v="3"/>
    <n v="2024"/>
    <n v="96"/>
    <x v="3"/>
    <s v="Wednesday"/>
    <x v="1"/>
    <x v="1"/>
    <s v="Regular"/>
  </r>
  <r>
    <n v="7690"/>
    <s v="FamilyFood Express"/>
    <d v="2024-04-21T00:00:00"/>
    <s v="Dairy"/>
    <s v="Salmon"/>
    <n v="4"/>
    <n v="24.23"/>
    <n v="96.92"/>
    <s v="Medium"/>
    <n v="9.69"/>
    <n v="87.23"/>
    <x v="9"/>
    <n v="2024"/>
    <n v="229"/>
    <x v="0"/>
    <s v="Sunday"/>
    <x v="1"/>
    <x v="0"/>
    <s v="Regular"/>
  </r>
  <r>
    <n v="5040"/>
    <s v="QuickStop Market"/>
    <d v="2025-03-07T00:00:00"/>
    <s v="Frozen Foods"/>
    <s v="Yogurt"/>
    <n v="4"/>
    <n v="23.78"/>
    <n v="95.12"/>
    <s v="Medium"/>
    <n v="9.51"/>
    <n v="85.61"/>
    <x v="6"/>
    <n v="2025"/>
    <n v="310"/>
    <x v="0"/>
    <s v="Friday"/>
    <x v="1"/>
    <x v="1"/>
    <s v="Regular"/>
  </r>
  <r>
    <n v="6246"/>
    <s v="City Fresh Store"/>
    <d v="2025-07-17T00:00:00"/>
    <s v="Canned Goods"/>
    <s v="Carrots"/>
    <n v="3"/>
    <n v="14.57"/>
    <n v="43.71"/>
    <s v="Low"/>
    <n v="4.37"/>
    <n v="39.340000000000003"/>
    <x v="2"/>
    <n v="2025"/>
    <n v="218"/>
    <x v="0"/>
    <s v="Thursday"/>
    <x v="1"/>
    <x v="1"/>
    <s v="Regular"/>
  </r>
  <r>
    <n v="8501"/>
    <s v="GreenGrocer Plaza"/>
    <d v="2024-11-28T00:00:00"/>
    <s v="Meat &amp; Seafood"/>
    <s v="Orange Juice"/>
    <n v="4"/>
    <n v="20.03"/>
    <n v="80.12"/>
    <s v="Medium"/>
    <n v="8.01"/>
    <n v="72.11"/>
    <x v="0"/>
    <n v="2024"/>
    <n v="72"/>
    <x v="3"/>
    <s v="Thursday"/>
    <x v="1"/>
    <x v="1"/>
    <s v="Regular"/>
  </r>
  <r>
    <n v="6185"/>
    <s v="GreenGrocer Plaza"/>
    <d v="2023-11-17T00:00:00"/>
    <s v="Dairy"/>
    <s v="Ground Beef"/>
    <n v="4"/>
    <n v="18.829999999999998"/>
    <n v="75.319999999999993"/>
    <s v="Medium"/>
    <n v="7.53"/>
    <n v="67.789999999999992"/>
    <x v="0"/>
    <n v="2023"/>
    <n v="224"/>
    <x v="0"/>
    <s v="Friday"/>
    <x v="1"/>
    <x v="1"/>
    <s v="Regular"/>
  </r>
  <r>
    <n v="8894"/>
    <s v="City Fresh Store"/>
    <d v="2025-04-24T00:00:00"/>
    <s v="Household Items"/>
    <s v="Eggs"/>
    <n v="3"/>
    <n v="23.34"/>
    <n v="70.02"/>
    <s v="Medium"/>
    <n v="7"/>
    <n v="63.019999999999996"/>
    <x v="9"/>
    <n v="2025"/>
    <n v="127"/>
    <x v="2"/>
    <s v="Thursday"/>
    <x v="1"/>
    <x v="1"/>
    <s v="Regular"/>
  </r>
  <r>
    <n v="8247"/>
    <s v="ValuePlus Market"/>
    <d v="2024-12-28T00:00:00"/>
    <s v="Meat &amp; Seafood"/>
    <s v="Potatoes"/>
    <n v="4"/>
    <n v="15.93"/>
    <n v="63.72"/>
    <s v="Medium"/>
    <n v="6.37"/>
    <n v="57.35"/>
    <x v="11"/>
    <n v="2024"/>
    <n v="346"/>
    <x v="0"/>
    <s v="Saturday"/>
    <x v="1"/>
    <x v="0"/>
    <s v="Regular"/>
  </r>
  <r>
    <n v="9317"/>
    <s v="SuperSave Central"/>
    <d v="2024-11-22T00:00:00"/>
    <s v="Snacks &amp; Candy"/>
    <s v="Apples"/>
    <n v="5"/>
    <n v="28.99"/>
    <n v="144.94999999999999"/>
    <s v="High"/>
    <n v="14.49"/>
    <n v="130.45999999999998"/>
    <x v="0"/>
    <n v="2024"/>
    <n v="138"/>
    <x v="2"/>
    <s v="Friday"/>
    <x v="1"/>
    <x v="1"/>
    <s v="High Value"/>
  </r>
  <r>
    <n v="5984"/>
    <s v="City Fresh Store"/>
    <d v="2025-05-09T00:00:00"/>
    <s v="Produce"/>
    <s v="Tomatoes"/>
    <n v="1"/>
    <n v="28.91"/>
    <n v="28.91"/>
    <s v="Low"/>
    <n v="2.89"/>
    <n v="26.02"/>
    <x v="3"/>
    <n v="2025"/>
    <n v="388"/>
    <x v="0"/>
    <s v="Friday"/>
    <x v="0"/>
    <x v="1"/>
    <s v="Regular"/>
  </r>
  <r>
    <n v="5295"/>
    <s v="GreenGrocer Plaza"/>
    <d v="2024-11-03T00:00:00"/>
    <s v="Produce"/>
    <s v="Yogurt"/>
    <n v="4"/>
    <n v="27.91"/>
    <n v="111.64"/>
    <s v="High"/>
    <n v="11.16"/>
    <n v="100.48"/>
    <x v="0"/>
    <n v="2024"/>
    <n v="426"/>
    <x v="0"/>
    <s v="Sunday"/>
    <x v="1"/>
    <x v="0"/>
    <s v="High Value"/>
  </r>
  <r>
    <n v="8204"/>
    <s v="FreshMart Downtown"/>
    <d v="2025-07-01T00:00:00"/>
    <s v="Snacks &amp; Candy"/>
    <s v="Milk"/>
    <n v="2"/>
    <n v="27.16"/>
    <n v="54.32"/>
    <s v="Medium"/>
    <n v="5.43"/>
    <n v="48.89"/>
    <x v="2"/>
    <n v="2025"/>
    <n v="29"/>
    <x v="1"/>
    <s v="Tuesday"/>
    <x v="0"/>
    <x v="1"/>
    <s v="Regular"/>
  </r>
  <r>
    <n v="2796"/>
    <s v="ValuePlus Market"/>
    <d v="2023-12-03T00:00:00"/>
    <s v="Snacks &amp; Candy"/>
    <s v="Onions"/>
    <n v="4"/>
    <n v="27.01"/>
    <n v="108.04"/>
    <s v="High"/>
    <n v="10.8"/>
    <n v="97.240000000000009"/>
    <x v="11"/>
    <n v="2023"/>
    <n v="380"/>
    <x v="0"/>
    <s v="Sunday"/>
    <x v="1"/>
    <x v="0"/>
    <s v="Regular"/>
  </r>
  <r>
    <n v="4457"/>
    <s v="QuickStop Market"/>
    <d v="2024-02-28T00:00:00"/>
    <s v="Health &amp; Wellness"/>
    <s v="Pasta"/>
    <n v="4"/>
    <n v="26.96"/>
    <n v="107.84"/>
    <s v="High"/>
    <n v="10.78"/>
    <n v="97.06"/>
    <x v="4"/>
    <n v="2024"/>
    <n v="436"/>
    <x v="0"/>
    <s v="Wednesday"/>
    <x v="1"/>
    <x v="1"/>
    <s v="Regular"/>
  </r>
  <r>
    <n v="3275"/>
    <s v="GreenGrocer Plaza"/>
    <d v="2024-02-06T00:00:00"/>
    <s v="Household Items"/>
    <s v="Cheese"/>
    <n v="2"/>
    <n v="26.06"/>
    <n v="52.12"/>
    <s v="Medium"/>
    <n v="5.21"/>
    <n v="46.91"/>
    <x v="4"/>
    <n v="2024"/>
    <n v="403"/>
    <x v="0"/>
    <s v="Tuesday"/>
    <x v="0"/>
    <x v="1"/>
    <s v="Regular"/>
  </r>
  <r>
    <n v="6780"/>
    <s v="FamilyFood Express"/>
    <d v="2024-02-09T00:00:00"/>
    <s v="Snacks &amp; Candy"/>
    <s v="Bread"/>
    <n v="1"/>
    <n v="25.71"/>
    <n v="25.71"/>
    <s v="Low"/>
    <n v="2.57"/>
    <n v="23.14"/>
    <x v="4"/>
    <n v="2024"/>
    <n v="83"/>
    <x v="3"/>
    <s v="Friday"/>
    <x v="0"/>
    <x v="1"/>
    <s v="Regular"/>
  </r>
  <r>
    <n v="7079"/>
    <s v="FamilyFood Express"/>
    <d v="2023-10-17T00:00:00"/>
    <s v="Household Items"/>
    <s v="Tomatoes"/>
    <n v="4"/>
    <n v="12.38"/>
    <n v="49.52"/>
    <s v="Low"/>
    <n v="4.95"/>
    <n v="44.57"/>
    <x v="7"/>
    <n v="2023"/>
    <n v="112"/>
    <x v="2"/>
    <s v="Tuesday"/>
    <x v="1"/>
    <x v="1"/>
    <s v="Regular"/>
  </r>
  <r>
    <n v="8433"/>
    <s v="MegaMart Westside"/>
    <d v="2024-09-02T00:00:00"/>
    <s v="Canned Goods"/>
    <s v="Potatoes"/>
    <n v="4"/>
    <n v="24.11"/>
    <n v="96.44"/>
    <s v="Medium"/>
    <n v="9.64"/>
    <n v="86.8"/>
    <x v="1"/>
    <n v="2024"/>
    <n v="330"/>
    <x v="0"/>
    <s v="Monday"/>
    <x v="1"/>
    <x v="1"/>
    <s v="Regular"/>
  </r>
  <r>
    <n v="4365"/>
    <s v="City Fresh Store"/>
    <d v="2025-02-13T00:00:00"/>
    <s v="Dairy"/>
    <s v="Bananas"/>
    <n v="2"/>
    <n v="23.21"/>
    <n v="46.42"/>
    <s v="Low"/>
    <n v="4.6399999999999997"/>
    <n v="41.78"/>
    <x v="4"/>
    <n v="2025"/>
    <n v="158"/>
    <x v="2"/>
    <s v="Thursday"/>
    <x v="0"/>
    <x v="1"/>
    <s v="Regular"/>
  </r>
  <r>
    <n v="4568"/>
    <s v="SuperSave Central"/>
    <d v="2024-07-05T00:00:00"/>
    <s v="Meat &amp; Seafood"/>
    <s v="Potatoes"/>
    <n v="2"/>
    <n v="23.16"/>
    <n v="46.32"/>
    <s v="Low"/>
    <n v="4.63"/>
    <n v="41.69"/>
    <x v="2"/>
    <n v="2024"/>
    <n v="413"/>
    <x v="0"/>
    <s v="Friday"/>
    <x v="0"/>
    <x v="1"/>
    <s v="Regular"/>
  </r>
  <r>
    <n v="1829"/>
    <s v="City Fresh Store"/>
    <d v="2023-12-15T00:00:00"/>
    <s v="Personal Care"/>
    <s v="Potatoes"/>
    <n v="4"/>
    <n v="22.96"/>
    <n v="91.84"/>
    <s v="Medium"/>
    <n v="9.18"/>
    <n v="82.66"/>
    <x v="11"/>
    <n v="2023"/>
    <n v="429"/>
    <x v="0"/>
    <s v="Friday"/>
    <x v="1"/>
    <x v="1"/>
    <s v="Regular"/>
  </r>
  <r>
    <n v="7878"/>
    <s v="GreenGrocer Plaza"/>
    <d v="2024-12-15T00:00:00"/>
    <s v="Beverages"/>
    <s v="Milk"/>
    <n v="4"/>
    <n v="11.33"/>
    <n v="45.32"/>
    <s v="Low"/>
    <n v="4.53"/>
    <n v="40.79"/>
    <x v="11"/>
    <n v="2024"/>
    <n v="363"/>
    <x v="0"/>
    <s v="Sunday"/>
    <x v="1"/>
    <x v="0"/>
    <s v="Regular"/>
  </r>
  <r>
    <n v="3999"/>
    <s v="FreshMart Downtown"/>
    <d v="2024-05-22T00:00:00"/>
    <s v="Frozen Foods"/>
    <s v="Orange Juice"/>
    <n v="5"/>
    <n v="22.61"/>
    <n v="113.05"/>
    <s v="High"/>
    <n v="11.3"/>
    <n v="101.75"/>
    <x v="3"/>
    <n v="2024"/>
    <n v="264"/>
    <x v="0"/>
    <s v="Wednesday"/>
    <x v="1"/>
    <x v="1"/>
    <s v="High Value"/>
  </r>
  <r>
    <n v="1982"/>
    <s v="Corner Grocery"/>
    <d v="2024-11-04T00:00:00"/>
    <s v="Meat &amp; Seafood"/>
    <s v="Cereal"/>
    <n v="3"/>
    <n v="14.14"/>
    <n v="42.42"/>
    <s v="Low"/>
    <n v="4.24"/>
    <n v="38.18"/>
    <x v="0"/>
    <n v="2024"/>
    <n v="15"/>
    <x v="1"/>
    <s v="Monday"/>
    <x v="1"/>
    <x v="1"/>
    <s v="Regular"/>
  </r>
  <r>
    <n v="9486"/>
    <s v="FamilyFood Express"/>
    <d v="2024-08-01T00:00:00"/>
    <s v="Dairy"/>
    <s v="Potatoes"/>
    <n v="2"/>
    <n v="21.16"/>
    <n v="42.32"/>
    <s v="Low"/>
    <n v="4.2300000000000004"/>
    <n v="38.090000000000003"/>
    <x v="5"/>
    <n v="2024"/>
    <n v="360"/>
    <x v="0"/>
    <s v="Thursday"/>
    <x v="0"/>
    <x v="1"/>
    <s v="Regular"/>
  </r>
  <r>
    <n v="7418"/>
    <s v="QuickStop Market"/>
    <d v="2024-03-23T00:00:00"/>
    <s v="Bakery"/>
    <s v="Pasta"/>
    <n v="4"/>
    <n v="21.01"/>
    <n v="84.04"/>
    <s v="Medium"/>
    <n v="8.4"/>
    <n v="75.64"/>
    <x v="6"/>
    <n v="2024"/>
    <n v="212"/>
    <x v="0"/>
    <s v="Saturday"/>
    <x v="1"/>
    <x v="0"/>
    <s v="Regular"/>
  </r>
  <r>
    <n v="1724"/>
    <s v="FamilyFood Express"/>
    <d v="2024-06-14T00:00:00"/>
    <s v="Frozen Foods"/>
    <s v="Apples"/>
    <n v="2"/>
    <n v="20.91"/>
    <n v="41.82"/>
    <s v="Low"/>
    <n v="4.18"/>
    <n v="37.64"/>
    <x v="10"/>
    <n v="2024"/>
    <n v="454"/>
    <x v="0"/>
    <s v="Friday"/>
    <x v="0"/>
    <x v="1"/>
    <s v="Regular"/>
  </r>
  <r>
    <n v="2887"/>
    <s v="FreshMart Downtown"/>
    <d v="2024-06-16T00:00:00"/>
    <s v="Bakery"/>
    <s v="Chicken Breast"/>
    <n v="2"/>
    <n v="20.86"/>
    <n v="41.72"/>
    <s v="Low"/>
    <n v="4.17"/>
    <n v="37.549999999999997"/>
    <x v="10"/>
    <n v="2024"/>
    <n v="495"/>
    <x v="0"/>
    <s v="Sunday"/>
    <x v="0"/>
    <x v="0"/>
    <s v="Regular"/>
  </r>
  <r>
    <n v="9234"/>
    <s v="Corner Grocery"/>
    <d v="2024-12-16T00:00:00"/>
    <s v="Household Items"/>
    <s v="Bananas"/>
    <n v="4"/>
    <n v="19.96"/>
    <n v="79.84"/>
    <s v="Medium"/>
    <n v="7.98"/>
    <n v="71.86"/>
    <x v="11"/>
    <n v="2024"/>
    <n v="389"/>
    <x v="0"/>
    <s v="Monday"/>
    <x v="1"/>
    <x v="1"/>
    <s v="Regular"/>
  </r>
  <r>
    <n v="9094"/>
    <s v="Corner Grocery"/>
    <d v="2023-08-27T00:00:00"/>
    <s v="Beverages"/>
    <s v="Cheese"/>
    <n v="5"/>
    <n v="18.95"/>
    <n v="94.75"/>
    <s v="Medium"/>
    <n v="9.4700000000000006"/>
    <n v="85.28"/>
    <x v="5"/>
    <n v="2023"/>
    <n v="173"/>
    <x v="2"/>
    <s v="Sunday"/>
    <x v="1"/>
    <x v="0"/>
    <s v="Regular"/>
  </r>
  <r>
    <n v="9255"/>
    <s v="SuperSave Central"/>
    <d v="2024-03-18T00:00:00"/>
    <s v="Produce"/>
    <s v="Carrots"/>
    <n v="3"/>
    <n v="18.010000000000002"/>
    <n v="54.03"/>
    <s v="Medium"/>
    <n v="5.4"/>
    <n v="48.63"/>
    <x v="6"/>
    <n v="2024"/>
    <n v="150"/>
    <x v="2"/>
    <s v="Monday"/>
    <x v="1"/>
    <x v="1"/>
    <s v="Regular"/>
  </r>
  <r>
    <n v="5961"/>
    <s v="QuickStop Market"/>
    <d v="2025-04-16T00:00:00"/>
    <s v="Household Items"/>
    <s v="Eggs"/>
    <n v="3"/>
    <n v="5.97"/>
    <n v="17.91"/>
    <s v="Low"/>
    <n v="1.79"/>
    <n v="16.12"/>
    <x v="9"/>
    <n v="2025"/>
    <n v="133"/>
    <x v="2"/>
    <s v="Wednesday"/>
    <x v="1"/>
    <x v="1"/>
    <s v="Regular"/>
  </r>
  <r>
    <n v="2025"/>
    <s v="SuperSave Central"/>
    <d v="2024-10-28T00:00:00"/>
    <s v="Health &amp; Wellness"/>
    <s v="Chicken Breast"/>
    <n v="4"/>
    <n v="17.809999999999999"/>
    <n v="71.239999999999995"/>
    <s v="Medium"/>
    <n v="7.12"/>
    <n v="64.11999999999999"/>
    <x v="7"/>
    <n v="2024"/>
    <n v="214"/>
    <x v="0"/>
    <s v="Monday"/>
    <x v="1"/>
    <x v="1"/>
    <s v="Regular"/>
  </r>
  <r>
    <n v="3369"/>
    <s v="QuickStop Market"/>
    <d v="2024-05-30T00:00:00"/>
    <s v="Household Items"/>
    <s v="Bread"/>
    <n v="3"/>
    <n v="23.18"/>
    <n v="69.540000000000006"/>
    <s v="Medium"/>
    <n v="6.95"/>
    <n v="62.59"/>
    <x v="3"/>
    <n v="2024"/>
    <n v="224"/>
    <x v="0"/>
    <s v="Thursday"/>
    <x v="1"/>
    <x v="1"/>
    <s v="Regular"/>
  </r>
  <r>
    <n v="4292"/>
    <s v="Corner Grocery"/>
    <d v="2025-04-13T00:00:00"/>
    <s v="Dairy"/>
    <s v="Chicken Breast"/>
    <n v="1"/>
    <n v="17.21"/>
    <n v="17.21"/>
    <s v="Low"/>
    <n v="1.72"/>
    <n v="15.49"/>
    <x v="9"/>
    <n v="2025"/>
    <n v="150"/>
    <x v="2"/>
    <s v="Sunday"/>
    <x v="0"/>
    <x v="0"/>
    <s v="Regular"/>
  </r>
  <r>
    <n v="7566"/>
    <s v="ValuePlus Market"/>
    <d v="2023-09-30T00:00:00"/>
    <s v="Produce"/>
    <s v="Potatoes"/>
    <n v="4"/>
    <n v="15.86"/>
    <n v="63.44"/>
    <s v="Medium"/>
    <n v="6.34"/>
    <n v="57.099999999999994"/>
    <x v="1"/>
    <n v="2023"/>
    <n v="240"/>
    <x v="0"/>
    <s v="Saturday"/>
    <x v="1"/>
    <x v="0"/>
    <s v="Regular"/>
  </r>
  <r>
    <n v="5697"/>
    <s v="FreshMart Downtown"/>
    <d v="2023-08-20T00:00:00"/>
    <s v="Dairy"/>
    <s v="Milk"/>
    <n v="4"/>
    <n v="15.71"/>
    <n v="62.84"/>
    <s v="Medium"/>
    <n v="6.28"/>
    <n v="56.56"/>
    <x v="5"/>
    <n v="2023"/>
    <n v="332"/>
    <x v="0"/>
    <s v="Sunday"/>
    <x v="1"/>
    <x v="0"/>
    <s v="Regular"/>
  </r>
  <r>
    <n v="8109"/>
    <s v="MegaMart Westside"/>
    <d v="2024-12-19T00:00:00"/>
    <s v="Frozen Foods"/>
    <s v="Apples"/>
    <n v="4"/>
    <n v="14.41"/>
    <n v="57.64"/>
    <s v="Medium"/>
    <n v="5.76"/>
    <n v="51.88"/>
    <x v="11"/>
    <n v="2024"/>
    <n v="225"/>
    <x v="0"/>
    <s v="Thursday"/>
    <x v="1"/>
    <x v="1"/>
    <s v="Regular"/>
  </r>
  <r>
    <n v="9954"/>
    <s v="MegaMart Westside"/>
    <d v="2024-08-20T00:00:00"/>
    <s v="Beverages"/>
    <s v="Eggs"/>
    <n v="3"/>
    <n v="23.75"/>
    <n v="71.25"/>
    <s v="Medium"/>
    <n v="7.12"/>
    <n v="64.13"/>
    <x v="5"/>
    <n v="2024"/>
    <n v="337"/>
    <x v="0"/>
    <s v="Tuesday"/>
    <x v="1"/>
    <x v="1"/>
    <s v="Regular"/>
  </r>
  <r>
    <n v="1977"/>
    <s v="GreenGrocer Plaza"/>
    <d v="2023-12-13T00:00:00"/>
    <s v="Produce"/>
    <s v="Rice"/>
    <n v="3"/>
    <n v="14.21"/>
    <n v="42.63"/>
    <s v="Low"/>
    <n v="4.26"/>
    <n v="38.370000000000005"/>
    <x v="11"/>
    <n v="2023"/>
    <n v="266"/>
    <x v="0"/>
    <s v="Wednesday"/>
    <x v="1"/>
    <x v="1"/>
    <s v="Regular"/>
  </r>
  <r>
    <n v="1939"/>
    <s v="City Fresh Store"/>
    <d v="2023-10-04T00:00:00"/>
    <s v="Household Items"/>
    <s v="Rice"/>
    <n v="5"/>
    <n v="14.11"/>
    <n v="70.55"/>
    <s v="Medium"/>
    <n v="7.05"/>
    <n v="63.5"/>
    <x v="7"/>
    <n v="2023"/>
    <n v="172"/>
    <x v="2"/>
    <s v="Wednesday"/>
    <x v="1"/>
    <x v="1"/>
    <s v="Regular"/>
  </r>
  <r>
    <n v="5892"/>
    <s v="ValuePlus Market"/>
    <d v="2025-03-14T00:00:00"/>
    <s v="Produce"/>
    <s v="Salmon"/>
    <n v="2"/>
    <n v="13.71"/>
    <n v="27.42"/>
    <s v="Low"/>
    <n v="2.74"/>
    <n v="24.68"/>
    <x v="6"/>
    <n v="2025"/>
    <n v="149"/>
    <x v="2"/>
    <s v="Friday"/>
    <x v="0"/>
    <x v="1"/>
    <s v="Regular"/>
  </r>
  <r>
    <n v="4390"/>
    <s v="FamilyFood Express"/>
    <d v="2025-04-23T00:00:00"/>
    <s v="Snacks &amp; Candy"/>
    <s v="Milk"/>
    <n v="4"/>
    <n v="13.71"/>
    <n v="54.84"/>
    <s v="Medium"/>
    <n v="5.48"/>
    <n v="49.36"/>
    <x v="9"/>
    <n v="2025"/>
    <n v="101"/>
    <x v="2"/>
    <s v="Wednesday"/>
    <x v="1"/>
    <x v="1"/>
    <s v="Regular"/>
  </r>
  <r>
    <n v="7870"/>
    <s v="FamilyFood Express"/>
    <d v="2024-01-28T00:00:00"/>
    <s v="Beverages"/>
    <s v="Potatoes"/>
    <n v="4"/>
    <n v="13.61"/>
    <n v="54.44"/>
    <s v="Medium"/>
    <n v="5.44"/>
    <n v="49"/>
    <x v="8"/>
    <n v="2024"/>
    <n v="436"/>
    <x v="0"/>
    <s v="Sunday"/>
    <x v="1"/>
    <x v="0"/>
    <s v="Regular"/>
  </r>
  <r>
    <n v="1821"/>
    <s v="GreenGrocer Plaza"/>
    <d v="2024-11-02T00:00:00"/>
    <s v="Health &amp; Wellness"/>
    <s v="Onions"/>
    <n v="2"/>
    <n v="13.46"/>
    <n v="26.92"/>
    <s v="Low"/>
    <n v="2.69"/>
    <n v="24.23"/>
    <x v="0"/>
    <n v="2024"/>
    <n v="454"/>
    <x v="0"/>
    <s v="Saturday"/>
    <x v="0"/>
    <x v="0"/>
    <s v="Regular"/>
  </r>
  <r>
    <n v="6661"/>
    <s v="FamilyFood Express"/>
    <d v="2024-11-05T00:00:00"/>
    <s v="Personal Care"/>
    <s v="Cheese"/>
    <n v="4"/>
    <n v="6.68"/>
    <n v="26.72"/>
    <s v="Low"/>
    <n v="2.67"/>
    <n v="24.049999999999997"/>
    <x v="0"/>
    <n v="2024"/>
    <n v="409"/>
    <x v="0"/>
    <s v="Tuesday"/>
    <x v="1"/>
    <x v="1"/>
    <s v="Regular"/>
  </r>
  <r>
    <n v="4872"/>
    <s v="City Fresh Store"/>
    <d v="2023-12-14T00:00:00"/>
    <s v="Dairy"/>
    <s v="Chicken Breast"/>
    <n v="2"/>
    <n v="26.72"/>
    <n v="53.44"/>
    <s v="Medium"/>
    <n v="5.34"/>
    <n v="48.099999999999994"/>
    <x v="11"/>
    <n v="2023"/>
    <n v="69"/>
    <x v="3"/>
    <s v="Thursday"/>
    <x v="0"/>
    <x v="1"/>
    <s v="Regular"/>
  </r>
  <r>
    <n v="9229"/>
    <s v="SuperSave Central"/>
    <d v="2024-11-07T00:00:00"/>
    <s v="Canned Goods"/>
    <s v="Chicken Breast"/>
    <n v="2"/>
    <n v="13.01"/>
    <n v="26.02"/>
    <s v="Low"/>
    <n v="2.6"/>
    <n v="23.419999999999998"/>
    <x v="0"/>
    <n v="2024"/>
    <n v="169"/>
    <x v="2"/>
    <s v="Thursday"/>
    <x v="0"/>
    <x v="1"/>
    <s v="Regular"/>
  </r>
  <r>
    <n v="7291"/>
    <s v="City Fresh Store"/>
    <d v="2024-05-06T00:00:00"/>
    <s v="Bakery"/>
    <s v="Rice"/>
    <n v="4"/>
    <n v="12.71"/>
    <n v="50.84"/>
    <s v="Medium"/>
    <n v="5.08"/>
    <n v="45.760000000000005"/>
    <x v="3"/>
    <n v="2024"/>
    <n v="193"/>
    <x v="2"/>
    <s v="Monday"/>
    <x v="1"/>
    <x v="1"/>
    <s v="Regular"/>
  </r>
  <r>
    <n v="6375"/>
    <s v="FreshMart Downtown"/>
    <d v="2023-11-08T00:00:00"/>
    <s v="Household Items"/>
    <s v="Ground Beef"/>
    <n v="4"/>
    <n v="12.26"/>
    <n v="49.04"/>
    <s v="Low"/>
    <n v="4.9000000000000004"/>
    <n v="44.14"/>
    <x v="0"/>
    <n v="2023"/>
    <n v="405"/>
    <x v="0"/>
    <s v="Wednesday"/>
    <x v="1"/>
    <x v="1"/>
    <s v="Regular"/>
  </r>
  <r>
    <n v="8612"/>
    <s v="SuperSave Central"/>
    <d v="2025-01-06T00:00:00"/>
    <s v="Bakery"/>
    <s v="Cereal"/>
    <n v="2"/>
    <n v="12.01"/>
    <n v="24.02"/>
    <s v="Low"/>
    <n v="2.4"/>
    <n v="21.62"/>
    <x v="8"/>
    <n v="2025"/>
    <n v="426"/>
    <x v="0"/>
    <s v="Monday"/>
    <x v="0"/>
    <x v="1"/>
    <s v="Regular"/>
  </r>
  <r>
    <n v="8191"/>
    <s v="GreenGrocer Plaza"/>
    <d v="2024-02-05T00:00:00"/>
    <s v="Household Items"/>
    <s v="Rice"/>
    <n v="2"/>
    <n v="24.02"/>
    <n v="48.04"/>
    <s v="Low"/>
    <n v="4.8"/>
    <n v="43.24"/>
    <x v="4"/>
    <n v="2024"/>
    <n v="488"/>
    <x v="0"/>
    <s v="Monday"/>
    <x v="0"/>
    <x v="1"/>
    <s v="Regular"/>
  </r>
  <r>
    <n v="9740"/>
    <s v="SuperSave Central"/>
    <d v="2023-10-18T00:00:00"/>
    <s v="Personal Care"/>
    <s v="Pasta"/>
    <n v="1"/>
    <n v="23.32"/>
    <n v="23.32"/>
    <s v="Low"/>
    <n v="2.33"/>
    <n v="20.990000000000002"/>
    <x v="7"/>
    <n v="2023"/>
    <n v="144"/>
    <x v="2"/>
    <s v="Wednesday"/>
    <x v="0"/>
    <x v="1"/>
    <s v="Regular"/>
  </r>
  <r>
    <n v="2137"/>
    <s v="SuperSave Central"/>
    <d v="2025-03-29T00:00:00"/>
    <s v="Canned Goods"/>
    <s v="Cereal"/>
    <n v="2"/>
    <n v="23.12"/>
    <n v="46.24"/>
    <s v="Low"/>
    <n v="4.62"/>
    <n v="41.620000000000005"/>
    <x v="6"/>
    <n v="2025"/>
    <n v="255"/>
    <x v="0"/>
    <s v="Saturday"/>
    <x v="0"/>
    <x v="0"/>
    <s v="Regular"/>
  </r>
  <r>
    <n v="9843"/>
    <s v="City Fresh Store"/>
    <d v="2024-01-22T00:00:00"/>
    <s v="Snacks &amp; Candy"/>
    <s v="Pasta"/>
    <n v="3"/>
    <n v="19.05"/>
    <n v="57.15"/>
    <s v="Medium"/>
    <n v="5.71"/>
    <n v="51.44"/>
    <x v="8"/>
    <n v="2024"/>
    <n v="310"/>
    <x v="0"/>
    <s v="Monday"/>
    <x v="1"/>
    <x v="1"/>
    <s v="Regular"/>
  </r>
  <r>
    <n v="1009"/>
    <s v="Corner Grocery"/>
    <d v="2024-11-14T00:00:00"/>
    <s v="Beverages"/>
    <s v="Onions"/>
    <n v="2"/>
    <n v="21.02"/>
    <n v="42.04"/>
    <s v="Low"/>
    <n v="4.2"/>
    <n v="37.839999999999996"/>
    <x v="0"/>
    <n v="2024"/>
    <n v="330"/>
    <x v="0"/>
    <s v="Thursday"/>
    <x v="0"/>
    <x v="1"/>
    <s v="Regular"/>
  </r>
  <r>
    <n v="2350"/>
    <s v="QuickStop Market"/>
    <d v="2024-05-21T00:00:00"/>
    <s v="Dairy"/>
    <s v="Bread"/>
    <n v="4"/>
    <n v="10.06"/>
    <n v="40.24"/>
    <s v="Low"/>
    <n v="4.0199999999999996"/>
    <n v="36.22"/>
    <x v="3"/>
    <n v="2024"/>
    <n v="254"/>
    <x v="0"/>
    <s v="Tuesday"/>
    <x v="1"/>
    <x v="1"/>
    <s v="Regular"/>
  </r>
  <r>
    <n v="3417"/>
    <s v="ValuePlus Market"/>
    <d v="2024-12-28T00:00:00"/>
    <s v="Beverages"/>
    <s v="Ground Beef"/>
    <n v="2"/>
    <n v="9.7100000000000009"/>
    <n v="19.420000000000002"/>
    <s v="Low"/>
    <n v="1.94"/>
    <n v="17.48"/>
    <x v="11"/>
    <n v="2024"/>
    <n v="362"/>
    <x v="0"/>
    <s v="Saturday"/>
    <x v="0"/>
    <x v="0"/>
    <s v="Regular"/>
  </r>
  <r>
    <n v="1231"/>
    <s v="ValuePlus Market"/>
    <d v="2025-02-06T00:00:00"/>
    <s v="Personal Care"/>
    <s v="Pasta"/>
    <n v="3"/>
    <n v="9.61"/>
    <n v="28.83"/>
    <s v="Low"/>
    <n v="2.88"/>
    <n v="25.95"/>
    <x v="4"/>
    <n v="2025"/>
    <n v="49"/>
    <x v="1"/>
    <s v="Thursday"/>
    <x v="1"/>
    <x v="1"/>
    <s v="Regular"/>
  </r>
  <r>
    <n v="7853"/>
    <s v="FamilyFood Express"/>
    <d v="2024-10-02T00:00:00"/>
    <s v="Beverages"/>
    <s v="Pasta"/>
    <n v="1"/>
    <n v="27.73"/>
    <n v="27.73"/>
    <s v="Low"/>
    <n v="2.77"/>
    <n v="24.96"/>
    <x v="7"/>
    <n v="2024"/>
    <n v="264"/>
    <x v="0"/>
    <s v="Wednesday"/>
    <x v="0"/>
    <x v="1"/>
    <s v="Regular"/>
  </r>
  <r>
    <n v="1595"/>
    <s v="MegaMart Westside"/>
    <d v="2025-05-17T00:00:00"/>
    <s v="Bakery"/>
    <s v="Rice"/>
    <n v="4"/>
    <n v="9.11"/>
    <n v="36.44"/>
    <s v="Low"/>
    <n v="3.64"/>
    <n v="32.799999999999997"/>
    <x v="3"/>
    <n v="2025"/>
    <n v="310"/>
    <x v="0"/>
    <s v="Saturday"/>
    <x v="1"/>
    <x v="0"/>
    <s v="Regular"/>
  </r>
  <r>
    <n v="9725"/>
    <s v="SuperSave Central"/>
    <d v="2025-02-03T00:00:00"/>
    <s v="Produce"/>
    <s v="Apples"/>
    <n v="1"/>
    <n v="27.23"/>
    <n v="27.23"/>
    <s v="Low"/>
    <n v="2.72"/>
    <n v="24.51"/>
    <x v="4"/>
    <n v="2025"/>
    <n v="420"/>
    <x v="0"/>
    <s v="Monday"/>
    <x v="0"/>
    <x v="1"/>
    <s v="Regular"/>
  </r>
  <r>
    <n v="6280"/>
    <s v="GreenGrocer Plaza"/>
    <d v="2024-11-17T00:00:00"/>
    <s v="Personal Care"/>
    <s v="Bread"/>
    <n v="1"/>
    <n v="27.23"/>
    <n v="27.23"/>
    <s v="Low"/>
    <n v="2.72"/>
    <n v="24.51"/>
    <x v="0"/>
    <n v="2024"/>
    <n v="329"/>
    <x v="0"/>
    <s v="Sunday"/>
    <x v="0"/>
    <x v="0"/>
    <s v="Regular"/>
  </r>
  <r>
    <n v="2292"/>
    <s v="Corner Grocery"/>
    <d v="2024-02-17T00:00:00"/>
    <s v="Canned Goods"/>
    <s v="Potatoes"/>
    <n v="3"/>
    <n v="8.91"/>
    <n v="26.73"/>
    <s v="Low"/>
    <n v="2.67"/>
    <n v="24.060000000000002"/>
    <x v="4"/>
    <n v="2024"/>
    <n v="12"/>
    <x v="1"/>
    <s v="Saturday"/>
    <x v="1"/>
    <x v="0"/>
    <s v="Regular"/>
  </r>
  <r>
    <n v="6119"/>
    <s v="City Fresh Store"/>
    <d v="2024-05-06T00:00:00"/>
    <s v="Canned Goods"/>
    <s v="Onions"/>
    <n v="1"/>
    <n v="24.83"/>
    <n v="24.83"/>
    <s v="Low"/>
    <n v="2.48"/>
    <n v="22.349999999999998"/>
    <x v="3"/>
    <n v="2024"/>
    <n v="90"/>
    <x v="3"/>
    <s v="Monday"/>
    <x v="0"/>
    <x v="1"/>
    <s v="Regular"/>
  </r>
  <r>
    <n v="8404"/>
    <s v="MegaMart Westside"/>
    <d v="2023-09-05T00:00:00"/>
    <s v="Beverages"/>
    <s v="Onions"/>
    <n v="2"/>
    <n v="16.47"/>
    <n v="32.94"/>
    <s v="Low"/>
    <n v="3.29"/>
    <n v="29.65"/>
    <x v="1"/>
    <n v="2023"/>
    <n v="62"/>
    <x v="3"/>
    <s v="Tuesday"/>
    <x v="0"/>
    <x v="1"/>
    <s v="Regular"/>
  </r>
  <r>
    <n v="5896"/>
    <s v="GreenGrocer Plaza"/>
    <d v="2024-02-25T00:00:00"/>
    <s v="Bakery"/>
    <s v="Potatoes"/>
    <n v="4"/>
    <n v="8.2100000000000009"/>
    <n v="32.840000000000003"/>
    <s v="Low"/>
    <n v="3.28"/>
    <n v="29.560000000000002"/>
    <x v="4"/>
    <n v="2024"/>
    <n v="198"/>
    <x v="2"/>
    <s v="Sunday"/>
    <x v="1"/>
    <x v="0"/>
    <s v="Regular"/>
  </r>
  <r>
    <n v="1660"/>
    <s v="QuickStop Market"/>
    <d v="2024-01-21T00:00:00"/>
    <s v="Personal Care"/>
    <s v="Bread"/>
    <n v="1"/>
    <n v="8.11"/>
    <n v="8.11"/>
    <s v="Low"/>
    <n v="0.81"/>
    <n v="7.2999999999999989"/>
    <x v="8"/>
    <n v="2024"/>
    <n v="425"/>
    <x v="0"/>
    <s v="Sunday"/>
    <x v="0"/>
    <x v="0"/>
    <s v="Regular"/>
  </r>
  <r>
    <n v="6456"/>
    <s v="FreshMart Downtown"/>
    <d v="2025-04-03T00:00:00"/>
    <s v="Snacks &amp; Candy"/>
    <s v="Milk"/>
    <n v="1"/>
    <n v="29.74"/>
    <n v="29.74"/>
    <s v="Low"/>
    <n v="2.97"/>
    <n v="26.77"/>
    <x v="9"/>
    <n v="2025"/>
    <n v="375"/>
    <x v="0"/>
    <s v="Thursday"/>
    <x v="0"/>
    <x v="1"/>
    <s v="Regular"/>
  </r>
  <r>
    <n v="2208"/>
    <s v="FamilyFood Express"/>
    <d v="2023-11-12T00:00:00"/>
    <s v="Produce"/>
    <s v="Ground Beef"/>
    <n v="2"/>
    <n v="14.52"/>
    <n v="29.04"/>
    <s v="Low"/>
    <n v="2.9"/>
    <n v="26.14"/>
    <x v="0"/>
    <n v="2023"/>
    <n v="109"/>
    <x v="2"/>
    <s v="Sunday"/>
    <x v="0"/>
    <x v="0"/>
    <s v="Regular"/>
  </r>
  <r>
    <n v="8007"/>
    <s v="GreenGrocer Plaza"/>
    <d v="2024-10-15T00:00:00"/>
    <s v="Personal Care"/>
    <s v="Orange Juice"/>
    <n v="1"/>
    <n v="28.64"/>
    <n v="28.64"/>
    <s v="Low"/>
    <n v="2.86"/>
    <n v="25.78"/>
    <x v="7"/>
    <n v="2024"/>
    <n v="278"/>
    <x v="0"/>
    <s v="Tuesday"/>
    <x v="0"/>
    <x v="1"/>
    <s v="Regular"/>
  </r>
  <r>
    <n v="9193"/>
    <s v="FreshMart Downtown"/>
    <d v="2023-09-07T00:00:00"/>
    <s v="Health &amp; Wellness"/>
    <s v="Milk"/>
    <n v="1"/>
    <n v="7.11"/>
    <n v="7.11"/>
    <s v="Low"/>
    <n v="0.71"/>
    <n v="6.4"/>
    <x v="1"/>
    <n v="2023"/>
    <n v="405"/>
    <x v="0"/>
    <s v="Thursday"/>
    <x v="0"/>
    <x v="1"/>
    <s v="Regular"/>
  </r>
  <r>
    <n v="4618"/>
    <s v="FreshMart Downtown"/>
    <d v="2024-01-24T00:00:00"/>
    <s v="Snacks &amp; Candy"/>
    <s v="Orange Juice"/>
    <n v="1"/>
    <n v="21.33"/>
    <n v="21.33"/>
    <s v="Low"/>
    <n v="2.13"/>
    <n v="19.2"/>
    <x v="8"/>
    <n v="2024"/>
    <n v="339"/>
    <x v="0"/>
    <s v="Wednesday"/>
    <x v="0"/>
    <x v="1"/>
    <s v="Regular"/>
  </r>
  <r>
    <n v="9138"/>
    <s v="ValuePlus Market"/>
    <d v="2025-05-14T00:00:00"/>
    <s v="Meat &amp; Seafood"/>
    <s v="Bananas"/>
    <n v="1"/>
    <n v="20.23"/>
    <n v="20.23"/>
    <s v="Low"/>
    <n v="2.02"/>
    <n v="18.21"/>
    <x v="3"/>
    <n v="2025"/>
    <n v="440"/>
    <x v="0"/>
    <s v="Wednesday"/>
    <x v="0"/>
    <x v="1"/>
    <s v="Regular"/>
  </r>
  <r>
    <n v="4593"/>
    <s v="GreenGrocer Plaza"/>
    <d v="2023-11-22T00:00:00"/>
    <s v="Beverages"/>
    <s v="Cheese"/>
    <n v="5"/>
    <n v="6.63"/>
    <n v="33.15"/>
    <s v="Low"/>
    <n v="3.31"/>
    <n v="29.84"/>
    <x v="0"/>
    <n v="2023"/>
    <n v="356"/>
    <x v="0"/>
    <s v="Wednesday"/>
    <x v="1"/>
    <x v="1"/>
    <s v="Regular"/>
  </r>
  <r>
    <n v="3290"/>
    <s v="GreenGrocer Plaza"/>
    <d v="2023-11-09T00:00:00"/>
    <s v="Produce"/>
    <s v="Apples"/>
    <n v="1"/>
    <n v="17.53"/>
    <n v="17.53"/>
    <s v="Low"/>
    <n v="1.75"/>
    <n v="15.780000000000001"/>
    <x v="0"/>
    <n v="2023"/>
    <n v="340"/>
    <x v="0"/>
    <s v="Thursday"/>
    <x v="0"/>
    <x v="1"/>
    <s v="Regular"/>
  </r>
  <r>
    <n v="9945"/>
    <s v="City Fresh Store"/>
    <d v="2024-04-25T00:00:00"/>
    <s v="Snacks &amp; Candy"/>
    <s v="Bananas"/>
    <n v="1"/>
    <n v="5.81"/>
    <n v="5.81"/>
    <s v="Low"/>
    <n v="0.57999999999999996"/>
    <n v="5.2299999999999995"/>
    <x v="9"/>
    <n v="2024"/>
    <n v="78"/>
    <x v="3"/>
    <s v="Thursday"/>
    <x v="0"/>
    <x v="1"/>
    <s v="Regular"/>
  </r>
  <r>
    <n v="1990"/>
    <s v="SuperSave Central"/>
    <d v="2025-04-11T00:00:00"/>
    <s v="Beverages"/>
    <s v="Onions"/>
    <n v="3"/>
    <n v="7.48"/>
    <n v="22.44"/>
    <s v="Low"/>
    <n v="2.2400000000000002"/>
    <n v="20.200000000000003"/>
    <x v="9"/>
    <n v="2025"/>
    <n v="146"/>
    <x v="2"/>
    <s v="Friday"/>
    <x v="1"/>
    <x v="1"/>
    <s v="Regular"/>
  </r>
  <r>
    <n v="3042"/>
    <s v="GreenGrocer Plaza"/>
    <d v="2024-03-15T00:00:00"/>
    <s v="Household Items"/>
    <s v="Carrots"/>
    <n v="1"/>
    <n v="16.13"/>
    <n v="16.13"/>
    <s v="Low"/>
    <n v="1.61"/>
    <n v="14.52"/>
    <x v="6"/>
    <n v="2024"/>
    <n v="424"/>
    <x v="0"/>
    <s v="Friday"/>
    <x v="0"/>
    <x v="1"/>
    <s v="Regular"/>
  </r>
  <r>
    <n v="7561"/>
    <s v="GreenGrocer Plaza"/>
    <d v="2025-04-29T00:00:00"/>
    <s v="Produce"/>
    <s v="Apples"/>
    <n v="4"/>
    <n v="5.0599999999999996"/>
    <n v="20.239999999999998"/>
    <s v="Low"/>
    <n v="2.02"/>
    <n v="18.22"/>
    <x v="9"/>
    <n v="2025"/>
    <n v="367"/>
    <x v="0"/>
    <s v="Tuesday"/>
    <x v="1"/>
    <x v="1"/>
    <s v="Regular"/>
  </r>
  <r>
    <n v="1782"/>
    <s v="FreshMart Downtown"/>
    <d v="2024-02-08T00:00:00"/>
    <s v="Bakery"/>
    <s v="Apples"/>
    <n v="1"/>
    <n v="14.63"/>
    <n v="14.63"/>
    <s v="Low"/>
    <n v="1.46"/>
    <n v="13.170000000000002"/>
    <x v="4"/>
    <n v="2024"/>
    <n v="83"/>
    <x v="3"/>
    <s v="Thursday"/>
    <x v="0"/>
    <x v="1"/>
    <s v="Regular"/>
  </r>
  <r>
    <n v="4522"/>
    <s v="MegaMart Westside"/>
    <d v="2024-07-06T00:00:00"/>
    <s v="Canned Goods"/>
    <s v="Bread"/>
    <n v="2"/>
    <n v="9.1199999999999992"/>
    <n v="18.239999999999998"/>
    <s v="Low"/>
    <n v="1.82"/>
    <n v="16.419999999999998"/>
    <x v="2"/>
    <n v="2024"/>
    <n v="15"/>
    <x v="1"/>
    <s v="Saturday"/>
    <x v="0"/>
    <x v="0"/>
    <s v="Regular"/>
  </r>
  <r>
    <n v="4178"/>
    <s v="GreenGrocer Plaza"/>
    <d v="2024-05-18T00:00:00"/>
    <s v="Household Items"/>
    <s v="Cereal"/>
    <n v="3"/>
    <n v="2.94"/>
    <n v="8.82"/>
    <s v="Low"/>
    <n v="0.88"/>
    <n v="7.94"/>
    <x v="3"/>
    <n v="2024"/>
    <n v="410"/>
    <x v="0"/>
    <s v="Saturday"/>
    <x v="1"/>
    <x v="0"/>
    <s v="Regular"/>
  </r>
  <r>
    <n v="7389"/>
    <s v="City Fresh Store"/>
    <d v="2025-05-30T00:00:00"/>
    <s v="Meat &amp; Seafood"/>
    <s v="Rice"/>
    <n v="2"/>
    <n v="8.32"/>
    <n v="16.64"/>
    <s v="Low"/>
    <n v="1.66"/>
    <n v="14.98"/>
    <x v="3"/>
    <n v="2025"/>
    <n v="78"/>
    <x v="3"/>
    <s v="Friday"/>
    <x v="0"/>
    <x v="1"/>
    <s v="Regular"/>
  </r>
  <r>
    <n v="8170"/>
    <s v="FreshMart Downtown"/>
    <d v="2023-09-09T00:00:00"/>
    <s v="Health &amp; Wellness"/>
    <s v="Cereal"/>
    <n v="4"/>
    <n v="3.81"/>
    <n v="15.24"/>
    <s v="Low"/>
    <n v="1.52"/>
    <n v="13.72"/>
    <x v="1"/>
    <n v="2023"/>
    <n v="176"/>
    <x v="2"/>
    <s v="Saturday"/>
    <x v="1"/>
    <x v="0"/>
    <s v="Regular"/>
  </r>
  <r>
    <n v="7161"/>
    <s v="GreenGrocer Plaza"/>
    <d v="2024-03-11T00:00:00"/>
    <s v="Personal Care"/>
    <s v="Cheese"/>
    <n v="3"/>
    <n v="6.15"/>
    <n v="18.45"/>
    <s v="Low"/>
    <n v="1.84"/>
    <n v="16.61"/>
    <x v="6"/>
    <n v="2024"/>
    <n v="443"/>
    <x v="0"/>
    <s v="Monday"/>
    <x v="1"/>
    <x v="1"/>
    <s v="Regular"/>
  </r>
  <r>
    <n v="3174"/>
    <s v="GreenGrocer Plaza"/>
    <d v="2024-02-16T00:00:00"/>
    <s v="Produce"/>
    <s v="Orange Juice"/>
    <n v="2"/>
    <n v="3.66"/>
    <n v="7.32"/>
    <s v="Low"/>
    <n v="0.73"/>
    <n v="6.59"/>
    <x v="4"/>
    <n v="2024"/>
    <n v="33"/>
    <x v="1"/>
    <s v="Friday"/>
    <x v="0"/>
    <x v="1"/>
    <s v="Regular"/>
  </r>
  <r>
    <n v="1126"/>
    <s v="ValuePlus Market"/>
    <d v="2024-08-27T00:00:00"/>
    <s v="Beverages"/>
    <s v="Bananas"/>
    <n v="1"/>
    <n v="10.83"/>
    <n v="10.83"/>
    <s v="Low"/>
    <n v="1.08"/>
    <n v="9.75"/>
    <x v="5"/>
    <n v="2024"/>
    <n v="172"/>
    <x v="2"/>
    <s v="Tuesday"/>
    <x v="0"/>
    <x v="1"/>
    <s v="Regular"/>
  </r>
  <r>
    <n v="5011"/>
    <s v="Corner Grocery"/>
    <d v="2024-08-10T00:00:00"/>
    <s v="Household Items"/>
    <s v="Bananas"/>
    <n v="2"/>
    <n v="6.97"/>
    <n v="13.94"/>
    <s v="Low"/>
    <n v="1.39"/>
    <n v="12.549999999999999"/>
    <x v="5"/>
    <n v="2024"/>
    <n v="51"/>
    <x v="3"/>
    <s v="Saturday"/>
    <x v="0"/>
    <x v="0"/>
    <s v="Regular"/>
  </r>
  <r>
    <n v="2196"/>
    <s v="Corner Grocery"/>
    <d v="2023-09-11T00:00:00"/>
    <s v="Frozen Foods"/>
    <s v="Pasta"/>
    <n v="2"/>
    <n v="3.41"/>
    <n v="6.82"/>
    <s v="Low"/>
    <n v="0.68"/>
    <n v="6.1400000000000006"/>
    <x v="1"/>
    <n v="2023"/>
    <n v="35"/>
    <x v="1"/>
    <s v="Monday"/>
    <x v="0"/>
    <x v="1"/>
    <s v="Regular"/>
  </r>
  <r>
    <n v="2821"/>
    <s v="ValuePlus Market"/>
    <d v="2025-03-31T00:00:00"/>
    <s v="Snacks &amp; Candy"/>
    <s v="Eggs"/>
    <n v="3"/>
    <n v="4.38"/>
    <n v="13.14"/>
    <s v="Low"/>
    <n v="1.31"/>
    <n v="11.83"/>
    <x v="6"/>
    <n v="2025"/>
    <n v="22"/>
    <x v="1"/>
    <s v="Monday"/>
    <x v="1"/>
    <x v="1"/>
    <s v="Regular"/>
  </r>
  <r>
    <n v="6231"/>
    <s v="ValuePlus Market"/>
    <d v="2025-02-27T00:00:00"/>
    <s v="Produce"/>
    <s v="Salmon"/>
    <n v="1"/>
    <n v="3.11"/>
    <n v="3.11"/>
    <s v="Low"/>
    <n v="0.31"/>
    <n v="2.8"/>
    <x v="4"/>
    <n v="2025"/>
    <n v="355"/>
    <x v="0"/>
    <s v="Thursday"/>
    <x v="0"/>
    <x v="1"/>
    <s v="Regular"/>
  </r>
  <r>
    <n v="2465"/>
    <s v="GreenGrocer Plaza"/>
    <d v="2024-12-25T00:00:00"/>
    <s v="Meat &amp; Seafood"/>
    <s v="Tomatoes"/>
    <n v="1"/>
    <n v="8.93"/>
    <n v="8.93"/>
    <s v="Low"/>
    <n v="0.89"/>
    <n v="8.0399999999999991"/>
    <x v="11"/>
    <n v="2024"/>
    <n v="98"/>
    <x v="3"/>
    <s v="Wednesday"/>
    <x v="0"/>
    <x v="1"/>
    <s v="Regular"/>
  </r>
  <r>
    <n v="8886"/>
    <s v="GreenGrocer Plaza"/>
    <d v="2024-01-20T00:00:00"/>
    <s v="Beverages"/>
    <s v="Cheese"/>
    <n v="3"/>
    <n v="1.94"/>
    <n v="5.82"/>
    <s v="Low"/>
    <n v="0.57999999999999996"/>
    <n v="5.24"/>
    <x v="8"/>
    <n v="2024"/>
    <n v="189"/>
    <x v="2"/>
    <s v="Saturday"/>
    <x v="1"/>
    <x v="0"/>
    <s v="Regular"/>
  </r>
  <r>
    <n v="2298"/>
    <s v="QuickStop Market"/>
    <d v="2023-08-21T00:00:00"/>
    <s v="Dairy"/>
    <s v="Chicken Breast"/>
    <n v="5"/>
    <n v="2.69"/>
    <n v="13.45"/>
    <s v="Low"/>
    <n v="1.34"/>
    <n v="12.11"/>
    <x v="5"/>
    <n v="2023"/>
    <n v="170"/>
    <x v="2"/>
    <s v="Monday"/>
    <x v="1"/>
    <x v="1"/>
    <s v="Regular"/>
  </r>
  <r>
    <n v="1861"/>
    <s v="QuickStop Market"/>
    <d v="2023-12-05T00:00:00"/>
    <s v="Meat &amp; Seafood"/>
    <s v="Carrots"/>
    <n v="4"/>
    <n v="1.33"/>
    <n v="5.32"/>
    <s v="Low"/>
    <n v="0.53"/>
    <n v="4.79"/>
    <x v="11"/>
    <n v="2023"/>
    <n v="474"/>
    <x v="0"/>
    <s v="Tuesday"/>
    <x v="1"/>
    <x v="1"/>
    <s v="Regular"/>
  </r>
  <r>
    <n v="1104"/>
    <s v="FamilyFood Express"/>
    <d v="2025-07-31T00:00:00"/>
    <s v="Produce"/>
    <s v="Onions"/>
    <n v="1"/>
    <n v="2.5099999999999998"/>
    <n v="2.5099999999999998"/>
    <s v="Low"/>
    <n v="0.25"/>
    <n v="2.2599999999999998"/>
    <x v="2"/>
    <n v="2025"/>
    <n v="431"/>
    <x v="0"/>
    <s v="Thursday"/>
    <x v="0"/>
    <x v="1"/>
    <s v="Regular"/>
  </r>
  <r>
    <n v="6314"/>
    <s v="MegaMart Westside"/>
    <d v="2025-04-01T00:00:00"/>
    <s v="Produce"/>
    <s v="Pasta"/>
    <n v="1"/>
    <n v="2.5099999999999998"/>
    <n v="2.5099999999999998"/>
    <s v="Low"/>
    <n v="0.25"/>
    <n v="2.2599999999999998"/>
    <x v="9"/>
    <n v="2025"/>
    <n v="237"/>
    <x v="0"/>
    <s v="Tuesday"/>
    <x v="0"/>
    <x v="1"/>
    <s v="Regular"/>
  </r>
  <r>
    <n v="7290"/>
    <s v="City Fresh Store"/>
    <d v="2024-10-16T00:00:00"/>
    <s v="Dairy"/>
    <s v="Apples"/>
    <n v="4"/>
    <n v="1.18"/>
    <n v="4.72"/>
    <s v="Low"/>
    <n v="0.47"/>
    <n v="4.25"/>
    <x v="7"/>
    <n v="2024"/>
    <n v="457"/>
    <x v="0"/>
    <s v="Wednesday"/>
    <x v="1"/>
    <x v="1"/>
    <s v="Regular"/>
  </r>
  <r>
    <n v="3546"/>
    <s v="SuperSave Central"/>
    <d v="2024-03-05T00:00:00"/>
    <s v="Household Items"/>
    <s v="Apples"/>
    <n v="4"/>
    <n v="2.2599999999999998"/>
    <n v="9.0399999999999991"/>
    <s v="Low"/>
    <n v="0.9"/>
    <n v="8.1399999999999988"/>
    <x v="6"/>
    <n v="2024"/>
    <n v="186"/>
    <x v="2"/>
    <s v="Tuesday"/>
    <x v="1"/>
    <x v="1"/>
    <s v="Regular"/>
  </r>
  <r>
    <n v="4111"/>
    <s v="City Fresh Store"/>
    <d v="2024-03-24T00:00:00"/>
    <s v="Personal Care"/>
    <s v="Ground Beef"/>
    <n v="5"/>
    <n v="2.25"/>
    <n v="11.25"/>
    <s v="Low"/>
    <n v="1.1200000000000001"/>
    <n v="10.129999999999999"/>
    <x v="6"/>
    <n v="2024"/>
    <n v="401"/>
    <x v="0"/>
    <s v="Sunday"/>
    <x v="1"/>
    <x v="0"/>
    <s v="Regular"/>
  </r>
  <r>
    <n v="4505"/>
    <s v="Corner Grocery"/>
    <d v="2023-09-25T00:00:00"/>
    <s v="Dairy"/>
    <s v="Bananas"/>
    <n v="1"/>
    <n v="11.25"/>
    <n v="11.25"/>
    <s v="Low"/>
    <n v="1.1200000000000001"/>
    <n v="10.129999999999999"/>
    <x v="1"/>
    <n v="2023"/>
    <n v="47"/>
    <x v="1"/>
    <s v="Monday"/>
    <x v="0"/>
    <x v="1"/>
    <s v="Regular"/>
  </r>
  <r>
    <n v="1436"/>
    <s v="MegaMart Westside"/>
    <d v="2024-06-24T00:00:00"/>
    <s v="Health &amp; Wellness"/>
    <s v="Cheese"/>
    <n v="1"/>
    <n v="8.94"/>
    <n v="8.94"/>
    <s v="Low"/>
    <n v="0.89"/>
    <n v="8.0499999999999989"/>
    <x v="10"/>
    <n v="2024"/>
    <n v="41"/>
    <x v="1"/>
    <s v="Monday"/>
    <x v="0"/>
    <x v="1"/>
    <s v="Regular"/>
  </r>
  <r>
    <n v="7743"/>
    <s v="SuperSave Central"/>
    <d v="2025-07-20T00:00:00"/>
    <s v="Canned Goods"/>
    <s v="Chicken Breast"/>
    <n v="2"/>
    <n v="1.86"/>
    <n v="3.72"/>
    <s v="Low"/>
    <n v="0.37"/>
    <n v="3.35"/>
    <x v="2"/>
    <n v="2025"/>
    <n v="104"/>
    <x v="2"/>
    <s v="Sunday"/>
    <x v="0"/>
    <x v="0"/>
    <s v="Regular"/>
  </r>
  <r>
    <n v="7270"/>
    <s v="City Fresh Store"/>
    <d v="2025-03-29T00:00:00"/>
    <s v="Dairy"/>
    <s v="Cereal"/>
    <n v="1"/>
    <n v="3.72"/>
    <n v="3.72"/>
    <s v="Low"/>
    <n v="0.37"/>
    <n v="3.35"/>
    <x v="6"/>
    <n v="2025"/>
    <n v="206"/>
    <x v="0"/>
    <s v="Saturday"/>
    <x v="0"/>
    <x v="0"/>
    <s v="Regular"/>
  </r>
  <r>
    <n v="4598"/>
    <s v="FamilyFood Express"/>
    <d v="2025-01-19T00:00:00"/>
    <s v="Meat &amp; Seafood"/>
    <s v="Apples"/>
    <n v="4"/>
    <n v="1.71"/>
    <n v="6.84"/>
    <s v="Low"/>
    <n v="0.68"/>
    <n v="6.16"/>
    <x v="8"/>
    <n v="2025"/>
    <n v="377"/>
    <x v="0"/>
    <s v="Sunday"/>
    <x v="1"/>
    <x v="0"/>
    <s v="Regular"/>
  </r>
  <r>
    <n v="4289"/>
    <s v="FamilyFood Express"/>
    <d v="2023-11-17T00:00:00"/>
    <s v="Frozen Foods"/>
    <s v="Tomatoes"/>
    <n v="1"/>
    <n v="4.53"/>
    <n v="4.53"/>
    <s v="Low"/>
    <n v="0.45"/>
    <n v="4.08"/>
    <x v="0"/>
    <n v="2023"/>
    <n v="393"/>
    <x v="0"/>
    <s v="Friday"/>
    <x v="0"/>
    <x v="1"/>
    <s v="Regular"/>
  </r>
  <r>
    <n v="6511"/>
    <s v="GreenGrocer Plaza"/>
    <d v="2024-09-04T00:00:00"/>
    <s v="Dairy"/>
    <s v="Cheese"/>
    <n v="1"/>
    <n v="5.64"/>
    <n v="5.64"/>
    <s v="Low"/>
    <n v="0.56000000000000005"/>
    <n v="5.08"/>
    <x v="1"/>
    <n v="2024"/>
    <n v="475"/>
    <x v="0"/>
    <s v="Wednesday"/>
    <x v="0"/>
    <x v="1"/>
    <s v="Regular"/>
  </r>
  <r>
    <n v="9011"/>
    <s v="SuperSave Central"/>
    <d v="2024-04-09T00:00:00"/>
    <s v="Bakery"/>
    <s v="Pasta"/>
    <n v="1"/>
    <n v="3.83"/>
    <n v="3.83"/>
    <s v="Low"/>
    <n v="0.38"/>
    <n v="3.45"/>
    <x v="9"/>
    <n v="2024"/>
    <n v="496"/>
    <x v="0"/>
    <s v="Tuesday"/>
    <x v="0"/>
    <x v="1"/>
    <s v="Regular"/>
  </r>
  <r>
    <n v="8668"/>
    <s v="FreshMart Downtown"/>
    <d v="2024-09-20T00:00:00"/>
    <s v="Household Items"/>
    <s v="Tomatoes"/>
    <n v="4"/>
    <n v="1.1599999999999999"/>
    <n v="4.6399999999999997"/>
    <s v="Low"/>
    <n v="0.46"/>
    <n v="4.18"/>
    <x v="1"/>
    <n v="2024"/>
    <n v="180"/>
    <x v="2"/>
    <s v="Friday"/>
    <x v="1"/>
    <x v="1"/>
    <s v="Regular"/>
  </r>
  <r>
    <n v="4788"/>
    <s v="Corner Grocery"/>
    <d v="2024-05-30T00:00:00"/>
    <s v="Canned Goods"/>
    <s v="Orange Juice"/>
    <n v="1"/>
    <n v="3.64"/>
    <n v="3.64"/>
    <s v="Low"/>
    <n v="0.36"/>
    <n v="3.2800000000000002"/>
    <x v="3"/>
    <n v="2024"/>
    <n v="482"/>
    <x v="0"/>
    <s v="Thursday"/>
    <x v="0"/>
    <x v="1"/>
    <s v="Regular"/>
  </r>
  <r>
    <n v="9626"/>
    <s v="City Fresh Store"/>
    <d v="2023-09-05T00:00:00"/>
    <s v="Beverages"/>
    <s v="Carrots"/>
    <n v="3"/>
    <n v="16.72"/>
    <n v="50.16"/>
    <s v="Low"/>
    <n v="4.96"/>
    <n v="45.199999999999996"/>
    <x v="1"/>
    <n v="2023"/>
    <n v="414"/>
    <x v="0"/>
    <s v="Tuesday"/>
    <x v="1"/>
    <x v="1"/>
    <s v="Regular"/>
  </r>
  <r>
    <n v="5422"/>
    <s v="FreshMart Downtown"/>
    <d v="2025-07-25T00:00:00"/>
    <s v="Canned Goods"/>
    <s v="Yogurt"/>
    <n v="2"/>
    <n v="20.329999999999998"/>
    <n v="40.659999999999997"/>
    <s v="Low"/>
    <n v="4"/>
    <n v="36.659999999999997"/>
    <x v="2"/>
    <n v="2025"/>
    <n v="181"/>
    <x v="2"/>
    <s v="Friday"/>
    <x v="0"/>
    <x v="1"/>
    <s v="Regular"/>
  </r>
  <r>
    <n v="2771"/>
    <s v="FamilyFood Express"/>
    <d v="2024-10-29T00:00:00"/>
    <s v="Personal Care"/>
    <s v="Salmon"/>
    <n v="1"/>
    <n v="1.22"/>
    <n v="1.22"/>
    <s v="Low"/>
    <n v="0.12"/>
    <n v="1.1000000000000001"/>
    <x v="7"/>
    <n v="2024"/>
    <n v="175"/>
    <x v="2"/>
    <s v="Tuesday"/>
    <x v="0"/>
    <x v="1"/>
    <s v="Regular"/>
  </r>
  <r>
    <n v="4824"/>
    <s v="GreenGrocer Plaza"/>
    <d v="2025-07-24T00:00:00"/>
    <s v="Beverages"/>
    <s v="Yogurt"/>
    <n v="5"/>
    <n v="4.46"/>
    <n v="22.3"/>
    <s v="Low"/>
    <n v="2.19"/>
    <n v="20.11"/>
    <x v="2"/>
    <n v="2025"/>
    <n v="348"/>
    <x v="0"/>
    <s v="Thursday"/>
    <x v="1"/>
    <x v="1"/>
    <s v="Regular"/>
  </r>
  <r>
    <n v="7919"/>
    <s v="City Fresh Store"/>
    <d v="2025-01-27T00:00:00"/>
    <s v="Beverages"/>
    <s v="Cheese"/>
    <n v="1"/>
    <n v="28.63"/>
    <n v="28.63"/>
    <s v="Low"/>
    <n v="2.79"/>
    <n v="25.84"/>
    <x v="8"/>
    <n v="2025"/>
    <n v="87"/>
    <x v="3"/>
    <s v="Monday"/>
    <x v="0"/>
    <x v="1"/>
    <s v="Regular"/>
  </r>
  <r>
    <n v="7502"/>
    <s v="City Fresh Store"/>
    <d v="2023-10-07T00:00:00"/>
    <s v="Frozen Foods"/>
    <s v="Orange Juice"/>
    <n v="5"/>
    <n v="9.48"/>
    <n v="47.4"/>
    <s v="Low"/>
    <n v="4.57"/>
    <n v="42.83"/>
    <x v="7"/>
    <n v="2023"/>
    <n v="334"/>
    <x v="0"/>
    <s v="Saturday"/>
    <x v="1"/>
    <x v="0"/>
    <s v="Regular"/>
  </r>
  <r>
    <n v="9898"/>
    <s v="FamilyFood Express"/>
    <d v="2025-05-07T00:00:00"/>
    <s v="Personal Care"/>
    <s v="Bread"/>
    <n v="4"/>
    <n v="8.1"/>
    <n v="32.4"/>
    <s v="Low"/>
    <n v="3.12"/>
    <n v="29.279999999999998"/>
    <x v="3"/>
    <n v="2025"/>
    <n v="293"/>
    <x v="0"/>
    <s v="Wednesday"/>
    <x v="1"/>
    <x v="1"/>
    <s v="Regular"/>
  </r>
  <r>
    <n v="3255"/>
    <s v="ValuePlus Market"/>
    <d v="2024-09-21T00:00:00"/>
    <s v="Bakery"/>
    <s v="Eggs"/>
    <n v="3"/>
    <n v="16.66"/>
    <n v="49.98"/>
    <s v="Low"/>
    <n v="4.8099999999999996"/>
    <n v="45.169999999999995"/>
    <x v="1"/>
    <n v="2024"/>
    <n v="86"/>
    <x v="3"/>
    <s v="Saturday"/>
    <x v="1"/>
    <x v="0"/>
    <s v="Regular"/>
  </r>
  <r>
    <n v="9109"/>
    <s v="ValuePlus Market"/>
    <d v="2024-06-19T00:00:00"/>
    <s v="Meat &amp; Seafood"/>
    <s v="Yogurt"/>
    <n v="1"/>
    <n v="23.11"/>
    <n v="23.11"/>
    <s v="Low"/>
    <n v="2.2200000000000002"/>
    <n v="20.89"/>
    <x v="10"/>
    <n v="2024"/>
    <n v="109"/>
    <x v="2"/>
    <s v="Wednesday"/>
    <x v="0"/>
    <x v="1"/>
    <s v="Regular"/>
  </r>
  <r>
    <n v="7596"/>
    <s v="Corner Grocery"/>
    <d v="2025-02-22T00:00:00"/>
    <s v="Frozen Foods"/>
    <s v="Salmon"/>
    <n v="3"/>
    <n v="6.77"/>
    <n v="20.309999999999999"/>
    <s v="Low"/>
    <n v="1.95"/>
    <n v="18.36"/>
    <x v="4"/>
    <n v="2025"/>
    <n v="196"/>
    <x v="2"/>
    <s v="Saturday"/>
    <x v="1"/>
    <x v="0"/>
    <s v="Regular"/>
  </r>
  <r>
    <n v="6753"/>
    <s v="ValuePlus Market"/>
    <d v="2025-02-18T00:00:00"/>
    <s v="Bakery"/>
    <s v="Orange Juice"/>
    <n v="1"/>
    <n v="26.28"/>
    <n v="26.28"/>
    <s v="Low"/>
    <n v="2.5"/>
    <n v="23.78"/>
    <x v="4"/>
    <n v="2025"/>
    <n v="467"/>
    <x v="0"/>
    <s v="Tuesday"/>
    <x v="0"/>
    <x v="1"/>
    <s v="Regular"/>
  </r>
  <r>
    <n v="7266"/>
    <s v="City Fresh Store"/>
    <d v="2024-07-20T00:00:00"/>
    <s v="Health &amp; Wellness"/>
    <s v="Salmon"/>
    <n v="4"/>
    <n v="12.89"/>
    <n v="51.56"/>
    <s v="Low"/>
    <n v="4.9000000000000004"/>
    <n v="46.660000000000004"/>
    <x v="2"/>
    <n v="2024"/>
    <n v="180"/>
    <x v="2"/>
    <s v="Saturday"/>
    <x v="1"/>
    <x v="0"/>
    <s v="Regular"/>
  </r>
  <r>
    <n v="1158"/>
    <s v="City Fresh Store"/>
    <d v="2023-11-01T00:00:00"/>
    <s v="Produce"/>
    <s v="Tomatoes"/>
    <n v="3"/>
    <n v="8.35"/>
    <n v="25.05"/>
    <s v="Low"/>
    <n v="2.38"/>
    <n v="22.67"/>
    <x v="0"/>
    <n v="2023"/>
    <n v="8"/>
    <x v="1"/>
    <s v="Wednesday"/>
    <x v="1"/>
    <x v="1"/>
    <s v="Regular"/>
  </r>
  <r>
    <n v="9540"/>
    <s v="FreshMart Downtown"/>
    <d v="2024-01-25T00:00:00"/>
    <s v="Beverages"/>
    <s v="Potatoes"/>
    <n v="1"/>
    <n v="29.71"/>
    <n v="29.71"/>
    <s v="Low"/>
    <n v="2.81"/>
    <n v="26.900000000000002"/>
    <x v="8"/>
    <n v="2024"/>
    <n v="215"/>
    <x v="0"/>
    <s v="Thursday"/>
    <x v="0"/>
    <x v="1"/>
    <s v="Regular"/>
  </r>
  <r>
    <n v="5636"/>
    <s v="FamilyFood Express"/>
    <d v="2023-10-24T00:00:00"/>
    <s v="Meat &amp; Seafood"/>
    <s v="Salmon"/>
    <n v="1"/>
    <n v="24.17"/>
    <n v="24.17"/>
    <s v="Low"/>
    <n v="2.27"/>
    <n v="21.900000000000002"/>
    <x v="7"/>
    <n v="2023"/>
    <n v="17"/>
    <x v="1"/>
    <s v="Tuesday"/>
    <x v="0"/>
    <x v="1"/>
    <s v="Regular"/>
  </r>
  <r>
    <n v="5055"/>
    <s v="MegaMart Westside"/>
    <d v="2024-03-25T00:00:00"/>
    <s v="Health &amp; Wellness"/>
    <s v="Bread"/>
    <n v="1"/>
    <n v="17.38"/>
    <n v="17.38"/>
    <s v="Low"/>
    <n v="1.63"/>
    <n v="15.75"/>
    <x v="6"/>
    <n v="2024"/>
    <n v="498"/>
    <x v="0"/>
    <s v="Monday"/>
    <x v="0"/>
    <x v="1"/>
    <s v="Regular"/>
  </r>
  <r>
    <n v="8251"/>
    <s v="FreshMart Downtown"/>
    <d v="2024-11-24T00:00:00"/>
    <s v="Personal Care"/>
    <s v="Milk"/>
    <n v="1"/>
    <n v="28.4"/>
    <n v="28.4"/>
    <s v="Low"/>
    <n v="2.65"/>
    <n v="25.75"/>
    <x v="0"/>
    <n v="2024"/>
    <n v="342"/>
    <x v="0"/>
    <s v="Sunday"/>
    <x v="0"/>
    <x v="0"/>
    <s v="Regular"/>
  </r>
  <r>
    <n v="7653"/>
    <s v="FreshMart Downtown"/>
    <d v="2024-03-25T00:00:00"/>
    <s v="Meat &amp; Seafood"/>
    <s v="Salmon"/>
    <n v="1"/>
    <n v="24.9"/>
    <n v="24.9"/>
    <s v="Low"/>
    <n v="2.3199999999999998"/>
    <n v="22.58"/>
    <x v="6"/>
    <n v="2024"/>
    <n v="309"/>
    <x v="0"/>
    <s v="Monday"/>
    <x v="0"/>
    <x v="1"/>
    <s v="Regular"/>
  </r>
  <r>
    <n v="7992"/>
    <s v="FreshMart Downtown"/>
    <d v="2024-04-05T00:00:00"/>
    <s v="Health &amp; Wellness"/>
    <s v="Bread"/>
    <n v="3"/>
    <n v="14.53"/>
    <n v="43.59"/>
    <s v="Low"/>
    <n v="4.0599999999999996"/>
    <n v="39.53"/>
    <x v="9"/>
    <n v="2024"/>
    <n v="23"/>
    <x v="1"/>
    <s v="Friday"/>
    <x v="1"/>
    <x v="1"/>
    <s v="Regular"/>
  </r>
  <r>
    <n v="6139"/>
    <s v="City Fresh Store"/>
    <d v="2024-06-27T00:00:00"/>
    <s v="Meat &amp; Seafood"/>
    <s v="Milk"/>
    <n v="1"/>
    <n v="29.42"/>
    <n v="29.42"/>
    <s v="Low"/>
    <n v="2.74"/>
    <n v="26.68"/>
    <x v="10"/>
    <n v="2024"/>
    <n v="332"/>
    <x v="0"/>
    <s v="Thursday"/>
    <x v="0"/>
    <x v="1"/>
    <s v="Regular"/>
  </r>
  <r>
    <n v="2290"/>
    <s v="SuperSave Central"/>
    <d v="2023-10-12T00:00:00"/>
    <s v="Frozen Foods"/>
    <s v="Bananas"/>
    <n v="5"/>
    <n v="4.66"/>
    <n v="23.3"/>
    <s v="Low"/>
    <n v="2.17"/>
    <n v="21.130000000000003"/>
    <x v="7"/>
    <n v="2023"/>
    <n v="23"/>
    <x v="1"/>
    <s v="Thursday"/>
    <x v="1"/>
    <x v="1"/>
    <s v="Regular"/>
  </r>
  <r>
    <n v="1749"/>
    <s v="Corner Grocery"/>
    <d v="2024-10-16T00:00:00"/>
    <s v="Meat &amp; Seafood"/>
    <s v="Tomatoes"/>
    <n v="1"/>
    <n v="14.41"/>
    <n v="14.41"/>
    <s v="Low"/>
    <n v="1.34"/>
    <n v="13.07"/>
    <x v="7"/>
    <n v="2024"/>
    <n v="390"/>
    <x v="0"/>
    <s v="Wednesday"/>
    <x v="0"/>
    <x v="1"/>
    <s v="Regular"/>
  </r>
  <r>
    <n v="1420"/>
    <s v="SuperSave Central"/>
    <d v="2025-07-28T00:00:00"/>
    <s v="Beverages"/>
    <s v="Bread"/>
    <n v="2"/>
    <n v="12.1"/>
    <n v="24.2"/>
    <s v="Low"/>
    <n v="2.25"/>
    <n v="21.95"/>
    <x v="2"/>
    <n v="2025"/>
    <n v="374"/>
    <x v="0"/>
    <s v="Monday"/>
    <x v="0"/>
    <x v="1"/>
    <s v="Regular"/>
  </r>
  <r>
    <n v="4583"/>
    <s v="SuperSave Central"/>
    <d v="2024-09-02T00:00:00"/>
    <s v="Health &amp; Wellness"/>
    <s v="Carrots"/>
    <n v="4"/>
    <n v="6.5"/>
    <n v="26"/>
    <s v="Low"/>
    <n v="2.41"/>
    <n v="23.59"/>
    <x v="1"/>
    <n v="2024"/>
    <n v="106"/>
    <x v="2"/>
    <s v="Monday"/>
    <x v="1"/>
    <x v="1"/>
    <s v="Regular"/>
  </r>
  <r>
    <n v="1744"/>
    <s v="SuperSave Central"/>
    <d v="2024-12-17T00:00:00"/>
    <s v="Canned Goods"/>
    <s v="Tomatoes"/>
    <n v="4"/>
    <n v="6.91"/>
    <n v="27.64"/>
    <s v="Low"/>
    <n v="2.5499999999999998"/>
    <n v="25.09"/>
    <x v="11"/>
    <n v="2024"/>
    <n v="200"/>
    <x v="0"/>
    <s v="Tuesday"/>
    <x v="1"/>
    <x v="1"/>
    <s v="Regular"/>
  </r>
  <r>
    <n v="7939"/>
    <s v="FreshMart Downtown"/>
    <d v="2024-06-21T00:00:00"/>
    <s v="Frozen Foods"/>
    <s v="Orange Juice"/>
    <n v="3"/>
    <n v="13.48"/>
    <n v="40.44"/>
    <s v="Low"/>
    <n v="3.73"/>
    <n v="36.71"/>
    <x v="10"/>
    <n v="2024"/>
    <n v="125"/>
    <x v="2"/>
    <s v="Friday"/>
    <x v="1"/>
    <x v="1"/>
    <s v="Regular"/>
  </r>
  <r>
    <n v="4853"/>
    <s v="ValuePlus Market"/>
    <d v="2024-06-15T00:00:00"/>
    <s v="Household Items"/>
    <s v="Onions"/>
    <n v="1"/>
    <n v="18.649999999999999"/>
    <n v="18.649999999999999"/>
    <s v="Low"/>
    <n v="1.72"/>
    <n v="16.93"/>
    <x v="10"/>
    <n v="2024"/>
    <n v="336"/>
    <x v="0"/>
    <s v="Saturday"/>
    <x v="0"/>
    <x v="0"/>
    <s v="Regular"/>
  </r>
  <r>
    <n v="5508"/>
    <s v="FreshMart Downtown"/>
    <d v="2023-09-23T00:00:00"/>
    <s v="Beverages"/>
    <s v="Rice"/>
    <n v="2"/>
    <n v="25.4"/>
    <n v="50.8"/>
    <s v="Low"/>
    <n v="4.67"/>
    <n v="46.129999999999995"/>
    <x v="1"/>
    <n v="2023"/>
    <n v="206"/>
    <x v="0"/>
    <s v="Saturday"/>
    <x v="0"/>
    <x v="0"/>
    <s v="Regular"/>
  </r>
  <r>
    <n v="4201"/>
    <s v="FamilyFood Express"/>
    <d v="2025-02-25T00:00:00"/>
    <s v="Dairy"/>
    <s v="Orange Juice"/>
    <n v="3"/>
    <n v="10.8"/>
    <n v="32.4"/>
    <s v="Low"/>
    <n v="2.97"/>
    <n v="29.43"/>
    <x v="4"/>
    <n v="2025"/>
    <n v="211"/>
    <x v="0"/>
    <s v="Tuesday"/>
    <x v="1"/>
    <x v="1"/>
    <s v="Regular"/>
  </r>
  <r>
    <n v="3529"/>
    <s v="ValuePlus Market"/>
    <d v="2023-10-04T00:00:00"/>
    <s v="Health &amp; Wellness"/>
    <s v="Cheese"/>
    <n v="2"/>
    <n v="18.55"/>
    <n v="37.1"/>
    <s v="Low"/>
    <n v="3.4"/>
    <n v="33.700000000000003"/>
    <x v="7"/>
    <n v="2023"/>
    <n v="90"/>
    <x v="3"/>
    <s v="Wednesday"/>
    <x v="0"/>
    <x v="1"/>
    <s v="Regular"/>
  </r>
  <r>
    <n v="1049"/>
    <s v="SuperSave Central"/>
    <d v="2025-03-08T00:00:00"/>
    <s v="Health &amp; Wellness"/>
    <s v="Yogurt"/>
    <n v="3"/>
    <n v="17.47"/>
    <n v="52.41"/>
    <s v="Low"/>
    <n v="4.75"/>
    <n v="47.66"/>
    <x v="6"/>
    <n v="2025"/>
    <n v="307"/>
    <x v="0"/>
    <s v="Saturday"/>
    <x v="1"/>
    <x v="0"/>
    <s v="Regular"/>
  </r>
  <r>
    <n v="6161"/>
    <s v="FreshMart Downtown"/>
    <d v="2025-07-26T00:00:00"/>
    <s v="Frozen Foods"/>
    <s v="Orange Juice"/>
    <n v="1"/>
    <n v="18.329999999999998"/>
    <n v="18.329999999999998"/>
    <s v="Low"/>
    <n v="1.66"/>
    <n v="16.669999999999998"/>
    <x v="2"/>
    <n v="2025"/>
    <n v="233"/>
    <x v="0"/>
    <s v="Saturday"/>
    <x v="0"/>
    <x v="0"/>
    <s v="Regular"/>
  </r>
  <r>
    <n v="5781"/>
    <s v="GreenGrocer Plaza"/>
    <d v="2024-09-05T00:00:00"/>
    <s v="Health &amp; Wellness"/>
    <s v="Eggs"/>
    <n v="1"/>
    <n v="14.31"/>
    <n v="14.31"/>
    <s v="Low"/>
    <n v="1.29"/>
    <n v="13.02"/>
    <x v="1"/>
    <n v="2024"/>
    <n v="169"/>
    <x v="2"/>
    <s v="Thursday"/>
    <x v="0"/>
    <x v="1"/>
    <s v="Regular"/>
  </r>
  <r>
    <n v="3780"/>
    <s v="City Fresh Store"/>
    <d v="2024-12-30T00:00:00"/>
    <s v="Produce"/>
    <s v="Salmon"/>
    <n v="2"/>
    <n v="15.87"/>
    <n v="31.74"/>
    <s v="Low"/>
    <n v="2.85"/>
    <n v="28.889999999999997"/>
    <x v="11"/>
    <n v="2024"/>
    <n v="233"/>
    <x v="0"/>
    <s v="Monday"/>
    <x v="0"/>
    <x v="1"/>
    <s v="Regular"/>
  </r>
  <r>
    <n v="4180"/>
    <s v="GreenGrocer Plaza"/>
    <d v="2024-03-24T00:00:00"/>
    <s v="Dairy"/>
    <s v="Cereal"/>
    <n v="2"/>
    <n v="26.74"/>
    <n v="53.48"/>
    <s v="Low"/>
    <n v="4.7699999999999996"/>
    <n v="48.709999999999994"/>
    <x v="6"/>
    <n v="2024"/>
    <n v="82"/>
    <x v="3"/>
    <s v="Sunday"/>
    <x v="0"/>
    <x v="0"/>
    <s v="Regular"/>
  </r>
  <r>
    <n v="7570"/>
    <s v="City Fresh Store"/>
    <d v="2025-07-07T00:00:00"/>
    <s v="Bakery"/>
    <s v="Orange Juice"/>
    <n v="1"/>
    <n v="29.44"/>
    <n v="29.44"/>
    <s v="Low"/>
    <n v="2.59"/>
    <n v="26.85"/>
    <x v="2"/>
    <n v="2025"/>
    <n v="188"/>
    <x v="2"/>
    <s v="Monday"/>
    <x v="0"/>
    <x v="1"/>
    <s v="Regular"/>
  </r>
  <r>
    <n v="7329"/>
    <s v="SuperSave Central"/>
    <d v="2024-09-01T00:00:00"/>
    <s v="Frozen Foods"/>
    <s v="Salmon"/>
    <n v="2"/>
    <n v="8.36"/>
    <n v="16.72"/>
    <s v="Low"/>
    <n v="1.47"/>
    <n v="15.249999999999998"/>
    <x v="1"/>
    <n v="2024"/>
    <n v="308"/>
    <x v="0"/>
    <s v="Sunday"/>
    <x v="0"/>
    <x v="0"/>
    <s v="Regular"/>
  </r>
  <r>
    <n v="2667"/>
    <s v="FamilyFood Express"/>
    <d v="2025-04-18T00:00:00"/>
    <s v="Health &amp; Wellness"/>
    <s v="Bananas"/>
    <n v="5"/>
    <n v="7.49"/>
    <n v="37.450000000000003"/>
    <s v="Low"/>
    <n v="3.28"/>
    <n v="34.17"/>
    <x v="9"/>
    <n v="2025"/>
    <n v="312"/>
    <x v="0"/>
    <s v="Friday"/>
    <x v="1"/>
    <x v="1"/>
    <s v="Regular"/>
  </r>
  <r>
    <n v="7981"/>
    <s v="ValuePlus Market"/>
    <d v="2023-12-14T00:00:00"/>
    <s v="Personal Care"/>
    <s v="Chicken Breast"/>
    <n v="2"/>
    <n v="14.2"/>
    <n v="28.4"/>
    <s v="Low"/>
    <n v="2.48"/>
    <n v="25.919999999999998"/>
    <x v="11"/>
    <n v="2023"/>
    <n v="16"/>
    <x v="1"/>
    <s v="Thursday"/>
    <x v="0"/>
    <x v="1"/>
    <s v="Regular"/>
  </r>
  <r>
    <n v="6781"/>
    <s v="FamilyFood Express"/>
    <d v="2023-09-13T00:00:00"/>
    <s v="Household Items"/>
    <s v="Tomatoes"/>
    <n v="5"/>
    <n v="10.32"/>
    <n v="51.6"/>
    <s v="Low"/>
    <n v="4.4800000000000004"/>
    <n v="47.120000000000005"/>
    <x v="1"/>
    <n v="2023"/>
    <n v="226"/>
    <x v="0"/>
    <s v="Wednesday"/>
    <x v="1"/>
    <x v="1"/>
    <s v="Regular"/>
  </r>
  <r>
    <n v="1897"/>
    <s v="Corner Grocery"/>
    <d v="2023-08-12T00:00:00"/>
    <s v="Snacks &amp; Candy"/>
    <s v="Bread"/>
    <n v="5"/>
    <n v="7.54"/>
    <n v="37.700000000000003"/>
    <s v="Low"/>
    <n v="3.27"/>
    <n v="34.43"/>
    <x v="5"/>
    <n v="2023"/>
    <n v="196"/>
    <x v="2"/>
    <s v="Saturday"/>
    <x v="1"/>
    <x v="0"/>
    <s v="Regular"/>
  </r>
  <r>
    <n v="4804"/>
    <s v="FreshMart Downtown"/>
    <d v="2024-09-25T00:00:00"/>
    <s v="Household Items"/>
    <s v="Yogurt"/>
    <n v="1"/>
    <n v="26.06"/>
    <n v="26.06"/>
    <s v="Low"/>
    <n v="2.23"/>
    <n v="23.83"/>
    <x v="1"/>
    <n v="2024"/>
    <n v="194"/>
    <x v="2"/>
    <s v="Wednesday"/>
    <x v="0"/>
    <x v="1"/>
    <s v="Regular"/>
  </r>
  <r>
    <n v="6507"/>
    <s v="QuickStop Market"/>
    <d v="2025-01-07T00:00:00"/>
    <s v="Canned Goods"/>
    <s v="Salmon"/>
    <n v="2"/>
    <n v="16.100000000000001"/>
    <n v="32.200000000000003"/>
    <s v="Low"/>
    <n v="2.75"/>
    <n v="29.450000000000003"/>
    <x v="8"/>
    <n v="2025"/>
    <n v="178"/>
    <x v="2"/>
    <s v="Tuesday"/>
    <x v="0"/>
    <x v="1"/>
    <s v="Regular"/>
  </r>
  <r>
    <n v="6654"/>
    <s v="FamilyFood Express"/>
    <d v="2025-03-29T00:00:00"/>
    <s v="Health &amp; Wellness"/>
    <s v="Cheese"/>
    <n v="4"/>
    <n v="6.3"/>
    <n v="25.2"/>
    <s v="Low"/>
    <n v="2.15"/>
    <n v="23.05"/>
    <x v="6"/>
    <n v="2025"/>
    <n v="181"/>
    <x v="2"/>
    <s v="Saturday"/>
    <x v="1"/>
    <x v="0"/>
    <s v="Regular"/>
  </r>
  <r>
    <n v="2631"/>
    <s v="GreenGrocer Plaza"/>
    <d v="2024-12-05T00:00:00"/>
    <s v="Produce"/>
    <s v="Chicken Breast"/>
    <n v="4"/>
    <n v="8.0299999999999994"/>
    <n v="32.119999999999997"/>
    <s v="Low"/>
    <n v="2.74"/>
    <n v="29.379999999999995"/>
    <x v="11"/>
    <n v="2024"/>
    <n v="253"/>
    <x v="0"/>
    <s v="Thursday"/>
    <x v="1"/>
    <x v="1"/>
    <s v="Regular"/>
  </r>
  <r>
    <n v="2419"/>
    <s v="ValuePlus Market"/>
    <d v="2024-03-10T00:00:00"/>
    <s v="Bakery"/>
    <s v="Eggs"/>
    <n v="1"/>
    <n v="28.03"/>
    <n v="28.03"/>
    <s v="Low"/>
    <n v="2.39"/>
    <n v="25.64"/>
    <x v="6"/>
    <n v="2024"/>
    <n v="12"/>
    <x v="1"/>
    <s v="Sunday"/>
    <x v="0"/>
    <x v="0"/>
    <s v="Regular"/>
  </r>
  <r>
    <n v="8062"/>
    <s v="GreenGrocer Plaza"/>
    <d v="2024-05-08T00:00:00"/>
    <s v="Snacks &amp; Candy"/>
    <s v="Chicken Breast"/>
    <n v="1"/>
    <n v="13.86"/>
    <n v="13.86"/>
    <s v="Low"/>
    <n v="1.18"/>
    <n v="12.68"/>
    <x v="3"/>
    <n v="2024"/>
    <n v="355"/>
    <x v="0"/>
    <s v="Wednesday"/>
    <x v="0"/>
    <x v="1"/>
    <s v="Regular"/>
  </r>
  <r>
    <n v="4954"/>
    <s v="GreenGrocer Plaza"/>
    <d v="2025-02-16T00:00:00"/>
    <s v="Produce"/>
    <s v="Bread"/>
    <n v="2"/>
    <n v="27.16"/>
    <n v="54.32"/>
    <s v="Low"/>
    <n v="4.62"/>
    <n v="49.7"/>
    <x v="4"/>
    <n v="2025"/>
    <n v="227"/>
    <x v="0"/>
    <s v="Sunday"/>
    <x v="0"/>
    <x v="0"/>
    <s v="Regular"/>
  </r>
  <r>
    <n v="9189"/>
    <s v="Corner Grocery"/>
    <d v="2025-05-24T00:00:00"/>
    <s v="Produce"/>
    <s v="Pasta"/>
    <n v="3"/>
    <n v="8.7799999999999994"/>
    <n v="26.34"/>
    <s v="Low"/>
    <n v="2.23"/>
    <n v="24.11"/>
    <x v="3"/>
    <n v="2025"/>
    <n v="128"/>
    <x v="2"/>
    <s v="Saturday"/>
    <x v="1"/>
    <x v="0"/>
    <s v="Regular"/>
  </r>
  <r>
    <n v="2899"/>
    <s v="City Fresh Store"/>
    <d v="2025-03-29T00:00:00"/>
    <s v="Personal Care"/>
    <s v="Apples"/>
    <n v="5"/>
    <n v="6.03"/>
    <n v="30.15"/>
    <s v="Low"/>
    <n v="2.5499999999999998"/>
    <n v="27.599999999999998"/>
    <x v="6"/>
    <n v="2025"/>
    <n v="417"/>
    <x v="0"/>
    <s v="Saturday"/>
    <x v="1"/>
    <x v="0"/>
    <s v="Regular"/>
  </r>
  <r>
    <n v="2680"/>
    <s v="FreshMart Downtown"/>
    <d v="2025-02-09T00:00:00"/>
    <s v="Beverages"/>
    <s v="Bananas"/>
    <n v="1"/>
    <n v="25.92"/>
    <n v="25.92"/>
    <s v="Low"/>
    <n v="2.19"/>
    <n v="23.73"/>
    <x v="4"/>
    <n v="2025"/>
    <n v="42"/>
    <x v="1"/>
    <s v="Sunday"/>
    <x v="0"/>
    <x v="0"/>
    <s v="Regular"/>
  </r>
  <r>
    <n v="6553"/>
    <s v="City Fresh Store"/>
    <d v="2025-05-10T00:00:00"/>
    <s v="Frozen Foods"/>
    <s v="Yogurt"/>
    <n v="5"/>
    <n v="9.76"/>
    <n v="48.8"/>
    <s v="Low"/>
    <n v="4.1100000000000003"/>
    <n v="44.69"/>
    <x v="3"/>
    <n v="2025"/>
    <n v="57"/>
    <x v="3"/>
    <s v="Saturday"/>
    <x v="1"/>
    <x v="0"/>
    <s v="Regular"/>
  </r>
  <r>
    <n v="1842"/>
    <s v="MegaMart Westside"/>
    <d v="2024-03-17T00:00:00"/>
    <s v="Personal Care"/>
    <s v="Ground Beef"/>
    <n v="2"/>
    <n v="20.21"/>
    <n v="40.42"/>
    <s v="Low"/>
    <n v="3.37"/>
    <n v="37.050000000000004"/>
    <x v="6"/>
    <n v="2024"/>
    <n v="39"/>
    <x v="1"/>
    <s v="Sunday"/>
    <x v="0"/>
    <x v="0"/>
    <s v="Regular"/>
  </r>
  <r>
    <n v="9401"/>
    <s v="Corner Grocery"/>
    <d v="2025-06-22T00:00:00"/>
    <s v="Snacks &amp; Candy"/>
    <s v="Tomatoes"/>
    <n v="1"/>
    <n v="26.89"/>
    <n v="26.89"/>
    <s v="Low"/>
    <n v="2.2400000000000002"/>
    <n v="24.65"/>
    <x v="10"/>
    <n v="2025"/>
    <n v="471"/>
    <x v="0"/>
    <s v="Sunday"/>
    <x v="0"/>
    <x v="0"/>
    <s v="Regular"/>
  </r>
  <r>
    <n v="3621"/>
    <s v="City Fresh Store"/>
    <d v="2023-08-31T00:00:00"/>
    <s v="Frozen Foods"/>
    <s v="Bread"/>
    <n v="2"/>
    <n v="21.5"/>
    <n v="43"/>
    <s v="Low"/>
    <n v="3.58"/>
    <n v="39.42"/>
    <x v="5"/>
    <n v="2023"/>
    <n v="292"/>
    <x v="0"/>
    <s v="Thursday"/>
    <x v="0"/>
    <x v="1"/>
    <s v="Regular"/>
  </r>
  <r>
    <n v="2679"/>
    <s v="SuperSave Central"/>
    <d v="2025-01-13T00:00:00"/>
    <s v="Snacks &amp; Candy"/>
    <s v="Cereal"/>
    <n v="3"/>
    <n v="5.5"/>
    <n v="16.5"/>
    <s v="Low"/>
    <n v="1.37"/>
    <n v="15.129999999999999"/>
    <x v="8"/>
    <n v="2025"/>
    <n v="490"/>
    <x v="0"/>
    <s v="Monday"/>
    <x v="1"/>
    <x v="1"/>
    <s v="Regular"/>
  </r>
  <r>
    <n v="3344"/>
    <s v="FamilyFood Express"/>
    <d v="2024-02-03T00:00:00"/>
    <s v="Bakery"/>
    <s v="Ground Beef"/>
    <n v="5"/>
    <n v="11.31"/>
    <n v="56.55"/>
    <s v="Low"/>
    <n v="4.68"/>
    <n v="51.87"/>
    <x v="4"/>
    <n v="2024"/>
    <n v="398"/>
    <x v="0"/>
    <s v="Saturday"/>
    <x v="1"/>
    <x v="0"/>
    <s v="Regular"/>
  </r>
  <r>
    <n v="2315"/>
    <s v="SuperSave Central"/>
    <d v="2025-05-29T00:00:00"/>
    <s v="Frozen Foods"/>
    <s v="Potatoes"/>
    <n v="2"/>
    <n v="27.38"/>
    <n v="54.76"/>
    <s v="Low"/>
    <n v="4.51"/>
    <n v="50.25"/>
    <x v="3"/>
    <n v="2025"/>
    <n v="42"/>
    <x v="1"/>
    <s v="Thursday"/>
    <x v="0"/>
    <x v="1"/>
    <s v="Regular"/>
  </r>
  <r>
    <n v="4376"/>
    <s v="Unknown Store"/>
    <d v="2023-09-28T00:00:00"/>
    <s v="Frozen Foods"/>
    <s v="Chicken Breast"/>
    <n v="2"/>
    <n v="18.57"/>
    <n v="37.14"/>
    <s v="Low"/>
    <n v="3.05"/>
    <n v="34.090000000000003"/>
    <x v="1"/>
    <n v="2023"/>
    <n v="274"/>
    <x v="0"/>
    <s v="Thursday"/>
    <x v="0"/>
    <x v="1"/>
    <s v="Regular"/>
  </r>
  <r>
    <n v="5135"/>
    <s v="City Fresh Store"/>
    <d v="2024-04-14T00:00:00"/>
    <s v="Health &amp; Wellness"/>
    <s v="Carrots"/>
    <n v="2"/>
    <n v="28.94"/>
    <n v="57.88"/>
    <s v="Low"/>
    <n v="4.74"/>
    <n v="53.14"/>
    <x v="9"/>
    <n v="2024"/>
    <n v="2"/>
    <x v="1"/>
    <s v="Sunday"/>
    <x v="0"/>
    <x v="0"/>
    <s v="Regular"/>
  </r>
  <r>
    <n v="4803"/>
    <s v="FreshMart Downtown"/>
    <d v="2025-05-19T00:00:00"/>
    <s v="Household Items"/>
    <s v="Orange Juice"/>
    <n v="4"/>
    <n v="11.99"/>
    <n v="47.96"/>
    <s v="Low"/>
    <n v="3.89"/>
    <n v="44.07"/>
    <x v="3"/>
    <n v="2025"/>
    <n v="224"/>
    <x v="0"/>
    <s v="Monday"/>
    <x v="1"/>
    <x v="1"/>
    <s v="Regular"/>
  </r>
  <r>
    <n v="1372"/>
    <s v="Corner Grocery"/>
    <d v="2024-03-25T00:00:00"/>
    <s v="Meat &amp; Seafood"/>
    <s v="Tomatoes"/>
    <n v="3"/>
    <n v="15.99"/>
    <n v="47.97"/>
    <s v="Low"/>
    <n v="3.84"/>
    <n v="44.129999999999995"/>
    <x v="6"/>
    <n v="2024"/>
    <n v="223"/>
    <x v="0"/>
    <s v="Monday"/>
    <x v="1"/>
    <x v="1"/>
    <s v="Regular"/>
  </r>
  <r>
    <n v="1272"/>
    <s v="ValuePlus Market"/>
    <d v="2024-05-19T00:00:00"/>
    <s v="Snacks &amp; Candy"/>
    <s v="Ground Beef"/>
    <n v="2"/>
    <n v="8.5"/>
    <n v="17"/>
    <s v="Low"/>
    <n v="1.36"/>
    <n v="15.64"/>
    <x v="3"/>
    <n v="2024"/>
    <n v="148"/>
    <x v="2"/>
    <s v="Sunday"/>
    <x v="0"/>
    <x v="0"/>
    <s v="Regular"/>
  </r>
  <r>
    <n v="9525"/>
    <s v="SuperSave Central"/>
    <d v="2024-07-15T00:00:00"/>
    <s v="Canned Goods"/>
    <s v="Rice"/>
    <n v="3"/>
    <n v="19.07"/>
    <n v="57.21"/>
    <s v="Low"/>
    <n v="4.5599999999999996"/>
    <n v="52.65"/>
    <x v="2"/>
    <n v="2024"/>
    <n v="481"/>
    <x v="0"/>
    <s v="Monday"/>
    <x v="1"/>
    <x v="1"/>
    <s v="Regular"/>
  </r>
  <r>
    <n v="6111"/>
    <s v="QuickStop Market"/>
    <d v="2024-10-27T00:00:00"/>
    <s v="Meat &amp; Seafood"/>
    <s v="Tomatoes"/>
    <n v="2"/>
    <n v="19.600000000000001"/>
    <n v="39.200000000000003"/>
    <s v="Low"/>
    <n v="3.12"/>
    <n v="36.080000000000005"/>
    <x v="7"/>
    <n v="2024"/>
    <n v="346"/>
    <x v="0"/>
    <s v="Sunday"/>
    <x v="0"/>
    <x v="0"/>
    <s v="Regular"/>
  </r>
  <r>
    <n v="2106"/>
    <s v="FreshMart Downtown"/>
    <d v="2023-08-17T00:00:00"/>
    <s v="Snacks &amp; Candy"/>
    <s v="Chicken Breast"/>
    <n v="2"/>
    <n v="23.09"/>
    <n v="46.18"/>
    <s v="Low"/>
    <n v="3.6"/>
    <n v="42.58"/>
    <x v="5"/>
    <n v="2023"/>
    <n v="18"/>
    <x v="1"/>
    <s v="Thursday"/>
    <x v="0"/>
    <x v="1"/>
    <s v="Regular"/>
  </r>
  <r>
    <n v="7071"/>
    <s v="FreshMart Downtown"/>
    <d v="2023-09-29T00:00:00"/>
    <s v="Frozen Foods"/>
    <s v="Yogurt"/>
    <n v="1"/>
    <n v="27.74"/>
    <n v="27.74"/>
    <s v="Low"/>
    <n v="2.15"/>
    <n v="25.59"/>
    <x v="1"/>
    <n v="2023"/>
    <n v="485"/>
    <x v="0"/>
    <s v="Friday"/>
    <x v="0"/>
    <x v="1"/>
    <s v="Regular"/>
  </r>
  <r>
    <n v="7625"/>
    <s v="QuickStop Market"/>
    <d v="2025-01-25T00:00:00"/>
    <s v="Meat &amp; Seafood"/>
    <s v="Bananas"/>
    <n v="3"/>
    <n v="18.309999999999999"/>
    <n v="54.93"/>
    <s v="Low"/>
    <n v="4.2300000000000004"/>
    <n v="50.7"/>
    <x v="8"/>
    <n v="2025"/>
    <n v="15"/>
    <x v="1"/>
    <s v="Saturday"/>
    <x v="1"/>
    <x v="0"/>
    <s v="Regular"/>
  </r>
  <r>
    <n v="4273"/>
    <s v="MegaMart Westside"/>
    <d v="2024-11-08T00:00:00"/>
    <s v="Dairy"/>
    <s v="Orange Juice"/>
    <n v="3"/>
    <n v="15.57"/>
    <n v="46.71"/>
    <s v="Low"/>
    <n v="3.59"/>
    <n v="43.120000000000005"/>
    <x v="0"/>
    <n v="2024"/>
    <n v="6"/>
    <x v="1"/>
    <s v="Friday"/>
    <x v="1"/>
    <x v="1"/>
    <s v="Regular"/>
  </r>
  <r>
    <n v="6427"/>
    <s v="FamilyFood Express"/>
    <d v="2025-01-11T00:00:00"/>
    <s v="Dairy"/>
    <s v="Orange Juice"/>
    <n v="2"/>
    <n v="25.74"/>
    <n v="51.48"/>
    <s v="Low"/>
    <n v="3.95"/>
    <n v="47.529999999999994"/>
    <x v="8"/>
    <n v="2025"/>
    <n v="488"/>
    <x v="0"/>
    <s v="Saturday"/>
    <x v="0"/>
    <x v="0"/>
    <s v="Regular"/>
  </r>
  <r>
    <n v="6062"/>
    <s v="FreshMart Downtown"/>
    <d v="2025-07-22T00:00:00"/>
    <s v="Household Items"/>
    <s v="Potatoes"/>
    <n v="2"/>
    <n v="21.64"/>
    <n v="43.28"/>
    <s v="Low"/>
    <n v="3.31"/>
    <n v="39.97"/>
    <x v="2"/>
    <n v="2025"/>
    <n v="137"/>
    <x v="2"/>
    <s v="Tuesday"/>
    <x v="0"/>
    <x v="1"/>
    <s v="Regular"/>
  </r>
  <r>
    <n v="6364"/>
    <s v="City Fresh Store"/>
    <d v="2025-08-01T00:00:00"/>
    <s v="Bakery"/>
    <s v="Bread"/>
    <n v="3"/>
    <n v="19.84"/>
    <n v="59.52"/>
    <s v="Low"/>
    <n v="4.54"/>
    <n v="54.980000000000004"/>
    <x v="5"/>
    <n v="2025"/>
    <n v="188"/>
    <x v="2"/>
    <s v="Friday"/>
    <x v="1"/>
    <x v="1"/>
    <s v="Regular"/>
  </r>
  <r>
    <n v="5581"/>
    <s v="QuickStop Market"/>
    <d v="2025-06-20T00:00:00"/>
    <s v="Household Items"/>
    <s v="Milk"/>
    <n v="2"/>
    <n v="25.23"/>
    <n v="50.46"/>
    <s v="Low"/>
    <n v="3.84"/>
    <n v="46.620000000000005"/>
    <x v="10"/>
    <n v="2025"/>
    <n v="167"/>
    <x v="2"/>
    <s v="Friday"/>
    <x v="0"/>
    <x v="1"/>
    <s v="Regular"/>
  </r>
  <r>
    <n v="3361"/>
    <s v="MegaMart Westside"/>
    <d v="2024-06-20T00:00:00"/>
    <s v="Beverages"/>
    <s v="Bread"/>
    <n v="2"/>
    <n v="11.96"/>
    <n v="23.92"/>
    <s v="Low"/>
    <n v="1.81"/>
    <n v="22.110000000000003"/>
    <x v="10"/>
    <n v="2024"/>
    <n v="67"/>
    <x v="3"/>
    <s v="Thursday"/>
    <x v="0"/>
    <x v="1"/>
    <s v="Regular"/>
  </r>
  <r>
    <n v="6272"/>
    <s v="FreshMart Downtown"/>
    <d v="2024-02-15T00:00:00"/>
    <s v="Canned Goods"/>
    <s v="Chicken Breast"/>
    <n v="1"/>
    <n v="28.63"/>
    <n v="28.63"/>
    <s v="Low"/>
    <n v="2.16"/>
    <n v="26.47"/>
    <x v="4"/>
    <n v="2024"/>
    <n v="361"/>
    <x v="0"/>
    <s v="Thursday"/>
    <x v="0"/>
    <x v="1"/>
    <s v="Regular"/>
  </r>
  <r>
    <n v="7439"/>
    <s v="City Fresh Store"/>
    <d v="2024-09-20T00:00:00"/>
    <s v="Snacks &amp; Candy"/>
    <s v="Tomatoes"/>
    <n v="1"/>
    <n v="28.24"/>
    <n v="28.24"/>
    <s v="Low"/>
    <n v="2.13"/>
    <n v="26.11"/>
    <x v="1"/>
    <n v="2024"/>
    <n v="400"/>
    <x v="0"/>
    <s v="Friday"/>
    <x v="0"/>
    <x v="1"/>
    <s v="Regular"/>
  </r>
  <r>
    <n v="9903"/>
    <s v="GreenGrocer Plaza"/>
    <d v="2024-05-25T00:00:00"/>
    <s v="Produce"/>
    <s v="Carrots"/>
    <n v="1"/>
    <n v="24.56"/>
    <n v="24.56"/>
    <s v="Low"/>
    <n v="1.85"/>
    <n v="22.709999999999997"/>
    <x v="3"/>
    <n v="2024"/>
    <n v="296"/>
    <x v="0"/>
    <s v="Saturday"/>
    <x v="0"/>
    <x v="0"/>
    <s v="Regular"/>
  </r>
  <r>
    <n v="5478"/>
    <s v="QuickStop Market"/>
    <d v="2025-04-06T00:00:00"/>
    <s v="Beverages"/>
    <s v="Salmon"/>
    <n v="2"/>
    <n v="26.67"/>
    <n v="53.34"/>
    <s v="Low"/>
    <n v="4.01"/>
    <n v="49.330000000000005"/>
    <x v="9"/>
    <n v="2025"/>
    <n v="147"/>
    <x v="2"/>
    <s v="Sunday"/>
    <x v="0"/>
    <x v="0"/>
    <s v="Regular"/>
  </r>
  <r>
    <n v="4984"/>
    <s v="ValuePlus Market"/>
    <d v="2025-01-29T00:00:00"/>
    <s v="Bakery"/>
    <s v="Chicken Breast"/>
    <n v="3"/>
    <n v="22.01"/>
    <n v="66.03"/>
    <s v="Low"/>
    <n v="4.91"/>
    <n v="61.120000000000005"/>
    <x v="8"/>
    <n v="2025"/>
    <n v="403"/>
    <x v="0"/>
    <s v="Wednesday"/>
    <x v="1"/>
    <x v="1"/>
    <s v="Regular"/>
  </r>
  <r>
    <n v="4527"/>
    <s v="QuickStop Market"/>
    <d v="2025-03-22T00:00:00"/>
    <s v="Bakery"/>
    <s v="Milk"/>
    <n v="2"/>
    <n v="26.45"/>
    <n v="52.9"/>
    <s v="Low"/>
    <n v="3.93"/>
    <n v="48.97"/>
    <x v="6"/>
    <n v="2025"/>
    <n v="484"/>
    <x v="0"/>
    <s v="Saturday"/>
    <x v="0"/>
    <x v="0"/>
    <s v="Regular"/>
  </r>
  <r>
    <n v="7209"/>
    <s v="FamilyFood Express"/>
    <d v="2023-08-08T00:00:00"/>
    <s v="Meat &amp; Seafood"/>
    <s v="Yogurt"/>
    <n v="1"/>
    <n v="25.05"/>
    <n v="25.05"/>
    <s v="Low"/>
    <n v="1.86"/>
    <n v="23.19"/>
    <x v="5"/>
    <n v="2023"/>
    <n v="283"/>
    <x v="0"/>
    <s v="Tuesday"/>
    <x v="0"/>
    <x v="1"/>
    <s v="Regular"/>
  </r>
  <r>
    <n v="9019"/>
    <s v="FamilyFood Express"/>
    <d v="2024-09-19T00:00:00"/>
    <s v="Health &amp; Wellness"/>
    <s v="Salmon"/>
    <n v="2"/>
    <n v="24.1"/>
    <n v="48.2"/>
    <s v="Low"/>
    <n v="3.57"/>
    <n v="44.63"/>
    <x v="1"/>
    <n v="2024"/>
    <n v="498"/>
    <x v="0"/>
    <s v="Thursday"/>
    <x v="0"/>
    <x v="1"/>
    <s v="Regular"/>
  </r>
  <r>
    <n v="2133"/>
    <s v="City Fresh Store"/>
    <d v="2025-03-19T00:00:00"/>
    <s v="Beverages"/>
    <s v="Cereal"/>
    <n v="2"/>
    <n v="28.99"/>
    <n v="57.98"/>
    <s v="Low"/>
    <n v="4.29"/>
    <n v="53.69"/>
    <x v="6"/>
    <n v="2025"/>
    <n v="129"/>
    <x v="2"/>
    <s v="Wednesday"/>
    <x v="0"/>
    <x v="1"/>
    <s v="Regular"/>
  </r>
  <r>
    <n v="1878"/>
    <s v="FamilyFood Express"/>
    <d v="2025-06-09T00:00:00"/>
    <s v="Household Items"/>
    <s v="Potatoes"/>
    <n v="3"/>
    <n v="17.5"/>
    <n v="52.5"/>
    <s v="Low"/>
    <n v="3.88"/>
    <n v="48.62"/>
    <x v="10"/>
    <n v="2025"/>
    <n v="297"/>
    <x v="0"/>
    <s v="Monday"/>
    <x v="1"/>
    <x v="1"/>
    <s v="Regular"/>
  </r>
  <r>
    <n v="6977"/>
    <s v="MegaMart Westside"/>
    <d v="2025-02-25T00:00:00"/>
    <s v="Produce"/>
    <s v="Eggs"/>
    <n v="1"/>
    <n v="29.11"/>
    <n v="29.11"/>
    <s v="Low"/>
    <n v="2.13"/>
    <n v="26.98"/>
    <x v="4"/>
    <n v="2025"/>
    <n v="11"/>
    <x v="1"/>
    <s v="Tuesday"/>
    <x v="0"/>
    <x v="1"/>
    <s v="Regular"/>
  </r>
  <r>
    <n v="9518"/>
    <s v="FreshMart Downtown"/>
    <d v="2025-07-25T00:00:00"/>
    <s v="Meat &amp; Seafood"/>
    <s v="Carrots"/>
    <n v="2"/>
    <n v="17.260000000000002"/>
    <n v="34.520000000000003"/>
    <s v="Low"/>
    <n v="2.5099999999999998"/>
    <n v="32.010000000000005"/>
    <x v="2"/>
    <n v="2025"/>
    <n v="339"/>
    <x v="0"/>
    <s v="Friday"/>
    <x v="0"/>
    <x v="1"/>
    <s v="Regular"/>
  </r>
  <r>
    <n v="9756"/>
    <s v="ValuePlus Market"/>
    <d v="2024-06-10T00:00:00"/>
    <s v="Health &amp; Wellness"/>
    <s v="Rice"/>
    <n v="2"/>
    <n v="27.76"/>
    <n v="55.52"/>
    <s v="Low"/>
    <n v="4.0199999999999996"/>
    <n v="51.5"/>
    <x v="10"/>
    <n v="2024"/>
    <n v="313"/>
    <x v="0"/>
    <s v="Monday"/>
    <x v="0"/>
    <x v="1"/>
    <s v="Regular"/>
  </r>
  <r>
    <n v="1040"/>
    <s v="ValuePlus Market"/>
    <d v="2025-06-11T00:00:00"/>
    <s v="Bakery"/>
    <s v="Eggs"/>
    <n v="2"/>
    <n v="23.49"/>
    <n v="46.98"/>
    <s v="Low"/>
    <n v="3.4"/>
    <n v="43.58"/>
    <x v="10"/>
    <n v="2025"/>
    <n v="101"/>
    <x v="2"/>
    <s v="Wednesday"/>
    <x v="0"/>
    <x v="1"/>
    <s v="Regular"/>
  </r>
  <r>
    <n v="6493"/>
    <s v="SuperSave Central"/>
    <d v="2025-04-12T00:00:00"/>
    <s v="Produce"/>
    <s v="Tomatoes"/>
    <n v="5"/>
    <n v="13.43"/>
    <n v="67.150000000000006"/>
    <s v="Low"/>
    <n v="4.83"/>
    <n v="62.320000000000007"/>
    <x v="9"/>
    <n v="2025"/>
    <n v="133"/>
    <x v="2"/>
    <s v="Saturday"/>
    <x v="1"/>
    <x v="0"/>
    <s v="Regular"/>
  </r>
  <r>
    <n v="9595"/>
    <s v="Corner Grocery"/>
    <d v="2024-11-12T00:00:00"/>
    <s v="Beverages"/>
    <s v="Tomatoes"/>
    <n v="3"/>
    <n v="16.82"/>
    <n v="50.46"/>
    <s v="Low"/>
    <n v="3.6"/>
    <n v="46.86"/>
    <x v="0"/>
    <n v="2024"/>
    <n v="51"/>
    <x v="3"/>
    <s v="Tuesday"/>
    <x v="1"/>
    <x v="1"/>
    <s v="Regular"/>
  </r>
  <r>
    <n v="1251"/>
    <s v="MegaMart Westside"/>
    <d v="2024-01-18T00:00:00"/>
    <s v="Beverages"/>
    <s v="Bananas"/>
    <n v="3"/>
    <n v="9.7200000000000006"/>
    <n v="29.16"/>
    <s v="Low"/>
    <n v="2.08"/>
    <n v="27.08"/>
    <x v="8"/>
    <n v="2024"/>
    <n v="170"/>
    <x v="2"/>
    <s v="Thursday"/>
    <x v="1"/>
    <x v="1"/>
    <s v="Regular"/>
  </r>
  <r>
    <n v="8355"/>
    <s v="MegaMart Westside"/>
    <d v="2024-02-04T00:00:00"/>
    <s v="Snacks &amp; Candy"/>
    <s v="Tomatoes"/>
    <n v="3"/>
    <n v="17.59"/>
    <n v="52.77"/>
    <s v="Low"/>
    <n v="3.76"/>
    <n v="49.010000000000005"/>
    <x v="4"/>
    <n v="2024"/>
    <n v="413"/>
    <x v="0"/>
    <s v="Sunday"/>
    <x v="1"/>
    <x v="0"/>
    <s v="Regular"/>
  </r>
  <r>
    <n v="6279"/>
    <s v="City Fresh Store"/>
    <d v="2024-08-02T00:00:00"/>
    <s v="Meat &amp; Seafood"/>
    <s v="Salmon"/>
    <n v="5"/>
    <n v="11.83"/>
    <n v="59.15"/>
    <s v="Low"/>
    <n v="4.21"/>
    <n v="54.94"/>
    <x v="5"/>
    <n v="2024"/>
    <n v="359"/>
    <x v="0"/>
    <s v="Friday"/>
    <x v="1"/>
    <x v="1"/>
    <s v="Regular"/>
  </r>
  <r>
    <n v="6635"/>
    <s v="FamilyFood Express"/>
    <d v="2024-11-17T00:00:00"/>
    <s v="Dairy"/>
    <s v="Cereal"/>
    <n v="1"/>
    <n v="18.05"/>
    <n v="18.05"/>
    <s v="Low"/>
    <n v="1.28"/>
    <n v="16.77"/>
    <x v="0"/>
    <n v="2024"/>
    <n v="117"/>
    <x v="2"/>
    <s v="Sunday"/>
    <x v="0"/>
    <x v="0"/>
    <s v="Regular"/>
  </r>
  <r>
    <n v="4130"/>
    <s v="FamilyFood Express"/>
    <d v="2023-10-12T00:00:00"/>
    <s v="Meat &amp; Seafood"/>
    <s v="Yogurt"/>
    <n v="4"/>
    <n v="11.78"/>
    <n v="47.12"/>
    <s v="Low"/>
    <n v="3.34"/>
    <n v="43.78"/>
    <x v="7"/>
    <n v="2023"/>
    <n v="322"/>
    <x v="0"/>
    <s v="Thursday"/>
    <x v="1"/>
    <x v="1"/>
    <s v="Regular"/>
  </r>
  <r>
    <n v="3725"/>
    <s v="ValuePlus Market"/>
    <d v="2025-01-27T00:00:00"/>
    <s v="Frozen Foods"/>
    <s v="Yogurt"/>
    <n v="1"/>
    <n v="23.72"/>
    <n v="23.72"/>
    <s v="Low"/>
    <n v="1.68"/>
    <n v="22.04"/>
    <x v="8"/>
    <n v="2025"/>
    <n v="261"/>
    <x v="0"/>
    <s v="Monday"/>
    <x v="0"/>
    <x v="1"/>
    <s v="Regular"/>
  </r>
  <r>
    <n v="9698"/>
    <s v="Corner Grocery"/>
    <d v="2024-04-30T00:00:00"/>
    <s v="Canned Goods"/>
    <s v="Apples"/>
    <n v="2"/>
    <n v="7.85"/>
    <n v="15.7"/>
    <s v="Low"/>
    <n v="1.1100000000000001"/>
    <n v="14.59"/>
    <x v="9"/>
    <n v="2024"/>
    <n v="162"/>
    <x v="2"/>
    <s v="Tuesday"/>
    <x v="0"/>
    <x v="1"/>
    <s v="Regular"/>
  </r>
  <r>
    <n v="8141"/>
    <s v="MegaMart Westside"/>
    <d v="2024-12-12T00:00:00"/>
    <s v="Health &amp; Wellness"/>
    <s v="Tomatoes"/>
    <n v="2"/>
    <n v="25.32"/>
    <n v="50.64"/>
    <s v="Low"/>
    <n v="3.57"/>
    <n v="47.07"/>
    <x v="11"/>
    <n v="2024"/>
    <n v="285"/>
    <x v="0"/>
    <s v="Thursday"/>
    <x v="0"/>
    <x v="1"/>
    <s v="Regular"/>
  </r>
  <r>
    <n v="4203"/>
    <s v="SuperSave Central"/>
    <d v="2024-07-27T00:00:00"/>
    <s v="Frozen Foods"/>
    <s v="Carrots"/>
    <n v="2"/>
    <n v="24.27"/>
    <n v="48.54"/>
    <s v="Low"/>
    <n v="3.42"/>
    <n v="45.12"/>
    <x v="2"/>
    <n v="2024"/>
    <n v="487"/>
    <x v="0"/>
    <s v="Saturday"/>
    <x v="0"/>
    <x v="0"/>
    <s v="Regular"/>
  </r>
  <r>
    <n v="7337"/>
    <s v="FreshMart Downtown"/>
    <d v="2025-06-05T00:00:00"/>
    <s v="Health &amp; Wellness"/>
    <s v="Carrots"/>
    <n v="2"/>
    <n v="23.28"/>
    <n v="46.56"/>
    <s v="Low"/>
    <n v="3.28"/>
    <n v="43.28"/>
    <x v="10"/>
    <n v="2025"/>
    <n v="371"/>
    <x v="0"/>
    <s v="Thursday"/>
    <x v="0"/>
    <x v="1"/>
    <s v="Regular"/>
  </r>
  <r>
    <n v="9379"/>
    <s v="QuickStop Market"/>
    <d v="2023-11-04T00:00:00"/>
    <s v="Beverages"/>
    <s v="Bananas"/>
    <n v="3"/>
    <n v="10.6"/>
    <n v="31.8"/>
    <s v="Low"/>
    <n v="2.23"/>
    <n v="29.57"/>
    <x v="0"/>
    <n v="2023"/>
    <n v="56"/>
    <x v="3"/>
    <s v="Saturday"/>
    <x v="1"/>
    <x v="0"/>
    <s v="Regular"/>
  </r>
  <r>
    <n v="8606"/>
    <s v="City Fresh Store"/>
    <d v="2025-07-13T00:00:00"/>
    <s v="Beverages"/>
    <s v="Tomatoes"/>
    <n v="1"/>
    <n v="22.05"/>
    <n v="22.05"/>
    <s v="Low"/>
    <n v="1.54"/>
    <n v="20.51"/>
    <x v="2"/>
    <n v="2025"/>
    <n v="145"/>
    <x v="2"/>
    <s v="Sunday"/>
    <x v="0"/>
    <x v="0"/>
    <s v="Regular"/>
  </r>
  <r>
    <n v="2936"/>
    <s v="MegaMart Westside"/>
    <d v="2024-08-02T00:00:00"/>
    <s v="Canned Goods"/>
    <s v="Potatoes"/>
    <n v="4"/>
    <n v="14.95"/>
    <n v="59.8"/>
    <s v="Low"/>
    <n v="4.17"/>
    <n v="55.629999999999995"/>
    <x v="5"/>
    <n v="2024"/>
    <n v="498"/>
    <x v="0"/>
    <s v="Friday"/>
    <x v="1"/>
    <x v="1"/>
    <s v="Regular"/>
  </r>
  <r>
    <n v="5554"/>
    <s v="Corner Grocery"/>
    <d v="2024-07-24T00:00:00"/>
    <s v="Meat &amp; Seafood"/>
    <s v="Rice"/>
    <n v="4"/>
    <n v="10.16"/>
    <n v="40.64"/>
    <s v="Low"/>
    <n v="2.83"/>
    <n v="37.81"/>
    <x v="2"/>
    <n v="2024"/>
    <n v="384"/>
    <x v="0"/>
    <s v="Wednesday"/>
    <x v="1"/>
    <x v="1"/>
    <s v="Regular"/>
  </r>
  <r>
    <n v="9123"/>
    <s v="QuickStop Market"/>
    <d v="2024-11-10T00:00:00"/>
    <s v="Health &amp; Wellness"/>
    <s v="Pasta"/>
    <n v="5"/>
    <n v="10.34"/>
    <n v="51.7"/>
    <s v="Low"/>
    <n v="3.6"/>
    <n v="48.1"/>
    <x v="0"/>
    <n v="2024"/>
    <n v="455"/>
    <x v="0"/>
    <s v="Sunday"/>
    <x v="1"/>
    <x v="0"/>
    <s v="Regular"/>
  </r>
  <r>
    <n v="5183"/>
    <s v="FamilyFood Express"/>
    <d v="2025-01-05T00:00:00"/>
    <s v="Household Items"/>
    <s v="Eggs"/>
    <n v="1"/>
    <n v="16.239999999999998"/>
    <n v="16.239999999999998"/>
    <s v="Low"/>
    <n v="1.1299999999999999"/>
    <n v="15.11"/>
    <x v="8"/>
    <n v="2025"/>
    <n v="216"/>
    <x v="0"/>
    <s v="Sunday"/>
    <x v="0"/>
    <x v="0"/>
    <s v="Regular"/>
  </r>
  <r>
    <n v="6439"/>
    <s v="City Fresh Store"/>
    <d v="2025-06-12T00:00:00"/>
    <s v="Beverages"/>
    <s v="Yogurt"/>
    <n v="5"/>
    <n v="5.67"/>
    <n v="28.35"/>
    <s v="Low"/>
    <n v="1.97"/>
    <n v="26.380000000000003"/>
    <x v="10"/>
    <n v="2025"/>
    <n v="426"/>
    <x v="0"/>
    <s v="Thursday"/>
    <x v="1"/>
    <x v="1"/>
    <s v="Regular"/>
  </r>
  <r>
    <n v="7897"/>
    <s v="GreenGrocer Plaza"/>
    <d v="2024-09-18T00:00:00"/>
    <s v="Meat &amp; Seafood"/>
    <s v="Onions"/>
    <n v="2"/>
    <n v="12.39"/>
    <n v="24.78"/>
    <s v="Low"/>
    <n v="1.72"/>
    <n v="23.060000000000002"/>
    <x v="1"/>
    <n v="2024"/>
    <n v="165"/>
    <x v="2"/>
    <s v="Wednesday"/>
    <x v="0"/>
    <x v="1"/>
    <s v="Regular"/>
  </r>
  <r>
    <n v="2494"/>
    <s v="ValuePlus Market"/>
    <d v="2025-02-09T00:00:00"/>
    <s v="Beverages"/>
    <s v="Yogurt"/>
    <n v="5"/>
    <n v="12.9"/>
    <n v="64.5"/>
    <s v="Low"/>
    <n v="4.45"/>
    <n v="60.05"/>
    <x v="4"/>
    <n v="2025"/>
    <n v="5"/>
    <x v="1"/>
    <s v="Sunday"/>
    <x v="1"/>
    <x v="0"/>
    <s v="Regular"/>
  </r>
  <r>
    <n v="5325"/>
    <s v="ValuePlus Market"/>
    <d v="2024-09-02T00:00:00"/>
    <s v="Dairy"/>
    <s v="Rice"/>
    <n v="1"/>
    <n v="23.12"/>
    <n v="23.12"/>
    <s v="Low"/>
    <n v="1.59"/>
    <n v="21.53"/>
    <x v="1"/>
    <n v="2024"/>
    <n v="139"/>
    <x v="2"/>
    <s v="Monday"/>
    <x v="0"/>
    <x v="1"/>
    <s v="Regular"/>
  </r>
  <r>
    <n v="7043"/>
    <s v="SuperSave Central"/>
    <d v="2023-12-15T00:00:00"/>
    <s v="Health &amp; Wellness"/>
    <s v="Rice"/>
    <n v="2"/>
    <n v="26.35"/>
    <n v="52.7"/>
    <s v="Low"/>
    <n v="3.62"/>
    <n v="49.080000000000005"/>
    <x v="11"/>
    <n v="2023"/>
    <n v="448"/>
    <x v="0"/>
    <s v="Friday"/>
    <x v="0"/>
    <x v="1"/>
    <s v="Regular"/>
  </r>
  <r>
    <n v="9327"/>
    <s v="SuperSave Central"/>
    <d v="2025-03-08T00:00:00"/>
    <s v="Frozen Foods"/>
    <s v="Orange Juice"/>
    <n v="1"/>
    <n v="17.04"/>
    <n v="17.04"/>
    <s v="Low"/>
    <n v="1.17"/>
    <n v="15.87"/>
    <x v="6"/>
    <n v="2025"/>
    <n v="284"/>
    <x v="0"/>
    <s v="Saturday"/>
    <x v="0"/>
    <x v="0"/>
    <s v="Regular"/>
  </r>
  <r>
    <n v="1894"/>
    <s v="QuickStop Market"/>
    <d v="2025-04-06T00:00:00"/>
    <s v="Bakery"/>
    <s v="Potatoes"/>
    <n v="3"/>
    <n v="18.39"/>
    <n v="55.17"/>
    <s v="Low"/>
    <n v="3.78"/>
    <n v="51.39"/>
    <x v="9"/>
    <n v="2025"/>
    <n v="320"/>
    <x v="0"/>
    <s v="Sunday"/>
    <x v="1"/>
    <x v="0"/>
    <s v="Regular"/>
  </r>
  <r>
    <n v="5557"/>
    <s v="GreenGrocer Plaza"/>
    <d v="2025-04-26T00:00:00"/>
    <s v="Meat &amp; Seafood"/>
    <s v="Apples"/>
    <n v="4"/>
    <n v="18.29"/>
    <n v="73.16"/>
    <s v="Low"/>
    <n v="4.9800000000000004"/>
    <n v="68.179999999999993"/>
    <x v="9"/>
    <n v="2025"/>
    <n v="197"/>
    <x v="2"/>
    <s v="Saturday"/>
    <x v="1"/>
    <x v="0"/>
    <s v="Regular"/>
  </r>
  <r>
    <n v="3088"/>
    <s v="City Fresh Store"/>
    <d v="2023-09-08T00:00:00"/>
    <s v="Snacks &amp; Candy"/>
    <s v="Cereal"/>
    <n v="2"/>
    <n v="15.38"/>
    <n v="30.76"/>
    <s v="Low"/>
    <n v="2.0699999999999998"/>
    <n v="28.69"/>
    <x v="1"/>
    <n v="2023"/>
    <n v="254"/>
    <x v="0"/>
    <s v="Friday"/>
    <x v="0"/>
    <x v="1"/>
    <s v="Regular"/>
  </r>
  <r>
    <n v="8238"/>
    <s v="FamilyFood Express"/>
    <d v="2024-07-15T00:00:00"/>
    <s v="Bakery"/>
    <s v="Bread"/>
    <n v="5"/>
    <n v="13.95"/>
    <n v="69.75"/>
    <s v="Low"/>
    <n v="4.67"/>
    <n v="65.08"/>
    <x v="2"/>
    <n v="2024"/>
    <n v="360"/>
    <x v="0"/>
    <s v="Monday"/>
    <x v="1"/>
    <x v="1"/>
    <s v="Regular"/>
  </r>
  <r>
    <n v="2121"/>
    <s v="Corner Grocery"/>
    <d v="2024-02-05T00:00:00"/>
    <s v="Meat &amp; Seafood"/>
    <s v="Chicken Breast"/>
    <n v="2"/>
    <n v="13.94"/>
    <n v="27.88"/>
    <s v="Low"/>
    <n v="1.86"/>
    <n v="26.02"/>
    <x v="4"/>
    <n v="2024"/>
    <n v="358"/>
    <x v="0"/>
    <s v="Monday"/>
    <x v="0"/>
    <x v="1"/>
    <s v="Regular"/>
  </r>
  <r>
    <n v="1554"/>
    <s v="City Fresh Store"/>
    <d v="2025-05-19T00:00:00"/>
    <s v="Health &amp; Wellness"/>
    <s v="Potatoes"/>
    <n v="3"/>
    <n v="23.03"/>
    <n v="69.09"/>
    <s v="Low"/>
    <n v="4.5999999999999996"/>
    <n v="64.490000000000009"/>
    <x v="3"/>
    <n v="2025"/>
    <n v="395"/>
    <x v="0"/>
    <s v="Monday"/>
    <x v="1"/>
    <x v="1"/>
    <s v="Regular"/>
  </r>
  <r>
    <n v="4882"/>
    <s v="QuickStop Market"/>
    <d v="2024-01-17T00:00:00"/>
    <s v="Bakery"/>
    <s v="Cereal"/>
    <n v="5"/>
    <n v="14.26"/>
    <n v="71.3"/>
    <s v="Low"/>
    <n v="4.7"/>
    <n v="66.599999999999994"/>
    <x v="8"/>
    <n v="2024"/>
    <n v="340"/>
    <x v="0"/>
    <s v="Wednesday"/>
    <x v="1"/>
    <x v="1"/>
    <s v="Regular"/>
  </r>
  <r>
    <n v="2314"/>
    <s v="QuickStop Market"/>
    <d v="2025-01-18T00:00:00"/>
    <s v="Health &amp; Wellness"/>
    <s v="Cheese"/>
    <n v="3"/>
    <n v="21.35"/>
    <n v="64.05"/>
    <s v="Low"/>
    <n v="4.22"/>
    <n v="59.83"/>
    <x v="8"/>
    <n v="2025"/>
    <n v="480"/>
    <x v="0"/>
    <s v="Saturday"/>
    <x v="1"/>
    <x v="0"/>
    <s v="Regular"/>
  </r>
  <r>
    <n v="7334"/>
    <s v="Corner Grocery"/>
    <d v="2024-04-26T00:00:00"/>
    <s v="Health &amp; Wellness"/>
    <s v="Onions"/>
    <n v="3"/>
    <n v="21.91"/>
    <n v="65.73"/>
    <s v="Low"/>
    <n v="4.3099999999999996"/>
    <n v="61.42"/>
    <x v="9"/>
    <n v="2024"/>
    <n v="160"/>
    <x v="2"/>
    <s v="Friday"/>
    <x v="1"/>
    <x v="1"/>
    <s v="Regular"/>
  </r>
  <r>
    <n v="8121"/>
    <s v="Corner Grocery"/>
    <d v="2024-03-08T00:00:00"/>
    <s v="Produce"/>
    <s v="Pasta"/>
    <n v="2"/>
    <n v="22.89"/>
    <n v="45.78"/>
    <s v="Low"/>
    <n v="3"/>
    <n v="42.78"/>
    <x v="6"/>
    <n v="2024"/>
    <n v="406"/>
    <x v="0"/>
    <s v="Friday"/>
    <x v="0"/>
    <x v="1"/>
    <s v="Regular"/>
  </r>
  <r>
    <n v="4733"/>
    <s v="MegaMart Westside"/>
    <d v="2025-03-29T00:00:00"/>
    <s v="Produce"/>
    <s v="Milk"/>
    <n v="5"/>
    <n v="14.82"/>
    <n v="74.099999999999994"/>
    <s v="Low"/>
    <n v="4.84"/>
    <n v="69.259999999999991"/>
    <x v="6"/>
    <n v="2025"/>
    <n v="470"/>
    <x v="0"/>
    <s v="Saturday"/>
    <x v="1"/>
    <x v="0"/>
    <s v="Regular"/>
  </r>
  <r>
    <n v="6484"/>
    <s v="MegaMart Westside"/>
    <d v="2024-07-06T00:00:00"/>
    <s v="Household Items"/>
    <s v="Tomatoes"/>
    <n v="3"/>
    <n v="17.260000000000002"/>
    <n v="51.78"/>
    <s v="Low"/>
    <n v="3.37"/>
    <n v="48.410000000000004"/>
    <x v="2"/>
    <n v="2024"/>
    <n v="328"/>
    <x v="0"/>
    <s v="Saturday"/>
    <x v="1"/>
    <x v="0"/>
    <s v="Regular"/>
  </r>
  <r>
    <n v="6085"/>
    <s v="MegaMart Westside"/>
    <d v="2024-01-28T00:00:00"/>
    <s v="Dairy"/>
    <s v="Apples"/>
    <n v="5"/>
    <n v="12.39"/>
    <n v="61.95"/>
    <s v="Low"/>
    <n v="4.0199999999999996"/>
    <n v="57.930000000000007"/>
    <x v="8"/>
    <n v="2024"/>
    <n v="65"/>
    <x v="3"/>
    <s v="Sunday"/>
    <x v="1"/>
    <x v="0"/>
    <s v="Regular"/>
  </r>
  <r>
    <n v="3830"/>
    <s v="City Fresh Store"/>
    <d v="2025-03-21T00:00:00"/>
    <s v="Produce"/>
    <s v="Salmon"/>
    <n v="1"/>
    <n v="25.45"/>
    <n v="25.45"/>
    <s v="Low"/>
    <n v="1.64"/>
    <n v="23.81"/>
    <x v="6"/>
    <n v="2025"/>
    <n v="308"/>
    <x v="0"/>
    <s v="Friday"/>
    <x v="0"/>
    <x v="1"/>
    <s v="Regular"/>
  </r>
  <r>
    <n v="7046"/>
    <s v="MegaMart Westside"/>
    <d v="2024-07-25T00:00:00"/>
    <s v="Snacks &amp; Candy"/>
    <s v="Bananas"/>
    <n v="5"/>
    <n v="4.6500000000000004"/>
    <n v="23.25"/>
    <s v="Low"/>
    <n v="1.48"/>
    <n v="21.77"/>
    <x v="2"/>
    <n v="2024"/>
    <n v="116"/>
    <x v="2"/>
    <s v="Thursday"/>
    <x v="1"/>
    <x v="1"/>
    <s v="Regular"/>
  </r>
  <r>
    <n v="8118"/>
    <s v="SuperSave Central"/>
    <d v="2023-11-05T00:00:00"/>
    <s v="Snacks &amp; Candy"/>
    <s v="Potatoes"/>
    <n v="4"/>
    <n v="14.82"/>
    <n v="59.28"/>
    <s v="Low"/>
    <n v="3.75"/>
    <n v="55.53"/>
    <x v="0"/>
    <n v="2023"/>
    <n v="392"/>
    <x v="0"/>
    <s v="Sunday"/>
    <x v="1"/>
    <x v="0"/>
    <s v="Regular"/>
  </r>
  <r>
    <n v="2479"/>
    <s v="GreenGrocer Plaza"/>
    <d v="2024-11-26T00:00:00"/>
    <s v="Beverages"/>
    <s v="Milk"/>
    <n v="2"/>
    <n v="20.65"/>
    <n v="41.3"/>
    <s v="Low"/>
    <n v="2.61"/>
    <n v="38.69"/>
    <x v="0"/>
    <n v="2024"/>
    <n v="59"/>
    <x v="3"/>
    <s v="Tuesday"/>
    <x v="0"/>
    <x v="1"/>
    <s v="Regular"/>
  </r>
  <r>
    <n v="6090"/>
    <s v="FamilyFood Express"/>
    <d v="2024-04-17T00:00:00"/>
    <s v="Household Items"/>
    <s v="Chicken Breast"/>
    <n v="3"/>
    <n v="22.26"/>
    <n v="66.78"/>
    <s v="Low"/>
    <n v="4.2"/>
    <n v="62.58"/>
    <x v="9"/>
    <n v="2024"/>
    <n v="376"/>
    <x v="0"/>
    <s v="Wednesday"/>
    <x v="1"/>
    <x v="1"/>
    <s v="Regular"/>
  </r>
  <r>
    <n v="8622"/>
    <s v="FreshMart Downtown"/>
    <d v="2025-07-06T00:00:00"/>
    <s v="Produce"/>
    <s v="Yogurt"/>
    <n v="4"/>
    <n v="17.84"/>
    <n v="71.36"/>
    <s v="Low"/>
    <n v="4.45"/>
    <n v="66.91"/>
    <x v="2"/>
    <n v="2025"/>
    <n v="166"/>
    <x v="2"/>
    <s v="Sunday"/>
    <x v="1"/>
    <x v="0"/>
    <s v="Regular"/>
  </r>
  <r>
    <n v="2235"/>
    <s v="Corner Grocery"/>
    <d v="2024-07-16T00:00:00"/>
    <s v="Personal Care"/>
    <s v="Orange Juice"/>
    <n v="1"/>
    <n v="23.92"/>
    <n v="23.92"/>
    <s v="Low"/>
    <n v="1.49"/>
    <n v="22.430000000000003"/>
    <x v="2"/>
    <n v="2024"/>
    <n v="7"/>
    <x v="1"/>
    <s v="Tuesday"/>
    <x v="0"/>
    <x v="1"/>
    <s v="Regular"/>
  </r>
  <r>
    <n v="2604"/>
    <s v="MegaMart Westside"/>
    <d v="2023-09-15T00:00:00"/>
    <s v="Health &amp; Wellness"/>
    <s v="Pasta"/>
    <n v="5"/>
    <n v="12.04"/>
    <n v="60.2"/>
    <s v="Low"/>
    <n v="3.7"/>
    <n v="56.5"/>
    <x v="1"/>
    <n v="2023"/>
    <n v="326"/>
    <x v="0"/>
    <s v="Friday"/>
    <x v="1"/>
    <x v="1"/>
    <s v="Regular"/>
  </r>
  <r>
    <n v="4453"/>
    <s v="ValuePlus Market"/>
    <d v="2025-03-24T00:00:00"/>
    <s v="Meat &amp; Seafood"/>
    <s v="Milk"/>
    <n v="5"/>
    <n v="15.16"/>
    <n v="75.8"/>
    <s v="Low"/>
    <n v="4.6500000000000004"/>
    <n v="71.149999999999991"/>
    <x v="6"/>
    <n v="2025"/>
    <n v="95"/>
    <x v="3"/>
    <s v="Monday"/>
    <x v="1"/>
    <x v="1"/>
    <s v="Regular"/>
  </r>
  <r>
    <n v="6070"/>
    <s v="QuickStop Market"/>
    <d v="2025-04-26T00:00:00"/>
    <s v="Canned Goods"/>
    <s v="Cheese"/>
    <n v="2"/>
    <n v="15.4"/>
    <n v="30.8"/>
    <s v="Low"/>
    <n v="1.86"/>
    <n v="28.94"/>
    <x v="9"/>
    <n v="2025"/>
    <n v="433"/>
    <x v="0"/>
    <s v="Saturday"/>
    <x v="0"/>
    <x v="0"/>
    <s v="Regular"/>
  </r>
  <r>
    <n v="6881"/>
    <s v="MegaMart Westside"/>
    <d v="2024-10-26T00:00:00"/>
    <s v="Bakery"/>
    <s v="Cereal"/>
    <n v="3"/>
    <n v="19.93"/>
    <n v="59.79"/>
    <s v="Low"/>
    <n v="3.58"/>
    <n v="56.21"/>
    <x v="7"/>
    <n v="2024"/>
    <n v="363"/>
    <x v="0"/>
    <s v="Saturday"/>
    <x v="1"/>
    <x v="0"/>
    <s v="Regular"/>
  </r>
  <r>
    <n v="6026"/>
    <s v="MegaMart Westside"/>
    <d v="2023-12-09T00:00:00"/>
    <s v="Meat &amp; Seafood"/>
    <s v="Ground Beef"/>
    <n v="4"/>
    <n v="13.13"/>
    <n v="52.52"/>
    <s v="Low"/>
    <n v="3.14"/>
    <n v="49.38"/>
    <x v="11"/>
    <n v="2023"/>
    <n v="254"/>
    <x v="0"/>
    <s v="Saturday"/>
    <x v="1"/>
    <x v="0"/>
    <s v="Regular"/>
  </r>
  <r>
    <n v="5059"/>
    <s v="City Fresh Store"/>
    <d v="2025-02-06T00:00:00"/>
    <s v="Dairy"/>
    <s v="Rice"/>
    <n v="4"/>
    <n v="6.19"/>
    <n v="24.76"/>
    <s v="Low"/>
    <n v="1.48"/>
    <n v="23.28"/>
    <x v="4"/>
    <n v="2025"/>
    <n v="464"/>
    <x v="0"/>
    <s v="Thursday"/>
    <x v="1"/>
    <x v="1"/>
    <s v="Regular"/>
  </r>
  <r>
    <n v="1195"/>
    <s v="ValuePlus Market"/>
    <d v="2023-09-23T00:00:00"/>
    <s v="Canned Goods"/>
    <s v="Onions"/>
    <n v="3"/>
    <n v="14.85"/>
    <n v="44.55"/>
    <s v="Low"/>
    <n v="2.65"/>
    <n v="41.9"/>
    <x v="1"/>
    <n v="2023"/>
    <n v="497"/>
    <x v="0"/>
    <s v="Saturday"/>
    <x v="1"/>
    <x v="0"/>
    <s v="Regular"/>
  </r>
  <r>
    <n v="4122"/>
    <s v="FreshMart Downtown"/>
    <d v="2025-07-23T00:00:00"/>
    <s v="Beverages"/>
    <s v="Apples"/>
    <n v="5"/>
    <n v="7.37"/>
    <n v="36.85"/>
    <s v="Low"/>
    <n v="2.1800000000000002"/>
    <n v="34.67"/>
    <x v="2"/>
    <n v="2025"/>
    <n v="382"/>
    <x v="0"/>
    <s v="Wednesday"/>
    <x v="1"/>
    <x v="1"/>
    <s v="Regular"/>
  </r>
  <r>
    <n v="6188"/>
    <s v="GreenGrocer Plaza"/>
    <d v="2024-12-05T00:00:00"/>
    <s v="Meat &amp; Seafood"/>
    <s v="Cheese"/>
    <n v="5"/>
    <n v="8.35"/>
    <n v="41.75"/>
    <s v="Low"/>
    <n v="2.46"/>
    <n v="39.29"/>
    <x v="11"/>
    <n v="2024"/>
    <n v="437"/>
    <x v="0"/>
    <s v="Thursday"/>
    <x v="1"/>
    <x v="1"/>
    <s v="Regular"/>
  </r>
  <r>
    <n v="1893"/>
    <s v="GreenGrocer Plaza"/>
    <d v="2024-10-09T00:00:00"/>
    <s v="Frozen Foods"/>
    <s v="Tomatoes"/>
    <n v="4"/>
    <n v="15.17"/>
    <n v="60.68"/>
    <s v="Low"/>
    <n v="3.57"/>
    <n v="57.11"/>
    <x v="7"/>
    <n v="2024"/>
    <n v="338"/>
    <x v="0"/>
    <s v="Wednesday"/>
    <x v="1"/>
    <x v="1"/>
    <s v="Regular"/>
  </r>
  <r>
    <n v="2874"/>
    <s v="FamilyFood Express"/>
    <d v="2024-10-18T00:00:00"/>
    <s v="Beverages"/>
    <s v="Pasta"/>
    <n v="3"/>
    <n v="25.01"/>
    <n v="75.03"/>
    <s v="Low"/>
    <n v="4.41"/>
    <n v="70.62"/>
    <x v="7"/>
    <n v="2024"/>
    <n v="172"/>
    <x v="2"/>
    <s v="Friday"/>
    <x v="1"/>
    <x v="1"/>
    <s v="Regular"/>
  </r>
  <r>
    <n v="4475"/>
    <s v="MegaMart Westside"/>
    <d v="2024-12-17T00:00:00"/>
    <s v="Canned Goods"/>
    <s v="Rice"/>
    <n v="2"/>
    <n v="29.87"/>
    <n v="59.74"/>
    <s v="Low"/>
    <n v="3.5"/>
    <n v="56.24"/>
    <x v="11"/>
    <n v="2024"/>
    <n v="256"/>
    <x v="0"/>
    <s v="Tuesday"/>
    <x v="0"/>
    <x v="1"/>
    <s v="Regular"/>
  </r>
  <r>
    <n v="3868"/>
    <s v="City Fresh Store"/>
    <d v="2025-05-12T00:00:00"/>
    <s v="Produce"/>
    <s v="Salmon"/>
    <n v="5"/>
    <n v="8.0299999999999994"/>
    <n v="40.15"/>
    <s v="Low"/>
    <n v="2.34"/>
    <n v="37.81"/>
    <x v="3"/>
    <n v="2025"/>
    <n v="150"/>
    <x v="2"/>
    <s v="Monday"/>
    <x v="1"/>
    <x v="1"/>
    <s v="Regular"/>
  </r>
  <r>
    <n v="9821"/>
    <s v="SuperSave Central"/>
    <d v="2025-01-21T00:00:00"/>
    <s v="Beverages"/>
    <s v="Onions"/>
    <n v="3"/>
    <n v="16.829999999999998"/>
    <n v="50.49"/>
    <s v="Low"/>
    <n v="2.94"/>
    <n v="47.550000000000004"/>
    <x v="8"/>
    <n v="2025"/>
    <n v="346"/>
    <x v="0"/>
    <s v="Tuesday"/>
    <x v="1"/>
    <x v="1"/>
    <s v="Regular"/>
  </r>
  <r>
    <n v="5375"/>
    <s v="QuickStop Market"/>
    <d v="2024-10-06T00:00:00"/>
    <s v="Bakery"/>
    <s v="Salmon"/>
    <n v="2"/>
    <n v="27.42"/>
    <n v="54.84"/>
    <s v="Low"/>
    <n v="3.19"/>
    <n v="51.650000000000006"/>
    <x v="7"/>
    <n v="2024"/>
    <n v="360"/>
    <x v="0"/>
    <s v="Sunday"/>
    <x v="0"/>
    <x v="0"/>
    <s v="Regular"/>
  </r>
  <r>
    <n v="6421"/>
    <s v="Corner Grocery"/>
    <d v="2024-10-01T00:00:00"/>
    <s v="Meat &amp; Seafood"/>
    <s v="Eggs"/>
    <n v="3"/>
    <n v="9.7200000000000006"/>
    <n v="29.16"/>
    <s v="Low"/>
    <n v="1.67"/>
    <n v="27.490000000000002"/>
    <x v="7"/>
    <n v="2024"/>
    <n v="252"/>
    <x v="0"/>
    <s v="Tuesday"/>
    <x v="1"/>
    <x v="1"/>
    <s v="Regular"/>
  </r>
  <r>
    <n v="3252"/>
    <s v="ValuePlus Market"/>
    <d v="2023-08-11T00:00:00"/>
    <s v="Beverages"/>
    <s v="Eggs"/>
    <n v="3"/>
    <n v="22.77"/>
    <n v="68.31"/>
    <s v="Low"/>
    <n v="3.9"/>
    <n v="64.41"/>
    <x v="5"/>
    <n v="2023"/>
    <n v="399"/>
    <x v="0"/>
    <s v="Friday"/>
    <x v="1"/>
    <x v="1"/>
    <s v="Regular"/>
  </r>
  <r>
    <n v="6067"/>
    <s v="City Fresh Store"/>
    <d v="2024-06-11T00:00:00"/>
    <s v="Frozen Foods"/>
    <s v="Cereal"/>
    <n v="3"/>
    <n v="11.69"/>
    <n v="35.07"/>
    <s v="Low"/>
    <n v="1.95"/>
    <n v="33.119999999999997"/>
    <x v="10"/>
    <n v="2024"/>
    <n v="4"/>
    <x v="1"/>
    <s v="Tuesday"/>
    <x v="1"/>
    <x v="1"/>
    <s v="Regular"/>
  </r>
  <r>
    <n v="4866"/>
    <s v="FreshMart Downtown"/>
    <d v="2025-04-02T00:00:00"/>
    <s v="Beverages"/>
    <s v="Bananas"/>
    <n v="3"/>
    <n v="13.66"/>
    <n v="40.98"/>
    <s v="Low"/>
    <n v="2.27"/>
    <n v="38.709999999999994"/>
    <x v="9"/>
    <n v="2025"/>
    <n v="212"/>
    <x v="0"/>
    <s v="Wednesday"/>
    <x v="1"/>
    <x v="1"/>
    <s v="Regular"/>
  </r>
  <r>
    <n v="7947"/>
    <s v="City Fresh Store"/>
    <d v="2024-08-18T00:00:00"/>
    <s v="Canned Goods"/>
    <s v="Ground Beef"/>
    <n v="3"/>
    <n v="8.2899999999999991"/>
    <n v="24.87"/>
    <s v="Low"/>
    <n v="1.37"/>
    <n v="23.5"/>
    <x v="5"/>
    <n v="2024"/>
    <n v="17"/>
    <x v="1"/>
    <s v="Sunday"/>
    <x v="1"/>
    <x v="0"/>
    <s v="Regular"/>
  </r>
  <r>
    <n v="9954"/>
    <s v="ValuePlus Market"/>
    <d v="2025-03-19T00:00:00"/>
    <s v="Produce"/>
    <s v="Carrots"/>
    <n v="4"/>
    <n v="19.600000000000001"/>
    <n v="78.400000000000006"/>
    <s v="Low"/>
    <n v="4.29"/>
    <n v="74.11"/>
    <x v="6"/>
    <n v="2025"/>
    <n v="202"/>
    <x v="0"/>
    <s v="Wednesday"/>
    <x v="1"/>
    <x v="1"/>
    <s v="Regular"/>
  </r>
  <r>
    <n v="7108"/>
    <s v="SuperSave Central"/>
    <d v="2025-07-19T00:00:00"/>
    <s v="Produce"/>
    <s v="Pasta"/>
    <n v="3"/>
    <n v="13.16"/>
    <n v="39.479999999999997"/>
    <s v="Low"/>
    <n v="2.16"/>
    <n v="37.319999999999993"/>
    <x v="2"/>
    <n v="2025"/>
    <n v="466"/>
    <x v="0"/>
    <s v="Saturday"/>
    <x v="1"/>
    <x v="0"/>
    <s v="Regular"/>
  </r>
  <r>
    <n v="1697"/>
    <s v="GreenGrocer Plaza"/>
    <d v="2024-02-01T00:00:00"/>
    <s v="Health &amp; Wellness"/>
    <s v="Milk"/>
    <n v="2"/>
    <n v="20.84"/>
    <n v="41.68"/>
    <s v="Low"/>
    <n v="2.27"/>
    <n v="39.409999999999997"/>
    <x v="4"/>
    <n v="2024"/>
    <n v="440"/>
    <x v="0"/>
    <s v="Thursday"/>
    <x v="0"/>
    <x v="1"/>
    <s v="Regular"/>
  </r>
  <r>
    <n v="5403"/>
    <s v="GreenGrocer Plaza"/>
    <d v="2025-02-26T00:00:00"/>
    <s v="Beverages"/>
    <s v="Bread"/>
    <n v="3"/>
    <n v="25.97"/>
    <n v="77.91"/>
    <s v="Low"/>
    <n v="4.24"/>
    <n v="73.67"/>
    <x v="4"/>
    <n v="2025"/>
    <n v="458"/>
    <x v="0"/>
    <s v="Wednesday"/>
    <x v="1"/>
    <x v="1"/>
    <s v="Regular"/>
  </r>
  <r>
    <n v="8951"/>
    <s v="Corner Grocery"/>
    <d v="2025-04-10T00:00:00"/>
    <s v="Household Items"/>
    <s v="Apples"/>
    <n v="4"/>
    <n v="22.99"/>
    <n v="91.96"/>
    <s v="Low"/>
    <n v="4.99"/>
    <n v="86.97"/>
    <x v="9"/>
    <n v="2025"/>
    <n v="115"/>
    <x v="2"/>
    <s v="Thursday"/>
    <x v="1"/>
    <x v="1"/>
    <s v="Regular"/>
  </r>
  <r>
    <n v="6315"/>
    <s v="QuickStop Market"/>
    <d v="2025-06-07T00:00:00"/>
    <s v="Frozen Foods"/>
    <s v="Bananas"/>
    <n v="2"/>
    <n v="19.309999999999999"/>
    <n v="38.619999999999997"/>
    <s v="Low"/>
    <n v="2.09"/>
    <n v="36.53"/>
    <x v="10"/>
    <n v="2025"/>
    <n v="352"/>
    <x v="0"/>
    <s v="Saturday"/>
    <x v="0"/>
    <x v="0"/>
    <s v="Regular"/>
  </r>
  <r>
    <n v="8378"/>
    <s v="GreenGrocer Plaza"/>
    <d v="2025-03-22T00:00:00"/>
    <s v="Health &amp; Wellness"/>
    <s v="Tomatoes"/>
    <n v="4"/>
    <n v="21.47"/>
    <n v="85.88"/>
    <s v="Low"/>
    <n v="4.6399999999999997"/>
    <n v="81.239999999999995"/>
    <x v="6"/>
    <n v="2025"/>
    <n v="498"/>
    <x v="0"/>
    <s v="Saturday"/>
    <x v="1"/>
    <x v="0"/>
    <s v="Regular"/>
  </r>
  <r>
    <n v="4625"/>
    <s v="QuickStop Market"/>
    <d v="2025-03-04T00:00:00"/>
    <s v="Health &amp; Wellness"/>
    <s v="Chicken Breast"/>
    <n v="3"/>
    <n v="18.23"/>
    <n v="54.69"/>
    <s v="Low"/>
    <n v="2.93"/>
    <n v="51.76"/>
    <x v="6"/>
    <n v="2025"/>
    <n v="420"/>
    <x v="0"/>
    <s v="Tuesday"/>
    <x v="1"/>
    <x v="1"/>
    <s v="Regular"/>
  </r>
  <r>
    <n v="3578"/>
    <s v="SuperSave Central"/>
    <d v="2024-05-20T00:00:00"/>
    <s v="Personal Care"/>
    <s v="Milk"/>
    <n v="3"/>
    <n v="29.53"/>
    <n v="88.59"/>
    <s v="Low"/>
    <n v="4.74"/>
    <n v="83.850000000000009"/>
    <x v="3"/>
    <n v="2024"/>
    <n v="495"/>
    <x v="0"/>
    <s v="Monday"/>
    <x v="1"/>
    <x v="1"/>
    <s v="Regular"/>
  </r>
  <r>
    <n v="7227"/>
    <s v="GreenGrocer Plaza"/>
    <d v="2023-10-12T00:00:00"/>
    <s v="Canned Goods"/>
    <s v="Bread"/>
    <n v="2"/>
    <n v="22.08"/>
    <n v="44.16"/>
    <s v="Low"/>
    <n v="2.34"/>
    <n v="41.819999999999993"/>
    <x v="7"/>
    <n v="2023"/>
    <n v="167"/>
    <x v="2"/>
    <s v="Thursday"/>
    <x v="0"/>
    <x v="1"/>
    <s v="Regular"/>
  </r>
  <r>
    <n v="1797"/>
    <s v="ValuePlus Market"/>
    <d v="2024-02-13T00:00:00"/>
    <s v="Health &amp; Wellness"/>
    <s v="Rice"/>
    <n v="4"/>
    <n v="22.6"/>
    <n v="90.4"/>
    <s v="Low"/>
    <n v="4.79"/>
    <n v="85.61"/>
    <x v="4"/>
    <n v="2024"/>
    <n v="253"/>
    <x v="0"/>
    <s v="Tuesday"/>
    <x v="1"/>
    <x v="1"/>
    <s v="Regular"/>
  </r>
  <r>
    <n v="6399"/>
    <s v="Unknown Store"/>
    <d v="2024-07-13T00:00:00"/>
    <s v="Bakery"/>
    <s v="Pasta"/>
    <n v="3"/>
    <n v="24.79"/>
    <n v="74.37"/>
    <s v="Low"/>
    <n v="3.92"/>
    <n v="70.45"/>
    <x v="2"/>
    <n v="2024"/>
    <n v="444"/>
    <x v="0"/>
    <s v="Saturday"/>
    <x v="1"/>
    <x v="0"/>
    <s v="Regular"/>
  </r>
  <r>
    <n v="7815"/>
    <s v="MegaMart Westside"/>
    <d v="2025-02-23T00:00:00"/>
    <s v="Beverages"/>
    <s v="Carrots"/>
    <n v="3"/>
    <n v="23.48"/>
    <n v="70.44"/>
    <s v="Low"/>
    <n v="3.71"/>
    <n v="66.73"/>
    <x v="4"/>
    <n v="2025"/>
    <n v="73"/>
    <x v="3"/>
    <s v="Sunday"/>
    <x v="1"/>
    <x v="0"/>
    <s v="Regular"/>
  </r>
  <r>
    <n v="9837"/>
    <s v="FreshMart Downtown"/>
    <d v="2023-09-16T00:00:00"/>
    <s v="Beverages"/>
    <s v="Pasta"/>
    <n v="3"/>
    <n v="25.99"/>
    <n v="77.97"/>
    <s v="Low"/>
    <n v="4.0999999999999996"/>
    <n v="73.87"/>
    <x v="1"/>
    <n v="2023"/>
    <n v="44"/>
    <x v="1"/>
    <s v="Saturday"/>
    <x v="1"/>
    <x v="0"/>
    <s v="Regular"/>
  </r>
  <r>
    <n v="7841"/>
    <s v="SuperSave Central"/>
    <d v="2024-03-23T00:00:00"/>
    <s v="Frozen Foods"/>
    <s v="Rice"/>
    <n v="1"/>
    <n v="24.35"/>
    <n v="24.35"/>
    <s v="Low"/>
    <n v="1.27"/>
    <n v="23.080000000000002"/>
    <x v="6"/>
    <n v="2024"/>
    <n v="319"/>
    <x v="0"/>
    <s v="Saturday"/>
    <x v="0"/>
    <x v="0"/>
    <s v="Regular"/>
  </r>
  <r>
    <n v="5934"/>
    <s v="SuperSave Central"/>
    <d v="2023-11-09T00:00:00"/>
    <s v="Canned Goods"/>
    <s v="Potatoes"/>
    <n v="2"/>
    <n v="17.100000000000001"/>
    <n v="34.200000000000003"/>
    <s v="Low"/>
    <n v="1.76"/>
    <n v="32.440000000000005"/>
    <x v="0"/>
    <n v="2023"/>
    <n v="472"/>
    <x v="0"/>
    <s v="Thursday"/>
    <x v="0"/>
    <x v="1"/>
    <s v="Regular"/>
  </r>
  <r>
    <n v="7184"/>
    <s v="MegaMart Westside"/>
    <d v="2024-05-24T00:00:00"/>
    <s v="Dairy"/>
    <s v="Apples"/>
    <n v="4"/>
    <n v="13.41"/>
    <n v="53.64"/>
    <s v="Low"/>
    <n v="2.74"/>
    <n v="50.9"/>
    <x v="3"/>
    <n v="2024"/>
    <n v="90"/>
    <x v="3"/>
    <s v="Friday"/>
    <x v="1"/>
    <x v="1"/>
    <s v="Regular"/>
  </r>
  <r>
    <n v="1872"/>
    <s v="Corner Grocery"/>
    <d v="2024-06-09T00:00:00"/>
    <s v="Canned Goods"/>
    <s v="Cheese"/>
    <n v="1"/>
    <n v="24.9"/>
    <n v="24.9"/>
    <s v="Low"/>
    <n v="1.27"/>
    <n v="23.63"/>
    <x v="10"/>
    <n v="2024"/>
    <n v="357"/>
    <x v="0"/>
    <s v="Sunday"/>
    <x v="0"/>
    <x v="0"/>
    <s v="Regular"/>
  </r>
  <r>
    <n v="6194"/>
    <s v="MegaMart Westside"/>
    <d v="2024-12-17T00:00:00"/>
    <s v="Snacks &amp; Candy"/>
    <s v="Yogurt"/>
    <n v="4"/>
    <n v="6.33"/>
    <n v="25.32"/>
    <s v="Low"/>
    <n v="1.29"/>
    <n v="24.03"/>
    <x v="11"/>
    <n v="2024"/>
    <n v="3"/>
    <x v="1"/>
    <s v="Tuesday"/>
    <x v="1"/>
    <x v="1"/>
    <s v="Regular"/>
  </r>
  <r>
    <n v="6138"/>
    <s v="ValuePlus Market"/>
    <d v="2023-09-20T00:00:00"/>
    <s v="Canned Goods"/>
    <s v="Tomatoes"/>
    <n v="5"/>
    <n v="16.38"/>
    <n v="81.900000000000006"/>
    <s v="Low"/>
    <n v="4.17"/>
    <n v="77.73"/>
    <x v="1"/>
    <n v="2023"/>
    <n v="232"/>
    <x v="0"/>
    <s v="Wednesday"/>
    <x v="1"/>
    <x v="1"/>
    <s v="Regular"/>
  </r>
  <r>
    <n v="2480"/>
    <s v="Corner Grocery"/>
    <d v="2024-07-09T00:00:00"/>
    <s v="Health &amp; Wellness"/>
    <s v="Bananas"/>
    <n v="1"/>
    <n v="24.86"/>
    <n v="24.86"/>
    <s v="Low"/>
    <n v="1.26"/>
    <n v="23.599999999999998"/>
    <x v="2"/>
    <n v="2024"/>
    <n v="241"/>
    <x v="0"/>
    <s v="Tuesday"/>
    <x v="0"/>
    <x v="1"/>
    <s v="Regular"/>
  </r>
  <r>
    <n v="8292"/>
    <s v="QuickStop Market"/>
    <d v="2023-10-14T00:00:00"/>
    <s v="Bakery"/>
    <s v="Bananas"/>
    <n v="5"/>
    <n v="18.809999999999999"/>
    <n v="94.05"/>
    <s v="Low"/>
    <n v="4.75"/>
    <n v="89.3"/>
    <x v="7"/>
    <n v="2023"/>
    <n v="348"/>
    <x v="0"/>
    <s v="Saturday"/>
    <x v="1"/>
    <x v="0"/>
    <s v="Regular"/>
  </r>
  <r>
    <n v="6327"/>
    <s v="Unknown Store"/>
    <d v="2024-05-28T00:00:00"/>
    <s v="Frozen Foods"/>
    <s v="Bread"/>
    <n v="3"/>
    <n v="9.6999999999999993"/>
    <n v="29.1"/>
    <s v="Low"/>
    <n v="1.46"/>
    <n v="27.64"/>
    <x v="3"/>
    <n v="2024"/>
    <n v="281"/>
    <x v="0"/>
    <s v="Tuesday"/>
    <x v="1"/>
    <x v="1"/>
    <s v="Regular"/>
  </r>
  <r>
    <n v="8434"/>
    <s v="MegaMart Westside"/>
    <d v="2024-03-04T00:00:00"/>
    <s v="Household Items"/>
    <s v="Yogurt"/>
    <n v="2"/>
    <n v="10.87"/>
    <n v="21.74"/>
    <s v="Low"/>
    <n v="1.0900000000000001"/>
    <n v="20.65"/>
    <x v="6"/>
    <n v="2024"/>
    <n v="90"/>
    <x v="3"/>
    <s v="Monday"/>
    <x v="0"/>
    <x v="1"/>
    <s v="Regular"/>
  </r>
  <r>
    <n v="3442"/>
    <s v="SuperSave Central"/>
    <d v="2024-10-03T00:00:00"/>
    <s v="Health &amp; Wellness"/>
    <s v="Salmon"/>
    <n v="4"/>
    <n v="19.309999999999999"/>
    <n v="77.239999999999995"/>
    <s v="Low"/>
    <n v="3.86"/>
    <n v="73.38"/>
    <x v="7"/>
    <n v="2024"/>
    <n v="415"/>
    <x v="0"/>
    <s v="Thursday"/>
    <x v="1"/>
    <x v="1"/>
    <s v="Regular"/>
  </r>
  <r>
    <n v="4350"/>
    <s v="Corner Grocery"/>
    <d v="2024-06-10T00:00:00"/>
    <s v="Household Items"/>
    <s v="Cheese"/>
    <n v="3"/>
    <n v="9.9600000000000009"/>
    <n v="29.88"/>
    <s v="Low"/>
    <n v="1.49"/>
    <n v="28.39"/>
    <x v="10"/>
    <n v="2024"/>
    <n v="21"/>
    <x v="1"/>
    <s v="Monday"/>
    <x v="1"/>
    <x v="1"/>
    <s v="Regular"/>
  </r>
  <r>
    <n v="6530"/>
    <s v="ValuePlus Market"/>
    <d v="2024-02-22T00:00:00"/>
    <s v="Personal Care"/>
    <s v="Yogurt"/>
    <n v="4"/>
    <n v="14.92"/>
    <n v="59.68"/>
    <s v="Low"/>
    <n v="2.97"/>
    <n v="56.71"/>
    <x v="4"/>
    <n v="2024"/>
    <n v="148"/>
    <x v="2"/>
    <s v="Thursday"/>
    <x v="1"/>
    <x v="1"/>
    <s v="Regular"/>
  </r>
  <r>
    <n v="2496"/>
    <s v="MegaMart Westside"/>
    <d v="2024-01-31T00:00:00"/>
    <s v="Health &amp; Wellness"/>
    <s v="Cereal"/>
    <n v="4"/>
    <n v="22.41"/>
    <n v="89.64"/>
    <s v="Low"/>
    <n v="4.41"/>
    <n v="85.23"/>
    <x v="8"/>
    <n v="2024"/>
    <n v="48"/>
    <x v="1"/>
    <s v="Wednesday"/>
    <x v="1"/>
    <x v="1"/>
    <s v="Regular"/>
  </r>
  <r>
    <n v="6413"/>
    <s v="SuperSave Central"/>
    <d v="2023-10-01T00:00:00"/>
    <s v="Dairy"/>
    <s v="Pasta"/>
    <n v="4"/>
    <n v="10.85"/>
    <n v="43.4"/>
    <s v="Low"/>
    <n v="2.13"/>
    <n v="41.269999999999996"/>
    <x v="7"/>
    <n v="2023"/>
    <n v="403"/>
    <x v="0"/>
    <s v="Sunday"/>
    <x v="1"/>
    <x v="0"/>
    <s v="Regular"/>
  </r>
  <r>
    <n v="7065"/>
    <s v="MegaMart Westside"/>
    <d v="2024-05-08T00:00:00"/>
    <s v="Frozen Foods"/>
    <s v="Apples"/>
    <n v="4"/>
    <n v="25.17"/>
    <n v="100.68"/>
    <s v="Low"/>
    <n v="4.9400000000000004"/>
    <n v="95.740000000000009"/>
    <x v="3"/>
    <n v="2024"/>
    <n v="360"/>
    <x v="0"/>
    <s v="Wednesday"/>
    <x v="1"/>
    <x v="1"/>
    <s v="Regular"/>
  </r>
  <r>
    <n v="9734"/>
    <s v="QuickStop Market"/>
    <d v="2024-04-28T00:00:00"/>
    <s v="Produce"/>
    <s v="Carrots"/>
    <n v="3"/>
    <n v="20.11"/>
    <n v="60.33"/>
    <s v="Low"/>
    <n v="2.96"/>
    <n v="57.37"/>
    <x v="9"/>
    <n v="2024"/>
    <n v="227"/>
    <x v="0"/>
    <s v="Sunday"/>
    <x v="1"/>
    <x v="0"/>
    <s v="Regular"/>
  </r>
  <r>
    <n v="7364"/>
    <s v="City Fresh Store"/>
    <d v="2024-06-26T00:00:00"/>
    <s v="Health &amp; Wellness"/>
    <s v="Apples"/>
    <n v="5"/>
    <n v="14.97"/>
    <n v="74.849999999999994"/>
    <s v="Low"/>
    <n v="3.67"/>
    <n v="71.179999999999993"/>
    <x v="10"/>
    <n v="2024"/>
    <n v="247"/>
    <x v="0"/>
    <s v="Wednesday"/>
    <x v="1"/>
    <x v="1"/>
    <s v="Regular"/>
  </r>
  <r>
    <n v="5689"/>
    <s v="City Fresh Store"/>
    <d v="2025-03-31T00:00:00"/>
    <s v="Personal Care"/>
    <s v="Pasta"/>
    <n v="5"/>
    <n v="13.89"/>
    <n v="69.45"/>
    <s v="Low"/>
    <n v="3.39"/>
    <n v="66.06"/>
    <x v="6"/>
    <n v="2025"/>
    <n v="496"/>
    <x v="0"/>
    <s v="Monday"/>
    <x v="1"/>
    <x v="1"/>
    <s v="Regular"/>
  </r>
  <r>
    <n v="2425"/>
    <s v="MegaMart Westside"/>
    <d v="2024-07-13T00:00:00"/>
    <s v="Dairy"/>
    <s v="Apples"/>
    <n v="5"/>
    <n v="10.84"/>
    <n v="54.2"/>
    <s v="Low"/>
    <n v="2.61"/>
    <n v="51.59"/>
    <x v="2"/>
    <n v="2024"/>
    <n v="270"/>
    <x v="0"/>
    <s v="Saturday"/>
    <x v="1"/>
    <x v="0"/>
    <s v="Regular"/>
  </r>
  <r>
    <n v="5543"/>
    <s v="FreshMart Downtown"/>
    <d v="2025-03-23T00:00:00"/>
    <s v="Meat &amp; Seafood"/>
    <s v="Bread"/>
    <n v="4"/>
    <n v="25.5"/>
    <n v="102"/>
    <s v="Low"/>
    <n v="4.91"/>
    <n v="97.09"/>
    <x v="6"/>
    <n v="2025"/>
    <n v="330"/>
    <x v="0"/>
    <s v="Sunday"/>
    <x v="1"/>
    <x v="0"/>
    <s v="Regular"/>
  </r>
  <r>
    <n v="2406"/>
    <s v="City Fresh Store"/>
    <d v="2023-11-05T00:00:00"/>
    <s v="Personal Care"/>
    <s v="Orange Juice"/>
    <n v="4"/>
    <n v="21.64"/>
    <n v="86.56"/>
    <s v="Low"/>
    <n v="4.1399999999999997"/>
    <n v="82.42"/>
    <x v="0"/>
    <n v="2023"/>
    <n v="432"/>
    <x v="0"/>
    <s v="Sunday"/>
    <x v="1"/>
    <x v="0"/>
    <s v="Regular"/>
  </r>
  <r>
    <n v="7868"/>
    <s v="Corner Grocery"/>
    <d v="2024-11-26T00:00:00"/>
    <s v="Snacks &amp; Candy"/>
    <s v="Cereal"/>
    <n v="4"/>
    <n v="24.44"/>
    <n v="97.76"/>
    <s v="Low"/>
    <n v="4.6100000000000003"/>
    <n v="93.15"/>
    <x v="0"/>
    <n v="2024"/>
    <n v="92"/>
    <x v="3"/>
    <s v="Tuesday"/>
    <x v="1"/>
    <x v="1"/>
    <s v="Regular"/>
  </r>
  <r>
    <n v="5593"/>
    <s v="QuickStop Market"/>
    <d v="2025-07-05T00:00:00"/>
    <s v="Household Items"/>
    <s v="Bananas"/>
    <n v="2"/>
    <n v="11.67"/>
    <n v="23.34"/>
    <s v="Low"/>
    <n v="1.1000000000000001"/>
    <n v="22.24"/>
    <x v="2"/>
    <n v="2025"/>
    <n v="148"/>
    <x v="2"/>
    <s v="Saturday"/>
    <x v="0"/>
    <x v="0"/>
    <s v="Regular"/>
  </r>
  <r>
    <n v="8739"/>
    <s v="MegaMart Westside"/>
    <d v="2023-10-24T00:00:00"/>
    <s v="Produce"/>
    <s v="Apples"/>
    <n v="2"/>
    <n v="28.49"/>
    <n v="56.98"/>
    <s v="Low"/>
    <n v="2.68"/>
    <n v="54.3"/>
    <x v="7"/>
    <n v="2023"/>
    <n v="491"/>
    <x v="0"/>
    <s v="Tuesday"/>
    <x v="0"/>
    <x v="1"/>
    <s v="Regular"/>
  </r>
  <r>
    <n v="6080"/>
    <s v="MegaMart Westside"/>
    <d v="2024-09-10T00:00:00"/>
    <s v="Health &amp; Wellness"/>
    <s v="Apples"/>
    <n v="2"/>
    <n v="25"/>
    <n v="50"/>
    <s v="Low"/>
    <n v="2.35"/>
    <n v="47.65"/>
    <x v="1"/>
    <n v="2024"/>
    <n v="457"/>
    <x v="0"/>
    <s v="Tuesday"/>
    <x v="0"/>
    <x v="1"/>
    <s v="Regular"/>
  </r>
  <r>
    <n v="2584"/>
    <s v="FamilyFood Express"/>
    <d v="2024-06-07T00:00:00"/>
    <s v="Snacks &amp; Candy"/>
    <s v="Rice"/>
    <n v="1"/>
    <n v="29.61"/>
    <n v="29.61"/>
    <s v="Low"/>
    <n v="1.39"/>
    <n v="28.22"/>
    <x v="10"/>
    <n v="2024"/>
    <n v="417"/>
    <x v="0"/>
    <s v="Friday"/>
    <x v="0"/>
    <x v="1"/>
    <s v="Regular"/>
  </r>
  <r>
    <n v="7955"/>
    <s v="Corner Grocery"/>
    <d v="2023-10-07T00:00:00"/>
    <s v="Personal Care"/>
    <s v="Chicken Breast"/>
    <n v="1"/>
    <n v="25.4"/>
    <n v="25.4"/>
    <s v="Low"/>
    <n v="1.19"/>
    <n v="24.209999999999997"/>
    <x v="7"/>
    <n v="2023"/>
    <n v="132"/>
    <x v="2"/>
    <s v="Saturday"/>
    <x v="0"/>
    <x v="0"/>
    <s v="Regular"/>
  </r>
  <r>
    <n v="7421"/>
    <s v="MegaMart Westside"/>
    <d v="2023-11-15T00:00:00"/>
    <s v="Produce"/>
    <s v="Bread"/>
    <n v="2"/>
    <n v="25.52"/>
    <n v="51.04"/>
    <s v="Low"/>
    <n v="2.39"/>
    <n v="48.65"/>
    <x v="0"/>
    <n v="2023"/>
    <n v="482"/>
    <x v="0"/>
    <s v="Wednesday"/>
    <x v="0"/>
    <x v="1"/>
    <s v="Regular"/>
  </r>
  <r>
    <n v="2169"/>
    <s v="MegaMart Westside"/>
    <d v="2024-11-22T00:00:00"/>
    <s v="Bakery"/>
    <s v="Pasta"/>
    <n v="5"/>
    <n v="15.16"/>
    <n v="75.8"/>
    <s v="Low"/>
    <n v="3.54"/>
    <n v="72.259999999999991"/>
    <x v="0"/>
    <n v="2024"/>
    <n v="463"/>
    <x v="0"/>
    <s v="Friday"/>
    <x v="1"/>
    <x v="1"/>
    <s v="Regular"/>
  </r>
  <r>
    <n v="1771"/>
    <s v="SuperSave Central"/>
    <d v="2025-06-05T00:00:00"/>
    <s v="Beverages"/>
    <s v="Carrots"/>
    <n v="5"/>
    <n v="18.260000000000002"/>
    <n v="91.3"/>
    <s v="Low"/>
    <n v="4.26"/>
    <n v="87.039999999999992"/>
    <x v="10"/>
    <n v="2025"/>
    <n v="486"/>
    <x v="0"/>
    <s v="Thursday"/>
    <x v="1"/>
    <x v="1"/>
    <s v="Regular"/>
  </r>
  <r>
    <n v="8620"/>
    <s v="FamilyFood Express"/>
    <d v="2025-06-09T00:00:00"/>
    <s v="Health &amp; Wellness"/>
    <s v="Bananas"/>
    <n v="3"/>
    <n v="11.32"/>
    <n v="33.96"/>
    <s v="Low"/>
    <n v="1.58"/>
    <n v="32.380000000000003"/>
    <x v="10"/>
    <n v="2025"/>
    <n v="317"/>
    <x v="0"/>
    <s v="Monday"/>
    <x v="1"/>
    <x v="1"/>
    <s v="Regular"/>
  </r>
  <r>
    <n v="2195"/>
    <s v="MegaMart Westside"/>
    <d v="2023-08-19T00:00:00"/>
    <s v="Canned Goods"/>
    <s v="Milk"/>
    <n v="2"/>
    <n v="27.13"/>
    <n v="54.26"/>
    <s v="Low"/>
    <n v="2.52"/>
    <n v="51.739999999999995"/>
    <x v="5"/>
    <n v="2023"/>
    <n v="350"/>
    <x v="0"/>
    <s v="Saturday"/>
    <x v="0"/>
    <x v="0"/>
    <s v="Regular"/>
  </r>
  <r>
    <n v="2557"/>
    <s v="SuperSave Central"/>
    <d v="2024-04-05T00:00:00"/>
    <s v="Bakery"/>
    <s v="Milk"/>
    <n v="4"/>
    <n v="12.23"/>
    <n v="48.92"/>
    <s v="Low"/>
    <n v="2.2400000000000002"/>
    <n v="46.68"/>
    <x v="9"/>
    <n v="2024"/>
    <n v="442"/>
    <x v="0"/>
    <s v="Friday"/>
    <x v="1"/>
    <x v="1"/>
    <s v="Regular"/>
  </r>
  <r>
    <n v="7029"/>
    <s v="Corner Grocery"/>
    <d v="2024-07-11T00:00:00"/>
    <s v="Beverages"/>
    <s v="Carrots"/>
    <n v="3"/>
    <n v="28.36"/>
    <n v="85.08"/>
    <s v="Low"/>
    <n v="3.87"/>
    <n v="81.209999999999994"/>
    <x v="2"/>
    <n v="2024"/>
    <n v="226"/>
    <x v="0"/>
    <s v="Thursday"/>
    <x v="1"/>
    <x v="1"/>
    <s v="Regular"/>
  </r>
  <r>
    <n v="1514"/>
    <s v="City Fresh Store"/>
    <d v="2025-06-04T00:00:00"/>
    <s v="Beverages"/>
    <s v="Ground Beef"/>
    <n v="4"/>
    <n v="16.98"/>
    <n v="67.92"/>
    <s v="Low"/>
    <n v="3.03"/>
    <n v="64.89"/>
    <x v="10"/>
    <n v="2025"/>
    <n v="196"/>
    <x v="2"/>
    <s v="Wednesday"/>
    <x v="1"/>
    <x v="1"/>
    <s v="Regular"/>
  </r>
  <r>
    <n v="7821"/>
    <s v="MegaMart Westside"/>
    <d v="2024-06-19T00:00:00"/>
    <s v="Household Items"/>
    <s v="Tomatoes"/>
    <n v="3"/>
    <n v="21.25"/>
    <n v="63.75"/>
    <s v="Low"/>
    <n v="2.84"/>
    <n v="60.91"/>
    <x v="10"/>
    <n v="2024"/>
    <n v="473"/>
    <x v="0"/>
    <s v="Wednesday"/>
    <x v="1"/>
    <x v="1"/>
    <s v="Regular"/>
  </r>
  <r>
    <n v="8685"/>
    <s v="FamilyFood Express"/>
    <d v="2024-07-20T00:00:00"/>
    <s v="Household Items"/>
    <s v="Salmon"/>
    <n v="2"/>
    <n v="11.71"/>
    <n v="23.42"/>
    <s v="Low"/>
    <n v="1.04"/>
    <n v="22.380000000000003"/>
    <x v="2"/>
    <n v="2024"/>
    <n v="350"/>
    <x v="0"/>
    <s v="Saturday"/>
    <x v="0"/>
    <x v="0"/>
    <s v="Regular"/>
  </r>
  <r>
    <n v="7658"/>
    <s v="GreenGrocer Plaza"/>
    <d v="2024-12-01T00:00:00"/>
    <s v="Bakery"/>
    <s v="Orange Juice"/>
    <n v="3"/>
    <n v="12.09"/>
    <n v="36.270000000000003"/>
    <s v="Low"/>
    <n v="1.61"/>
    <n v="34.660000000000004"/>
    <x v="11"/>
    <n v="2024"/>
    <n v="290"/>
    <x v="0"/>
    <s v="Sunday"/>
    <x v="1"/>
    <x v="0"/>
    <s v="Regular"/>
  </r>
  <r>
    <n v="9151"/>
    <s v="MegaMart Westside"/>
    <d v="2024-05-18T00:00:00"/>
    <s v="Health &amp; Wellness"/>
    <s v="Tomatoes"/>
    <n v="2"/>
    <n v="26.54"/>
    <n v="53.08"/>
    <s v="Low"/>
    <n v="2.34"/>
    <n v="50.739999999999995"/>
    <x v="3"/>
    <n v="2024"/>
    <n v="43"/>
    <x v="1"/>
    <s v="Saturday"/>
    <x v="0"/>
    <x v="0"/>
    <s v="Regular"/>
  </r>
  <r>
    <n v="4463"/>
    <s v="ValuePlus Market"/>
    <d v="2025-07-07T00:00:00"/>
    <s v="Bakery"/>
    <s v="Milk"/>
    <n v="3"/>
    <n v="29.27"/>
    <n v="87.81"/>
    <s v="Low"/>
    <n v="3.87"/>
    <n v="83.94"/>
    <x v="2"/>
    <n v="2025"/>
    <n v="8"/>
    <x v="1"/>
    <s v="Monday"/>
    <x v="1"/>
    <x v="1"/>
    <s v="Regular"/>
  </r>
  <r>
    <n v="8025"/>
    <s v="FreshMart Downtown"/>
    <d v="2024-03-31T00:00:00"/>
    <s v="Bakery"/>
    <s v="Orange Juice"/>
    <n v="4"/>
    <n v="18.22"/>
    <n v="72.88"/>
    <s v="Low"/>
    <n v="3.21"/>
    <n v="69.67"/>
    <x v="6"/>
    <n v="2024"/>
    <n v="90"/>
    <x v="3"/>
    <s v="Sunday"/>
    <x v="1"/>
    <x v="0"/>
    <s v="Regular"/>
  </r>
  <r>
    <n v="8417"/>
    <s v="City Fresh Store"/>
    <d v="2024-03-05T00:00:00"/>
    <s v="Health &amp; Wellness"/>
    <s v="Onions"/>
    <n v="4"/>
    <n v="11.44"/>
    <n v="45.76"/>
    <s v="Low"/>
    <n v="2.0099999999999998"/>
    <n v="43.75"/>
    <x v="6"/>
    <n v="2024"/>
    <n v="221"/>
    <x v="0"/>
    <s v="Tuesday"/>
    <x v="1"/>
    <x v="1"/>
    <s v="Regular"/>
  </r>
  <r>
    <n v="9254"/>
    <s v="QuickStop Market"/>
    <d v="2024-01-26T00:00:00"/>
    <s v="Produce"/>
    <s v="Salmon"/>
    <n v="4"/>
    <n v="25.8"/>
    <n v="103.2"/>
    <s v="Low"/>
    <n v="4.53"/>
    <n v="98.67"/>
    <x v="8"/>
    <n v="2024"/>
    <n v="278"/>
    <x v="0"/>
    <s v="Friday"/>
    <x v="1"/>
    <x v="1"/>
    <s v="Regular"/>
  </r>
  <r>
    <n v="3531"/>
    <s v="GreenGrocer Plaza"/>
    <d v="2025-06-24T00:00:00"/>
    <s v="Beverages"/>
    <s v="Milk"/>
    <n v="5"/>
    <n v="12.57"/>
    <n v="62.85"/>
    <s v="Low"/>
    <n v="2.74"/>
    <n v="60.11"/>
    <x v="10"/>
    <n v="2025"/>
    <n v="43"/>
    <x v="1"/>
    <s v="Tuesday"/>
    <x v="1"/>
    <x v="1"/>
    <s v="Regular"/>
  </r>
  <r>
    <n v="2677"/>
    <s v="ValuePlus Market"/>
    <d v="2025-02-28T00:00:00"/>
    <s v="Canned Goods"/>
    <s v="Bananas"/>
    <n v="5"/>
    <n v="13.67"/>
    <n v="68.349999999999994"/>
    <s v="Low"/>
    <n v="2.97"/>
    <n v="65.38"/>
    <x v="4"/>
    <n v="2025"/>
    <n v="16"/>
    <x v="1"/>
    <s v="Friday"/>
    <x v="1"/>
    <x v="1"/>
    <s v="Regular"/>
  </r>
  <r>
    <n v="2644"/>
    <s v="SuperSave Central"/>
    <d v="2025-06-16T00:00:00"/>
    <s v="Household Items"/>
    <s v="Apples"/>
    <n v="2"/>
    <n v="19.25"/>
    <n v="38.5"/>
    <s v="Low"/>
    <n v="1.67"/>
    <n v="36.83"/>
    <x v="10"/>
    <n v="2025"/>
    <n v="20"/>
    <x v="1"/>
    <s v="Monday"/>
    <x v="0"/>
    <x v="1"/>
    <s v="Regular"/>
  </r>
  <r>
    <n v="1911"/>
    <s v="City Fresh Store"/>
    <d v="2024-07-24T00:00:00"/>
    <s v="Frozen Foods"/>
    <s v="Salmon"/>
    <n v="2"/>
    <n v="28.25"/>
    <n v="56.5"/>
    <s v="Low"/>
    <n v="2.4500000000000002"/>
    <n v="54.05"/>
    <x v="2"/>
    <n v="2024"/>
    <n v="497"/>
    <x v="0"/>
    <s v="Wednesday"/>
    <x v="0"/>
    <x v="1"/>
    <s v="Regular"/>
  </r>
  <r>
    <n v="1200"/>
    <s v="Corner Grocery"/>
    <d v="2024-10-25T00:00:00"/>
    <s v="Personal Care"/>
    <s v="Cheese"/>
    <n v="5"/>
    <n v="20.91"/>
    <n v="104.55"/>
    <s v="Low"/>
    <n v="4.53"/>
    <n v="100.02"/>
    <x v="7"/>
    <n v="2024"/>
    <n v="479"/>
    <x v="0"/>
    <s v="Friday"/>
    <x v="1"/>
    <x v="1"/>
    <s v="High Value"/>
  </r>
  <r>
    <n v="3695"/>
    <s v="QuickStop Market"/>
    <d v="2024-02-22T00:00:00"/>
    <s v="Household Items"/>
    <s v="Chicken Breast"/>
    <n v="4"/>
    <n v="23.88"/>
    <n v="95.52"/>
    <s v="Low"/>
    <n v="4.13"/>
    <n v="91.39"/>
    <x v="4"/>
    <n v="2024"/>
    <n v="4"/>
    <x v="1"/>
    <s v="Thursday"/>
    <x v="1"/>
    <x v="1"/>
    <s v="Regular"/>
  </r>
  <r>
    <n v="3085"/>
    <s v="Corner Grocery"/>
    <d v="2024-01-03T00:00:00"/>
    <s v="Beverages"/>
    <s v="Apples"/>
    <n v="3"/>
    <n v="26.42"/>
    <n v="79.260000000000005"/>
    <s v="Low"/>
    <n v="3.41"/>
    <n v="75.850000000000009"/>
    <x v="8"/>
    <n v="2024"/>
    <n v="4"/>
    <x v="1"/>
    <s v="Wednesday"/>
    <x v="1"/>
    <x v="1"/>
    <s v="Regular"/>
  </r>
  <r>
    <n v="7899"/>
    <s v="FamilyFood Express"/>
    <d v="2024-03-26T00:00:00"/>
    <s v="Canned Goods"/>
    <s v="Salmon"/>
    <n v="4"/>
    <n v="15.91"/>
    <n v="63.64"/>
    <s v="Low"/>
    <n v="2.7"/>
    <n v="60.94"/>
    <x v="6"/>
    <n v="2024"/>
    <n v="439"/>
    <x v="0"/>
    <s v="Tuesday"/>
    <x v="1"/>
    <x v="1"/>
    <s v="Regular"/>
  </r>
  <r>
    <n v="2816"/>
    <s v="City Fresh Store"/>
    <d v="2024-03-14T00:00:00"/>
    <s v="Dairy"/>
    <s v="Potatoes"/>
    <n v="2"/>
    <n v="18.690000000000001"/>
    <n v="37.380000000000003"/>
    <s v="Low"/>
    <n v="1.58"/>
    <n v="35.800000000000004"/>
    <x v="6"/>
    <n v="2024"/>
    <n v="91"/>
    <x v="3"/>
    <s v="Thursday"/>
    <x v="0"/>
    <x v="1"/>
    <s v="Regular"/>
  </r>
  <r>
    <n v="4827"/>
    <s v="SuperSave Central"/>
    <d v="2023-10-04T00:00:00"/>
    <s v="Canned Goods"/>
    <s v="Orange Juice"/>
    <n v="4"/>
    <n v="14.06"/>
    <n v="56.24"/>
    <s v="Low"/>
    <n v="2.37"/>
    <n v="53.870000000000005"/>
    <x v="7"/>
    <n v="2023"/>
    <n v="276"/>
    <x v="0"/>
    <s v="Wednesday"/>
    <x v="1"/>
    <x v="1"/>
    <s v="Regular"/>
  </r>
  <r>
    <n v="5123"/>
    <s v="ValuePlus Market"/>
    <d v="2024-02-14T00:00:00"/>
    <s v="Beverages"/>
    <s v="Eggs"/>
    <n v="5"/>
    <n v="13.12"/>
    <n v="65.599999999999994"/>
    <s v="Low"/>
    <n v="2.74"/>
    <n v="62.859999999999992"/>
    <x v="4"/>
    <n v="2024"/>
    <n v="4"/>
    <x v="1"/>
    <s v="Wednesday"/>
    <x v="1"/>
    <x v="1"/>
    <s v="Regular"/>
  </r>
  <r>
    <n v="6928"/>
    <s v="Corner Grocery"/>
    <d v="2023-10-14T00:00:00"/>
    <s v="Bakery"/>
    <s v="Cereal"/>
    <n v="2"/>
    <n v="23.58"/>
    <n v="47.16"/>
    <s v="Low"/>
    <n v="1.95"/>
    <n v="45.209999999999994"/>
    <x v="7"/>
    <n v="2023"/>
    <n v="166"/>
    <x v="2"/>
    <s v="Saturday"/>
    <x v="0"/>
    <x v="0"/>
    <s v="Regular"/>
  </r>
  <r>
    <n v="9117"/>
    <s v="FamilyFood Express"/>
    <d v="2024-03-17T00:00:00"/>
    <s v="Produce"/>
    <s v="Cereal"/>
    <n v="3"/>
    <n v="25.06"/>
    <n v="75.180000000000007"/>
    <s v="Low"/>
    <n v="3.09"/>
    <n v="72.09"/>
    <x v="6"/>
    <n v="2024"/>
    <n v="493"/>
    <x v="0"/>
    <s v="Sunday"/>
    <x v="1"/>
    <x v="0"/>
    <s v="Regular"/>
  </r>
  <r>
    <n v="8996"/>
    <s v="QuickStop Market"/>
    <d v="2024-04-17T00:00:00"/>
    <s v="Meat &amp; Seafood"/>
    <s v="Orange Juice"/>
    <n v="3"/>
    <n v="14.11"/>
    <n v="42.33"/>
    <s v="Low"/>
    <n v="1.73"/>
    <n v="40.6"/>
    <x v="9"/>
    <n v="2024"/>
    <n v="283"/>
    <x v="0"/>
    <s v="Wednesday"/>
    <x v="1"/>
    <x v="1"/>
    <s v="Regular"/>
  </r>
  <r>
    <n v="6152"/>
    <s v="FamilyFood Express"/>
    <d v="2023-08-19T00:00:00"/>
    <s v="Household Items"/>
    <s v="Carrots"/>
    <n v="5"/>
    <n v="19.27"/>
    <n v="96.35"/>
    <s v="Low"/>
    <n v="3.93"/>
    <n v="92.419999999999987"/>
    <x v="5"/>
    <n v="2023"/>
    <n v="375"/>
    <x v="0"/>
    <s v="Saturday"/>
    <x v="1"/>
    <x v="0"/>
    <s v="Regular"/>
  </r>
  <r>
    <n v="8613"/>
    <s v="FamilyFood Express"/>
    <d v="2024-10-22T00:00:00"/>
    <s v="Snacks &amp; Candy"/>
    <s v="Potatoes"/>
    <n v="1"/>
    <n v="29.19"/>
    <n v="29.19"/>
    <s v="Low"/>
    <n v="1.18"/>
    <n v="28.01"/>
    <x v="7"/>
    <n v="2024"/>
    <n v="72"/>
    <x v="3"/>
    <s v="Tuesday"/>
    <x v="0"/>
    <x v="1"/>
    <s v="Regular"/>
  </r>
  <r>
    <n v="7272"/>
    <s v="QuickStop Market"/>
    <d v="2024-10-20T00:00:00"/>
    <s v="Dairy"/>
    <s v="Eggs"/>
    <n v="3"/>
    <n v="28.6"/>
    <n v="85.8"/>
    <s v="Low"/>
    <n v="3.46"/>
    <n v="82.34"/>
    <x v="7"/>
    <n v="2024"/>
    <n v="347"/>
    <x v="0"/>
    <s v="Sunday"/>
    <x v="1"/>
    <x v="0"/>
    <s v="Regular"/>
  </r>
  <r>
    <n v="5678"/>
    <s v="SuperSave Central"/>
    <d v="2025-01-27T00:00:00"/>
    <s v="Produce"/>
    <s v="Chicken Breast"/>
    <n v="4"/>
    <n v="11.73"/>
    <n v="46.92"/>
    <s v="Low"/>
    <n v="1.89"/>
    <n v="45.03"/>
    <x v="8"/>
    <n v="2025"/>
    <n v="98"/>
    <x v="3"/>
    <s v="Monday"/>
    <x v="1"/>
    <x v="1"/>
    <s v="Regular"/>
  </r>
  <r>
    <n v="7761"/>
    <s v="Corner Grocery"/>
    <d v="2024-06-25T00:00:00"/>
    <s v="Meat &amp; Seafood"/>
    <s v="Rice"/>
    <n v="5"/>
    <n v="19.79"/>
    <n v="98.95"/>
    <s v="Low"/>
    <n v="3.98"/>
    <n v="94.97"/>
    <x v="10"/>
    <n v="2024"/>
    <n v="75"/>
    <x v="3"/>
    <s v="Tuesday"/>
    <x v="1"/>
    <x v="1"/>
    <s v="Regular"/>
  </r>
  <r>
    <n v="5150"/>
    <s v="FreshMart Downtown"/>
    <d v="2023-09-04T00:00:00"/>
    <s v="Beverages"/>
    <s v="Salmon"/>
    <n v="1"/>
    <n v="29.26"/>
    <n v="29.26"/>
    <s v="Low"/>
    <n v="1.17"/>
    <n v="28.090000000000003"/>
    <x v="1"/>
    <n v="2023"/>
    <n v="400"/>
    <x v="0"/>
    <s v="Monday"/>
    <x v="0"/>
    <x v="1"/>
    <s v="Regular"/>
  </r>
  <r>
    <n v="7718"/>
    <s v="FreshMart Downtown"/>
    <d v="2023-08-25T00:00:00"/>
    <s v="Produce"/>
    <s v="Ground Beef"/>
    <n v="2"/>
    <n v="28.54"/>
    <n v="57.08"/>
    <s v="Low"/>
    <n v="2.2799999999999998"/>
    <n v="54.8"/>
    <x v="5"/>
    <n v="2023"/>
    <n v="488"/>
    <x v="0"/>
    <s v="Friday"/>
    <x v="0"/>
    <x v="1"/>
    <s v="Regular"/>
  </r>
  <r>
    <n v="3924"/>
    <s v="FamilyFood Express"/>
    <d v="2024-09-27T00:00:00"/>
    <s v="Bakery"/>
    <s v="Salmon"/>
    <n v="5"/>
    <n v="12.04"/>
    <n v="60.2"/>
    <s v="Low"/>
    <n v="2.4"/>
    <n v="57.800000000000004"/>
    <x v="1"/>
    <n v="2024"/>
    <n v="100"/>
    <x v="2"/>
    <s v="Friday"/>
    <x v="1"/>
    <x v="1"/>
    <s v="Regular"/>
  </r>
  <r>
    <n v="2876"/>
    <s v="SuperSave Central"/>
    <d v="2025-01-17T00:00:00"/>
    <s v="Beverages"/>
    <s v="Eggs"/>
    <n v="5"/>
    <n v="16.48"/>
    <n v="82.4"/>
    <s v="Low"/>
    <n v="3.26"/>
    <n v="79.14"/>
    <x v="8"/>
    <n v="2025"/>
    <n v="464"/>
    <x v="0"/>
    <s v="Friday"/>
    <x v="1"/>
    <x v="1"/>
    <s v="Regular"/>
  </r>
  <r>
    <n v="9238"/>
    <s v="MegaMart Westside"/>
    <d v="2025-07-14T00:00:00"/>
    <s v="Canned Goods"/>
    <s v="Cheese"/>
    <n v="2"/>
    <n v="27.7"/>
    <n v="55.4"/>
    <s v="Low"/>
    <n v="2.1800000000000002"/>
    <n v="53.22"/>
    <x v="2"/>
    <n v="2025"/>
    <n v="390"/>
    <x v="0"/>
    <s v="Monday"/>
    <x v="0"/>
    <x v="1"/>
    <s v="Regular"/>
  </r>
  <r>
    <n v="9431"/>
    <s v="Corner Grocery"/>
    <d v="2025-05-08T00:00:00"/>
    <s v="Canned Goods"/>
    <s v="Rice"/>
    <n v="4"/>
    <n v="24.33"/>
    <n v="97.32"/>
    <s v="Low"/>
    <n v="3.8"/>
    <n v="93.52"/>
    <x v="3"/>
    <n v="2025"/>
    <n v="70"/>
    <x v="3"/>
    <s v="Thursday"/>
    <x v="1"/>
    <x v="1"/>
    <s v="Regular"/>
  </r>
  <r>
    <n v="2163"/>
    <s v="Unknown Store"/>
    <d v="2024-09-20T00:00:00"/>
    <s v="Bakery"/>
    <s v="Bread"/>
    <n v="5"/>
    <n v="25.54"/>
    <n v="127.7"/>
    <s v="Low"/>
    <n v="4.9800000000000004"/>
    <n v="122.72"/>
    <x v="1"/>
    <n v="2024"/>
    <n v="102"/>
    <x v="2"/>
    <s v="Friday"/>
    <x v="1"/>
    <x v="1"/>
    <s v="High Value"/>
  </r>
  <r>
    <n v="3116"/>
    <s v="FamilyFood Express"/>
    <d v="2024-05-28T00:00:00"/>
    <s v="Dairy"/>
    <s v="Milk"/>
    <n v="2"/>
    <n v="15.17"/>
    <n v="30.34"/>
    <s v="Low"/>
    <n v="1.18"/>
    <n v="29.16"/>
    <x v="3"/>
    <n v="2024"/>
    <n v="9"/>
    <x v="1"/>
    <s v="Tuesday"/>
    <x v="0"/>
    <x v="1"/>
    <s v="Regular"/>
  </r>
  <r>
    <n v="9171"/>
    <s v="ValuePlus Market"/>
    <d v="2025-06-19T00:00:00"/>
    <s v="Health &amp; Wellness"/>
    <s v="Ground Beef"/>
    <n v="5"/>
    <n v="18.03"/>
    <n v="90.15"/>
    <s v="Low"/>
    <n v="3.47"/>
    <n v="86.68"/>
    <x v="10"/>
    <n v="2025"/>
    <n v="6"/>
    <x v="1"/>
    <s v="Thursday"/>
    <x v="1"/>
    <x v="1"/>
    <s v="Regular"/>
  </r>
  <r>
    <n v="9889"/>
    <s v="FamilyFood Express"/>
    <d v="2024-07-30T00:00:00"/>
    <s v="Household Items"/>
    <s v="Rice"/>
    <n v="3"/>
    <n v="27.7"/>
    <n v="83.1"/>
    <s v="Low"/>
    <n v="3.17"/>
    <n v="79.929999999999993"/>
    <x v="2"/>
    <n v="2024"/>
    <n v="67"/>
    <x v="3"/>
    <s v="Tuesday"/>
    <x v="1"/>
    <x v="1"/>
    <s v="Regular"/>
  </r>
  <r>
    <n v="9406"/>
    <s v="MegaMart Westside"/>
    <d v="2025-04-20T00:00:00"/>
    <s v="Dairy"/>
    <s v="Cheese"/>
    <n v="4"/>
    <n v="7.74"/>
    <n v="30.96"/>
    <s v="Low"/>
    <n v="1.18"/>
    <n v="29.78"/>
    <x v="9"/>
    <n v="2025"/>
    <n v="202"/>
    <x v="0"/>
    <s v="Sunday"/>
    <x v="1"/>
    <x v="0"/>
    <s v="Regular"/>
  </r>
  <r>
    <n v="2904"/>
    <s v="Corner Grocery"/>
    <d v="2025-01-16T00:00:00"/>
    <s v="Bakery"/>
    <s v="Yogurt"/>
    <n v="5"/>
    <n v="18.59"/>
    <n v="92.95"/>
    <s v="Low"/>
    <n v="3.51"/>
    <n v="89.44"/>
    <x v="8"/>
    <n v="2025"/>
    <n v="490"/>
    <x v="0"/>
    <s v="Thursday"/>
    <x v="1"/>
    <x v="1"/>
    <s v="Regular"/>
  </r>
  <r>
    <n v="8371"/>
    <s v="FamilyFood Express"/>
    <d v="2024-05-21T00:00:00"/>
    <s v="Beverages"/>
    <s v="Carrots"/>
    <n v="5"/>
    <n v="12.16"/>
    <n v="60.8"/>
    <s v="Low"/>
    <n v="2.27"/>
    <n v="58.529999999999994"/>
    <x v="3"/>
    <n v="2024"/>
    <n v="58"/>
    <x v="3"/>
    <s v="Tuesday"/>
    <x v="1"/>
    <x v="1"/>
    <s v="Regular"/>
  </r>
  <r>
    <n v="2816"/>
    <s v="SuperSave Central"/>
    <d v="2025-05-17T00:00:00"/>
    <s v="Personal Care"/>
    <s v="Pasta"/>
    <n v="5"/>
    <n v="26.83"/>
    <n v="134.15"/>
    <s v="Low"/>
    <n v="4.99"/>
    <n v="129.16"/>
    <x v="3"/>
    <n v="2025"/>
    <n v="299"/>
    <x v="0"/>
    <s v="Saturday"/>
    <x v="1"/>
    <x v="0"/>
    <s v="High Value"/>
  </r>
  <r>
    <n v="9079"/>
    <s v="SuperSave Central"/>
    <d v="2023-11-28T00:00:00"/>
    <s v="Snacks &amp; Candy"/>
    <s v="Potatoes"/>
    <n v="5"/>
    <n v="21.96"/>
    <n v="109.8"/>
    <s v="Low"/>
    <n v="4.07"/>
    <n v="105.72999999999999"/>
    <x v="0"/>
    <n v="2023"/>
    <n v="290"/>
    <x v="0"/>
    <s v="Tuesday"/>
    <x v="1"/>
    <x v="1"/>
    <s v="High Value"/>
  </r>
  <r>
    <n v="3339"/>
    <s v="ValuePlus Market"/>
    <d v="2025-05-27T00:00:00"/>
    <s v="Dairy"/>
    <s v="Yogurt"/>
    <n v="5"/>
    <n v="16.7"/>
    <n v="83.5"/>
    <s v="Low"/>
    <n v="3.09"/>
    <n v="80.41"/>
    <x v="3"/>
    <n v="2025"/>
    <n v="387"/>
    <x v="0"/>
    <s v="Tuesday"/>
    <x v="1"/>
    <x v="1"/>
    <s v="Regular"/>
  </r>
  <r>
    <n v="3986"/>
    <s v="MegaMart Westside"/>
    <d v="2025-04-28T00:00:00"/>
    <s v="Personal Care"/>
    <s v="Bread"/>
    <n v="3"/>
    <n v="26.88"/>
    <n v="80.64"/>
    <s v="Low"/>
    <n v="2.98"/>
    <n v="77.66"/>
    <x v="9"/>
    <n v="2025"/>
    <n v="213"/>
    <x v="0"/>
    <s v="Monday"/>
    <x v="1"/>
    <x v="1"/>
    <s v="Regular"/>
  </r>
  <r>
    <n v="1857"/>
    <s v="ValuePlus Market"/>
    <d v="2025-04-11T00:00:00"/>
    <s v="Frozen Foods"/>
    <s v="Orange Juice"/>
    <n v="4"/>
    <n v="12.94"/>
    <n v="51.76"/>
    <s v="Low"/>
    <n v="1.87"/>
    <n v="49.89"/>
    <x v="9"/>
    <n v="2025"/>
    <n v="471"/>
    <x v="0"/>
    <s v="Friday"/>
    <x v="1"/>
    <x v="1"/>
    <s v="Regular"/>
  </r>
  <r>
    <n v="8517"/>
    <s v="QuickStop Market"/>
    <d v="2023-11-25T00:00:00"/>
    <s v="Personal Care"/>
    <s v="Rice"/>
    <n v="4"/>
    <n v="10.45"/>
    <n v="41.8"/>
    <s v="Low"/>
    <n v="1.51"/>
    <n v="40.29"/>
    <x v="0"/>
    <n v="2023"/>
    <n v="356"/>
    <x v="0"/>
    <s v="Saturday"/>
    <x v="1"/>
    <x v="0"/>
    <s v="Regular"/>
  </r>
  <r>
    <n v="6456"/>
    <s v="Corner Grocery"/>
    <d v="2025-04-22T00:00:00"/>
    <s v="Snacks &amp; Candy"/>
    <s v="Milk"/>
    <n v="3"/>
    <n v="26.31"/>
    <n v="78.930000000000007"/>
    <s v="Low"/>
    <n v="2.83"/>
    <n v="76.100000000000009"/>
    <x v="9"/>
    <n v="2025"/>
    <n v="412"/>
    <x v="0"/>
    <s v="Tuesday"/>
    <x v="1"/>
    <x v="1"/>
    <s v="Regular"/>
  </r>
  <r>
    <n v="2468"/>
    <s v="FamilyFood Express"/>
    <d v="2024-05-07T00:00:00"/>
    <s v="Frozen Foods"/>
    <s v="Apples"/>
    <n v="3"/>
    <n v="10.6"/>
    <n v="31.8"/>
    <s v="Low"/>
    <n v="1.1399999999999999"/>
    <n v="30.66"/>
    <x v="3"/>
    <n v="2024"/>
    <n v="110"/>
    <x v="2"/>
    <s v="Tuesday"/>
    <x v="1"/>
    <x v="1"/>
    <s v="Regular"/>
  </r>
  <r>
    <n v="7888"/>
    <s v="MegaMart Westside"/>
    <d v="2025-01-04T00:00:00"/>
    <s v="Frozen Foods"/>
    <s v="Salmon"/>
    <n v="5"/>
    <n v="16.2"/>
    <n v="81"/>
    <s v="Low"/>
    <n v="2.87"/>
    <n v="78.13"/>
    <x v="8"/>
    <n v="2025"/>
    <n v="455"/>
    <x v="0"/>
    <s v="Saturday"/>
    <x v="1"/>
    <x v="0"/>
    <s v="Regular"/>
  </r>
  <r>
    <n v="5582"/>
    <s v="Corner Grocery"/>
    <d v="2025-05-09T00:00:00"/>
    <s v="Meat &amp; Seafood"/>
    <s v="Cheese"/>
    <n v="3"/>
    <n v="21.05"/>
    <n v="63.15"/>
    <s v="Low"/>
    <n v="2.23"/>
    <n v="60.92"/>
    <x v="3"/>
    <n v="2025"/>
    <n v="256"/>
    <x v="0"/>
    <s v="Friday"/>
    <x v="1"/>
    <x v="1"/>
    <s v="Regular"/>
  </r>
  <r>
    <n v="3881"/>
    <s v="ValuePlus Market"/>
    <d v="2025-04-22T00:00:00"/>
    <s v="Bakery"/>
    <s v="Potatoes"/>
    <n v="2"/>
    <n v="26.2"/>
    <n v="52.4"/>
    <s v="Low"/>
    <n v="1.85"/>
    <n v="50.55"/>
    <x v="9"/>
    <n v="2025"/>
    <n v="170"/>
    <x v="2"/>
    <s v="Tuesday"/>
    <x v="0"/>
    <x v="1"/>
    <s v="Regular"/>
  </r>
  <r>
    <n v="5735"/>
    <s v="Corner Grocery"/>
    <d v="2025-02-04T00:00:00"/>
    <s v="Snacks &amp; Candy"/>
    <s v="Bananas"/>
    <n v="5"/>
    <n v="8.17"/>
    <n v="40.85"/>
    <s v="Low"/>
    <n v="1.44"/>
    <n v="39.410000000000004"/>
    <x v="4"/>
    <n v="2025"/>
    <n v="138"/>
    <x v="2"/>
    <s v="Tuesday"/>
    <x v="1"/>
    <x v="1"/>
    <s v="Regular"/>
  </r>
  <r>
    <n v="2789"/>
    <s v="Corner Grocery"/>
    <d v="2024-11-27T00:00:00"/>
    <s v="Bakery"/>
    <s v="Rice"/>
    <n v="5"/>
    <n v="24.94"/>
    <n v="124.7"/>
    <s v="Low"/>
    <n v="4.3899999999999997"/>
    <n v="120.31"/>
    <x v="0"/>
    <n v="2024"/>
    <n v="18"/>
    <x v="1"/>
    <s v="Wednesday"/>
    <x v="1"/>
    <x v="1"/>
    <s v="High Value"/>
  </r>
  <r>
    <n v="9935"/>
    <s v="GreenGrocer Plaza"/>
    <d v="2023-10-13T00:00:00"/>
    <s v="Canned Goods"/>
    <s v="Orange Juice"/>
    <n v="5"/>
    <n v="8.66"/>
    <n v="43.3"/>
    <s v="Low"/>
    <n v="1.5"/>
    <n v="41.8"/>
    <x v="7"/>
    <n v="2023"/>
    <n v="22"/>
    <x v="1"/>
    <s v="Friday"/>
    <x v="1"/>
    <x v="1"/>
    <s v="Regular"/>
  </r>
  <r>
    <n v="5729"/>
    <s v="ValuePlus Market"/>
    <d v="2023-12-15T00:00:00"/>
    <s v="Personal Care"/>
    <s v="Yogurt"/>
    <n v="2"/>
    <n v="18.899999999999999"/>
    <n v="37.799999999999997"/>
    <s v="Low"/>
    <n v="1.3"/>
    <n v="36.5"/>
    <x v="11"/>
    <n v="2023"/>
    <n v="225"/>
    <x v="0"/>
    <s v="Friday"/>
    <x v="0"/>
    <x v="1"/>
    <s v="Regular"/>
  </r>
  <r>
    <n v="9185"/>
    <s v="MegaMart Westside"/>
    <d v="2025-06-04T00:00:00"/>
    <s v="Bakery"/>
    <s v="Apples"/>
    <n v="4"/>
    <n v="19.41"/>
    <n v="77.64"/>
    <s v="Low"/>
    <n v="2.65"/>
    <n v="74.989999999999995"/>
    <x v="10"/>
    <n v="2025"/>
    <n v="303"/>
    <x v="0"/>
    <s v="Wednesday"/>
    <x v="1"/>
    <x v="1"/>
    <s v="Regular"/>
  </r>
  <r>
    <n v="4770"/>
    <s v="Corner Grocery"/>
    <d v="2024-11-06T00:00:00"/>
    <s v="Personal Care"/>
    <s v="Bananas"/>
    <n v="5"/>
    <n v="14.39"/>
    <n v="71.95"/>
    <s v="Low"/>
    <n v="2.4500000000000002"/>
    <n v="69.5"/>
    <x v="0"/>
    <n v="2024"/>
    <n v="27"/>
    <x v="1"/>
    <s v="Wednesday"/>
    <x v="1"/>
    <x v="1"/>
    <s v="Regular"/>
  </r>
  <r>
    <n v="4770"/>
    <s v="Corner Grocery"/>
    <d v="2024-11-20T00:00:00"/>
    <s v="Personal Care"/>
    <s v="Onions"/>
    <n v="3"/>
    <n v="27.35"/>
    <n v="82.05"/>
    <s v="Low"/>
    <n v="2.77"/>
    <n v="79.28"/>
    <x v="0"/>
    <n v="2024"/>
    <n v="246"/>
    <x v="0"/>
    <s v="Wednesday"/>
    <x v="1"/>
    <x v="1"/>
    <s v="Regular"/>
  </r>
  <r>
    <n v="2657"/>
    <s v="FreshMart Downtown"/>
    <d v="2024-09-04T00:00:00"/>
    <s v="Meat &amp; Seafood"/>
    <s v="Tomatoes"/>
    <n v="5"/>
    <n v="20.69"/>
    <n v="103.45"/>
    <s v="Low"/>
    <n v="3.49"/>
    <n v="99.960000000000008"/>
    <x v="1"/>
    <n v="2024"/>
    <n v="78"/>
    <x v="3"/>
    <s v="Wednesday"/>
    <x v="1"/>
    <x v="1"/>
    <s v="Regular"/>
  </r>
  <r>
    <n v="4450"/>
    <s v="MegaMart Westside"/>
    <d v="2025-02-14T00:00:00"/>
    <s v="Health &amp; Wellness"/>
    <s v="Salmon"/>
    <n v="4"/>
    <n v="23.3"/>
    <n v="93.2"/>
    <s v="Low"/>
    <n v="3.11"/>
    <n v="90.09"/>
    <x v="4"/>
    <n v="2025"/>
    <n v="398"/>
    <x v="0"/>
    <s v="Friday"/>
    <x v="1"/>
    <x v="1"/>
    <s v="Regular"/>
  </r>
  <r>
    <n v="8529"/>
    <s v="QuickStop Market"/>
    <d v="2023-08-19T00:00:00"/>
    <s v="Dairy"/>
    <s v="Potatoes"/>
    <n v="5"/>
    <n v="18.579999999999998"/>
    <n v="92.9"/>
    <s v="Low"/>
    <n v="3.08"/>
    <n v="89.820000000000007"/>
    <x v="5"/>
    <n v="2023"/>
    <n v="289"/>
    <x v="0"/>
    <s v="Saturday"/>
    <x v="1"/>
    <x v="0"/>
    <s v="Regular"/>
  </r>
  <r>
    <n v="4015"/>
    <s v="GreenGrocer Plaza"/>
    <d v="2025-07-19T00:00:00"/>
    <s v="Health &amp; Wellness"/>
    <s v="Potatoes"/>
    <n v="4"/>
    <n v="28.9"/>
    <n v="115.6"/>
    <s v="Low"/>
    <n v="3.83"/>
    <n v="111.77"/>
    <x v="2"/>
    <n v="2025"/>
    <n v="310"/>
    <x v="0"/>
    <s v="Saturday"/>
    <x v="1"/>
    <x v="0"/>
    <s v="High Value"/>
  </r>
  <r>
    <n v="7797"/>
    <s v="FreshMart Downtown"/>
    <d v="2024-06-18T00:00:00"/>
    <s v="Frozen Foods"/>
    <s v="Cheese"/>
    <n v="4"/>
    <n v="23.59"/>
    <n v="94.36"/>
    <s v="Low"/>
    <n v="3.08"/>
    <n v="91.28"/>
    <x v="10"/>
    <n v="2024"/>
    <n v="371"/>
    <x v="0"/>
    <s v="Tuesday"/>
    <x v="1"/>
    <x v="1"/>
    <s v="Regular"/>
  </r>
  <r>
    <n v="5891"/>
    <s v="City Fresh Store"/>
    <d v="2025-05-18T00:00:00"/>
    <s v="Beverages"/>
    <s v="Cereal"/>
    <n v="5"/>
    <n v="20.11"/>
    <n v="100.55"/>
    <s v="Low"/>
    <n v="3.27"/>
    <n v="97.28"/>
    <x v="3"/>
    <n v="2025"/>
    <n v="355"/>
    <x v="0"/>
    <s v="Sunday"/>
    <x v="1"/>
    <x v="0"/>
    <s v="Regular"/>
  </r>
  <r>
    <n v="6400"/>
    <s v="GreenGrocer Plaza"/>
    <d v="2025-01-08T00:00:00"/>
    <s v="Canned Goods"/>
    <s v="Potatoes"/>
    <n v="4"/>
    <n v="25.52"/>
    <n v="102.08"/>
    <s v="Low"/>
    <n v="3.3"/>
    <n v="98.78"/>
    <x v="8"/>
    <n v="2025"/>
    <n v="144"/>
    <x v="2"/>
    <s v="Wednesday"/>
    <x v="1"/>
    <x v="1"/>
    <s v="Regular"/>
  </r>
  <r>
    <n v="7209"/>
    <s v="FamilyFood Express"/>
    <d v="2024-04-24T00:00:00"/>
    <s v="Personal Care"/>
    <s v="Cheese"/>
    <n v="3"/>
    <n v="14.29"/>
    <n v="42.87"/>
    <s v="Low"/>
    <n v="1.38"/>
    <n v="41.489999999999995"/>
    <x v="9"/>
    <n v="2024"/>
    <n v="382"/>
    <x v="0"/>
    <s v="Wednesday"/>
    <x v="1"/>
    <x v="1"/>
    <s v="Regular"/>
  </r>
  <r>
    <n v="7179"/>
    <s v="FreshMart Downtown"/>
    <d v="2024-10-09T00:00:00"/>
    <s v="Household Items"/>
    <s v="Cereal"/>
    <n v="3"/>
    <n v="24.49"/>
    <n v="73.47"/>
    <s v="Low"/>
    <n v="2.36"/>
    <n v="71.11"/>
    <x v="7"/>
    <n v="2024"/>
    <n v="302"/>
    <x v="0"/>
    <s v="Wednesday"/>
    <x v="1"/>
    <x v="1"/>
    <s v="Regular"/>
  </r>
  <r>
    <n v="7126"/>
    <s v="City Fresh Store"/>
    <d v="2025-03-21T00:00:00"/>
    <s v="Bakery"/>
    <s v="Salmon"/>
    <n v="5"/>
    <n v="18.690000000000001"/>
    <n v="93.45"/>
    <s v="Low"/>
    <n v="2.98"/>
    <n v="90.47"/>
    <x v="6"/>
    <n v="2025"/>
    <n v="194"/>
    <x v="2"/>
    <s v="Friday"/>
    <x v="1"/>
    <x v="1"/>
    <s v="Regular"/>
  </r>
  <r>
    <n v="1672"/>
    <s v="GreenGrocer Plaza"/>
    <d v="2024-05-02T00:00:00"/>
    <s v="Personal Care"/>
    <s v="Bananas"/>
    <n v="3"/>
    <n v="28.07"/>
    <n v="84.21"/>
    <s v="Low"/>
    <n v="2.68"/>
    <n v="81.529999999999987"/>
    <x v="3"/>
    <n v="2024"/>
    <n v="67"/>
    <x v="3"/>
    <s v="Thursday"/>
    <x v="1"/>
    <x v="1"/>
    <s v="Regular"/>
  </r>
  <r>
    <n v="9366"/>
    <s v="MegaMart Westside"/>
    <d v="2025-03-09T00:00:00"/>
    <s v="Meat &amp; Seafood"/>
    <s v="Tomatoes"/>
    <n v="3"/>
    <n v="27.03"/>
    <n v="81.09"/>
    <s v="Low"/>
    <n v="2.58"/>
    <n v="78.510000000000005"/>
    <x v="6"/>
    <n v="2025"/>
    <n v="419"/>
    <x v="0"/>
    <s v="Sunday"/>
    <x v="1"/>
    <x v="0"/>
    <s v="Regular"/>
  </r>
  <r>
    <n v="6241"/>
    <s v="SuperSave Central"/>
    <d v="2024-03-04T00:00:00"/>
    <s v="Canned Goods"/>
    <s v="Rice"/>
    <n v="5"/>
    <n v="13.43"/>
    <n v="67.150000000000006"/>
    <s v="Low"/>
    <n v="2.13"/>
    <n v="65.02000000000001"/>
    <x v="6"/>
    <n v="2024"/>
    <n v="62"/>
    <x v="3"/>
    <s v="Monday"/>
    <x v="1"/>
    <x v="1"/>
    <s v="Regular"/>
  </r>
  <r>
    <n v="5668"/>
    <s v="Corner Grocery"/>
    <d v="2025-03-13T00:00:00"/>
    <s v="Household Items"/>
    <s v="Carrots"/>
    <n v="4"/>
    <n v="8.7200000000000006"/>
    <n v="34.880000000000003"/>
    <s v="Low"/>
    <n v="1.0900000000000001"/>
    <n v="33.79"/>
    <x v="6"/>
    <n v="2025"/>
    <n v="356"/>
    <x v="0"/>
    <s v="Thursday"/>
    <x v="1"/>
    <x v="1"/>
    <s v="Regular"/>
  </r>
  <r>
    <n v="1841"/>
    <s v="SuperSave Central"/>
    <d v="2024-02-19T00:00:00"/>
    <s v="Household Items"/>
    <s v="Pasta"/>
    <n v="3"/>
    <n v="27.4"/>
    <n v="82.2"/>
    <s v="Low"/>
    <n v="2.5499999999999998"/>
    <n v="79.650000000000006"/>
    <x v="4"/>
    <n v="2024"/>
    <n v="468"/>
    <x v="0"/>
    <s v="Monday"/>
    <x v="1"/>
    <x v="1"/>
    <s v="Regular"/>
  </r>
  <r>
    <n v="6049"/>
    <s v="Corner Grocery"/>
    <d v="2025-02-18T00:00:00"/>
    <s v="Beverages"/>
    <s v="Bread"/>
    <n v="3"/>
    <n v="14.5"/>
    <n v="43.5"/>
    <s v="Low"/>
    <n v="1.34"/>
    <n v="42.16"/>
    <x v="4"/>
    <n v="2025"/>
    <n v="328"/>
    <x v="0"/>
    <s v="Tuesday"/>
    <x v="1"/>
    <x v="1"/>
    <s v="Regular"/>
  </r>
  <r>
    <n v="9618"/>
    <s v="MegaMart Westside"/>
    <d v="2024-10-02T00:00:00"/>
    <s v="Household Items"/>
    <s v="Apples"/>
    <n v="4"/>
    <n v="19.28"/>
    <n v="77.12"/>
    <s v="Low"/>
    <n v="2.37"/>
    <n v="74.75"/>
    <x v="7"/>
    <n v="2024"/>
    <n v="47"/>
    <x v="1"/>
    <s v="Wednesday"/>
    <x v="1"/>
    <x v="1"/>
    <s v="Regular"/>
  </r>
  <r>
    <n v="5902"/>
    <s v="SuperSave Central"/>
    <d v="2023-11-21T00:00:00"/>
    <s v="Bakery"/>
    <s v="Ground Beef"/>
    <n v="5"/>
    <n v="23.43"/>
    <n v="117.15"/>
    <s v="Low"/>
    <n v="3.6"/>
    <n v="113.55000000000001"/>
    <x v="0"/>
    <n v="2023"/>
    <n v="91"/>
    <x v="3"/>
    <s v="Tuesday"/>
    <x v="1"/>
    <x v="1"/>
    <s v="High Value"/>
  </r>
  <r>
    <n v="8136"/>
    <s v="FreshMart Downtown"/>
    <d v="2025-05-09T00:00:00"/>
    <s v="Meat &amp; Seafood"/>
    <s v="Ground Beef"/>
    <n v="5"/>
    <n v="29.45"/>
    <n v="147.25"/>
    <s v="Low"/>
    <n v="4.51"/>
    <n v="142.74"/>
    <x v="3"/>
    <n v="2025"/>
    <n v="488"/>
    <x v="0"/>
    <s v="Friday"/>
    <x v="1"/>
    <x v="1"/>
    <s v="High Value"/>
  </r>
  <r>
    <n v="3194"/>
    <s v="City Fresh Store"/>
    <d v="2025-06-22T00:00:00"/>
    <s v="Produce"/>
    <s v="Tomatoes"/>
    <n v="4"/>
    <n v="25.76"/>
    <n v="103.04"/>
    <s v="Low"/>
    <n v="3.15"/>
    <n v="99.89"/>
    <x v="10"/>
    <n v="2025"/>
    <n v="388"/>
    <x v="0"/>
    <s v="Sunday"/>
    <x v="1"/>
    <x v="0"/>
    <s v="Regular"/>
  </r>
  <r>
    <n v="1510"/>
    <s v="GreenGrocer Plaza"/>
    <d v="2023-09-23T00:00:00"/>
    <s v="Produce"/>
    <s v="Chicken Breast"/>
    <n v="4"/>
    <n v="29.81"/>
    <n v="119.24"/>
    <s v="Low"/>
    <n v="3.64"/>
    <n v="115.6"/>
    <x v="1"/>
    <n v="2023"/>
    <n v="82"/>
    <x v="3"/>
    <s v="Saturday"/>
    <x v="1"/>
    <x v="0"/>
    <s v="High Value"/>
  </r>
  <r>
    <n v="9641"/>
    <s v="City Fresh Store"/>
    <d v="2024-06-27T00:00:00"/>
    <s v="Frozen Foods"/>
    <s v="Onions"/>
    <n v="5"/>
    <n v="25.72"/>
    <n v="128.6"/>
    <s v="Low"/>
    <n v="3.91"/>
    <n v="124.69"/>
    <x v="10"/>
    <n v="2024"/>
    <n v="464"/>
    <x v="0"/>
    <s v="Thursday"/>
    <x v="1"/>
    <x v="1"/>
    <s v="High Value"/>
  </r>
  <r>
    <n v="6909"/>
    <s v="FamilyFood Express"/>
    <d v="2023-10-28T00:00:00"/>
    <s v="Frozen Foods"/>
    <s v="Potatoes"/>
    <n v="4"/>
    <n v="24.1"/>
    <n v="96.4"/>
    <s v="Low"/>
    <n v="2.92"/>
    <n v="93.48"/>
    <x v="7"/>
    <n v="2023"/>
    <n v="200"/>
    <x v="0"/>
    <s v="Saturday"/>
    <x v="1"/>
    <x v="0"/>
    <s v="Regular"/>
  </r>
  <r>
    <n v="5658"/>
    <s v="City Fresh Store"/>
    <d v="2024-08-05T00:00:00"/>
    <s v="Frozen Foods"/>
    <s v="Bread"/>
    <n v="4"/>
    <n v="27.17"/>
    <n v="108.68"/>
    <s v="Low"/>
    <n v="3.28"/>
    <n v="105.4"/>
    <x v="5"/>
    <n v="2024"/>
    <n v="365"/>
    <x v="0"/>
    <s v="Monday"/>
    <x v="1"/>
    <x v="1"/>
    <s v="High Value"/>
  </r>
  <r>
    <n v="3144"/>
    <s v="Corner Grocery"/>
    <d v="2025-01-09T00:00:00"/>
    <s v="Personal Care"/>
    <s v="Ground Beef"/>
    <n v="5"/>
    <n v="17.190000000000001"/>
    <n v="85.95"/>
    <s v="Low"/>
    <n v="2.59"/>
    <n v="83.36"/>
    <x v="8"/>
    <n v="2025"/>
    <n v="342"/>
    <x v="0"/>
    <s v="Thursday"/>
    <x v="1"/>
    <x v="1"/>
    <s v="Regular"/>
  </r>
  <r>
    <n v="6442"/>
    <s v="FamilyFood Express"/>
    <d v="2025-04-05T00:00:00"/>
    <s v="Beverages"/>
    <s v="Bananas"/>
    <n v="3"/>
    <n v="17.059999999999999"/>
    <n v="51.18"/>
    <s v="Low"/>
    <n v="1.52"/>
    <n v="49.66"/>
    <x v="9"/>
    <n v="2025"/>
    <n v="188"/>
    <x v="2"/>
    <s v="Saturday"/>
    <x v="1"/>
    <x v="0"/>
    <s v="Regular"/>
  </r>
  <r>
    <n v="8311"/>
    <s v="GreenGrocer Plaza"/>
    <d v="2024-01-20T00:00:00"/>
    <s v="Personal Care"/>
    <s v="Bananas"/>
    <n v="4"/>
    <n v="20.49"/>
    <n v="81.96"/>
    <s v="Low"/>
    <n v="2.4300000000000002"/>
    <n v="79.529999999999987"/>
    <x v="8"/>
    <n v="2024"/>
    <n v="180"/>
    <x v="2"/>
    <s v="Saturday"/>
    <x v="1"/>
    <x v="0"/>
    <s v="Regular"/>
  </r>
  <r>
    <n v="3449"/>
    <s v="Corner Grocery"/>
    <d v="2024-10-06T00:00:00"/>
    <s v="Health &amp; Wellness"/>
    <s v="Orange Juice"/>
    <n v="2"/>
    <n v="29.06"/>
    <n v="58.12"/>
    <s v="Low"/>
    <n v="1.72"/>
    <n v="56.4"/>
    <x v="7"/>
    <n v="2024"/>
    <n v="286"/>
    <x v="0"/>
    <s v="Sunday"/>
    <x v="0"/>
    <x v="0"/>
    <s v="Regular"/>
  </r>
  <r>
    <n v="2402"/>
    <s v="QuickStop Market"/>
    <d v="2024-09-16T00:00:00"/>
    <s v="Health &amp; Wellness"/>
    <s v="Eggs"/>
    <n v="3"/>
    <n v="20.29"/>
    <n v="60.87"/>
    <s v="Low"/>
    <n v="1.8"/>
    <n v="59.07"/>
    <x v="1"/>
    <n v="2024"/>
    <n v="426"/>
    <x v="0"/>
    <s v="Monday"/>
    <x v="1"/>
    <x v="1"/>
    <s v="Regular"/>
  </r>
  <r>
    <n v="6050"/>
    <s v="GreenGrocer Plaza"/>
    <d v="2024-05-16T00:00:00"/>
    <s v="Snacks &amp; Candy"/>
    <s v="Bread"/>
    <n v="4"/>
    <n v="18.46"/>
    <n v="73.84"/>
    <s v="Low"/>
    <n v="2.1800000000000002"/>
    <n v="71.66"/>
    <x v="3"/>
    <n v="2024"/>
    <n v="421"/>
    <x v="0"/>
    <s v="Thursday"/>
    <x v="1"/>
    <x v="1"/>
    <s v="Regular"/>
  </r>
  <r>
    <n v="6896"/>
    <s v="Corner Grocery"/>
    <d v="2025-03-20T00:00:00"/>
    <s v="Meat &amp; Seafood"/>
    <s v="Potatoes"/>
    <n v="4"/>
    <n v="18.420000000000002"/>
    <n v="73.680000000000007"/>
    <s v="Low"/>
    <n v="2.16"/>
    <n v="71.52000000000001"/>
    <x v="6"/>
    <n v="2025"/>
    <n v="351"/>
    <x v="0"/>
    <s v="Thursday"/>
    <x v="1"/>
    <x v="1"/>
    <s v="Regular"/>
  </r>
  <r>
    <n v="9728"/>
    <s v="ValuePlus Market"/>
    <d v="2024-07-04T00:00:00"/>
    <s v="Health &amp; Wellness"/>
    <s v="Apples"/>
    <n v="4"/>
    <n v="28.67"/>
    <n v="114.68"/>
    <s v="Low"/>
    <n v="3.35"/>
    <n v="111.33000000000001"/>
    <x v="2"/>
    <n v="2024"/>
    <n v="394"/>
    <x v="0"/>
    <s v="Thursday"/>
    <x v="1"/>
    <x v="1"/>
    <s v="High Value"/>
  </r>
  <r>
    <n v="2381"/>
    <s v="SuperSave Central"/>
    <d v="2024-09-01T00:00:00"/>
    <s v="Snacks &amp; Candy"/>
    <s v="Rice"/>
    <n v="5"/>
    <n v="15.22"/>
    <n v="76.099999999999994"/>
    <s v="Low"/>
    <n v="2.2200000000000002"/>
    <n v="73.88"/>
    <x v="1"/>
    <n v="2024"/>
    <n v="421"/>
    <x v="0"/>
    <s v="Sunday"/>
    <x v="1"/>
    <x v="0"/>
    <s v="Regular"/>
  </r>
  <r>
    <n v="4792"/>
    <s v="FreshMart Downtown"/>
    <d v="2025-07-03T00:00:00"/>
    <s v="Frozen Foods"/>
    <s v="Bananas"/>
    <n v="3"/>
    <n v="13.9"/>
    <n v="41.7"/>
    <s v="Low"/>
    <n v="1.21"/>
    <n v="40.49"/>
    <x v="2"/>
    <n v="2025"/>
    <n v="373"/>
    <x v="0"/>
    <s v="Thursday"/>
    <x v="1"/>
    <x v="1"/>
    <s v="Regular"/>
  </r>
  <r>
    <n v="8612"/>
    <s v="GreenGrocer Plaza"/>
    <d v="2025-01-28T00:00:00"/>
    <s v="Health &amp; Wellness"/>
    <s v="Cheese"/>
    <n v="4"/>
    <n v="25.6"/>
    <n v="102.4"/>
    <s v="Low"/>
    <n v="2.95"/>
    <n v="99.45"/>
    <x v="8"/>
    <n v="2025"/>
    <n v="377"/>
    <x v="0"/>
    <s v="Tuesday"/>
    <x v="1"/>
    <x v="1"/>
    <s v="Regular"/>
  </r>
  <r>
    <n v="4621"/>
    <s v="MegaMart Westside"/>
    <d v="2024-07-18T00:00:00"/>
    <s v="Canned Goods"/>
    <s v="Cereal"/>
    <n v="5"/>
    <n v="24.86"/>
    <n v="124.3"/>
    <s v="Low"/>
    <n v="3.58"/>
    <n v="120.72"/>
    <x v="2"/>
    <n v="2024"/>
    <n v="312"/>
    <x v="0"/>
    <s v="Thursday"/>
    <x v="1"/>
    <x v="1"/>
    <s v="High Value"/>
  </r>
  <r>
    <n v="1858"/>
    <s v="Corner Grocery"/>
    <d v="2023-11-13T00:00:00"/>
    <s v="Frozen Foods"/>
    <s v="Milk"/>
    <n v="5"/>
    <n v="27.2"/>
    <n v="136"/>
    <s v="Low"/>
    <n v="3.89"/>
    <n v="132.11000000000001"/>
    <x v="0"/>
    <n v="2023"/>
    <n v="237"/>
    <x v="0"/>
    <s v="Monday"/>
    <x v="1"/>
    <x v="1"/>
    <s v="High Value"/>
  </r>
  <r>
    <n v="4920"/>
    <s v="GreenGrocer Plaza"/>
    <d v="2025-02-08T00:00:00"/>
    <s v="Canned Goods"/>
    <s v="Carrots"/>
    <n v="2"/>
    <n v="28.74"/>
    <n v="57.48"/>
    <s v="Low"/>
    <n v="1.64"/>
    <n v="55.839999999999996"/>
    <x v="4"/>
    <n v="2025"/>
    <n v="266"/>
    <x v="0"/>
    <s v="Saturday"/>
    <x v="0"/>
    <x v="0"/>
    <s v="Regular"/>
  </r>
  <r>
    <n v="2193"/>
    <s v="FreshMart Downtown"/>
    <d v="2024-07-25T00:00:00"/>
    <s v="Bakery"/>
    <s v="Milk"/>
    <n v="4"/>
    <n v="13.72"/>
    <n v="54.88"/>
    <s v="Low"/>
    <n v="1.56"/>
    <n v="53.32"/>
    <x v="2"/>
    <n v="2024"/>
    <n v="276"/>
    <x v="0"/>
    <s v="Thursday"/>
    <x v="1"/>
    <x v="1"/>
    <s v="Regular"/>
  </r>
  <r>
    <n v="1488"/>
    <s v="GreenGrocer Plaza"/>
    <d v="2023-10-18T00:00:00"/>
    <s v="Produce"/>
    <s v="Ground Beef"/>
    <n v="3"/>
    <n v="29.56"/>
    <n v="88.68"/>
    <s v="Low"/>
    <n v="2.52"/>
    <n v="86.160000000000011"/>
    <x v="7"/>
    <n v="2023"/>
    <n v="437"/>
    <x v="0"/>
    <s v="Wednesday"/>
    <x v="1"/>
    <x v="1"/>
    <s v="Regular"/>
  </r>
  <r>
    <n v="8861"/>
    <s v="GreenGrocer Plaza"/>
    <d v="2024-05-03T00:00:00"/>
    <s v="Dairy"/>
    <s v="Apples"/>
    <n v="5"/>
    <n v="22.11"/>
    <n v="110.55"/>
    <s v="Low"/>
    <n v="3.12"/>
    <n v="107.42999999999999"/>
    <x v="3"/>
    <n v="2024"/>
    <n v="156"/>
    <x v="2"/>
    <s v="Friday"/>
    <x v="1"/>
    <x v="1"/>
    <s v="High Value"/>
  </r>
  <r>
    <n v="6039"/>
    <s v="SuperSave Central"/>
    <d v="2024-11-11T00:00:00"/>
    <s v="Canned Goods"/>
    <s v="Potatoes"/>
    <n v="3"/>
    <n v="22.74"/>
    <n v="68.22"/>
    <s v="Low"/>
    <n v="1.91"/>
    <n v="66.31"/>
    <x v="0"/>
    <n v="2024"/>
    <n v="84"/>
    <x v="3"/>
    <s v="Monday"/>
    <x v="1"/>
    <x v="1"/>
    <s v="Regular"/>
  </r>
  <r>
    <n v="7686"/>
    <s v="FreshMart Downtown"/>
    <d v="2025-08-05T00:00:00"/>
    <s v="Frozen Foods"/>
    <s v="Apples"/>
    <n v="3"/>
    <n v="18.86"/>
    <n v="56.58"/>
    <s v="Low"/>
    <n v="1.58"/>
    <n v="55"/>
    <x v="5"/>
    <n v="2025"/>
    <n v="411"/>
    <x v="0"/>
    <s v="Tuesday"/>
    <x v="1"/>
    <x v="1"/>
    <s v="Regular"/>
  </r>
  <r>
    <n v="8140"/>
    <s v="MegaMart Westside"/>
    <d v="2024-08-18T00:00:00"/>
    <s v="Snacks &amp; Candy"/>
    <s v="Salmon"/>
    <n v="5"/>
    <n v="21.01"/>
    <n v="105.05"/>
    <s v="Low"/>
    <n v="2.93"/>
    <n v="102.11999999999999"/>
    <x v="5"/>
    <n v="2024"/>
    <n v="77"/>
    <x v="3"/>
    <s v="Sunday"/>
    <x v="1"/>
    <x v="0"/>
    <s v="High Value"/>
  </r>
  <r>
    <n v="6925"/>
    <s v="FamilyFood Express"/>
    <d v="2024-10-28T00:00:00"/>
    <s v="Meat &amp; Seafood"/>
    <s v="Cheese"/>
    <n v="4"/>
    <n v="14.95"/>
    <n v="59.8"/>
    <s v="Low"/>
    <n v="1.66"/>
    <n v="58.14"/>
    <x v="7"/>
    <n v="2024"/>
    <n v="442"/>
    <x v="0"/>
    <s v="Monday"/>
    <x v="1"/>
    <x v="1"/>
    <s v="Regular"/>
  </r>
  <r>
    <n v="8939"/>
    <s v="Corner Grocery"/>
    <d v="2023-11-21T00:00:00"/>
    <s v="Household Items"/>
    <s v="Pasta"/>
    <n v="4"/>
    <n v="19.29"/>
    <n v="77.16"/>
    <s v="Low"/>
    <n v="2.14"/>
    <n v="75.02"/>
    <x v="0"/>
    <n v="2023"/>
    <n v="168"/>
    <x v="2"/>
    <s v="Tuesday"/>
    <x v="1"/>
    <x v="1"/>
    <s v="Regular"/>
  </r>
  <r>
    <n v="1725"/>
    <s v="Unknown Store"/>
    <d v="2024-10-17T00:00:00"/>
    <s v="Meat &amp; Seafood"/>
    <s v="Rice"/>
    <n v="5"/>
    <n v="28.98"/>
    <n v="144.9"/>
    <s v="Low"/>
    <n v="4.01"/>
    <n v="140.89000000000001"/>
    <x v="7"/>
    <n v="2024"/>
    <n v="482"/>
    <x v="0"/>
    <s v="Thursday"/>
    <x v="1"/>
    <x v="1"/>
    <s v="High Value"/>
  </r>
  <r>
    <n v="7367"/>
    <s v="FreshMart Downtown"/>
    <d v="2024-11-23T00:00:00"/>
    <s v="Health &amp; Wellness"/>
    <s v="Cheese"/>
    <n v="5"/>
    <n v="29.86"/>
    <n v="149.30000000000001"/>
    <s v="Low"/>
    <n v="4.13"/>
    <n v="145.17000000000002"/>
    <x v="0"/>
    <n v="2024"/>
    <n v="441"/>
    <x v="0"/>
    <s v="Saturday"/>
    <x v="1"/>
    <x v="0"/>
    <s v="High Value"/>
  </r>
  <r>
    <n v="1056"/>
    <s v="ValuePlus Market"/>
    <d v="2025-03-16T00:00:00"/>
    <s v="Snacks &amp; Candy"/>
    <s v="Yogurt"/>
    <n v="5"/>
    <n v="19.68"/>
    <n v="98.4"/>
    <s v="Low"/>
    <n v="2.72"/>
    <n v="95.68"/>
    <x v="6"/>
    <n v="2025"/>
    <n v="424"/>
    <x v="0"/>
    <s v="Sunday"/>
    <x v="1"/>
    <x v="0"/>
    <s v="Regular"/>
  </r>
  <r>
    <n v="5720"/>
    <s v="QuickStop Market"/>
    <d v="2024-02-07T00:00:00"/>
    <s v="Canned Goods"/>
    <s v="Cheese"/>
    <n v="3"/>
    <n v="27.17"/>
    <n v="81.510000000000005"/>
    <s v="Low"/>
    <n v="2.25"/>
    <n v="79.260000000000005"/>
    <x v="4"/>
    <n v="2024"/>
    <n v="134"/>
    <x v="2"/>
    <s v="Wednesday"/>
    <x v="1"/>
    <x v="1"/>
    <s v="Regular"/>
  </r>
  <r>
    <n v="2680"/>
    <s v="City Fresh Store"/>
    <d v="2023-10-08T00:00:00"/>
    <s v="Dairy"/>
    <s v="Eggs"/>
    <n v="4"/>
    <n v="25.01"/>
    <n v="100.04"/>
    <s v="Low"/>
    <n v="2.7"/>
    <n v="97.34"/>
    <x v="7"/>
    <n v="2023"/>
    <n v="41"/>
    <x v="1"/>
    <s v="Sunday"/>
    <x v="1"/>
    <x v="0"/>
    <s v="Regular"/>
  </r>
  <r>
    <n v="5533"/>
    <s v="City Fresh Store"/>
    <d v="2023-09-10T00:00:00"/>
    <s v="Meat &amp; Seafood"/>
    <s v="Potatoes"/>
    <n v="4"/>
    <n v="18.84"/>
    <n v="75.36"/>
    <s v="Low"/>
    <n v="2.02"/>
    <n v="73.34"/>
    <x v="1"/>
    <n v="2023"/>
    <n v="463"/>
    <x v="0"/>
    <s v="Sunday"/>
    <x v="1"/>
    <x v="0"/>
    <s v="Regular"/>
  </r>
  <r>
    <n v="3504"/>
    <s v="FamilyFood Express"/>
    <d v="2025-03-19T00:00:00"/>
    <s v="Canned Goods"/>
    <s v="Orange Juice"/>
    <n v="3"/>
    <n v="15.59"/>
    <n v="46.77"/>
    <s v="Low"/>
    <n v="1.25"/>
    <n v="45.52"/>
    <x v="6"/>
    <n v="2025"/>
    <n v="216"/>
    <x v="0"/>
    <s v="Wednesday"/>
    <x v="1"/>
    <x v="1"/>
    <s v="Regular"/>
  </r>
  <r>
    <n v="3532"/>
    <s v="City Fresh Store"/>
    <d v="2025-07-26T00:00:00"/>
    <s v="Canned Goods"/>
    <s v="Orange Juice"/>
    <n v="4"/>
    <n v="23.12"/>
    <n v="92.48"/>
    <s v="Low"/>
    <n v="2.4700000000000002"/>
    <n v="90.01"/>
    <x v="2"/>
    <n v="2025"/>
    <n v="293"/>
    <x v="0"/>
    <s v="Saturday"/>
    <x v="1"/>
    <x v="0"/>
    <s v="Regular"/>
  </r>
  <r>
    <n v="7311"/>
    <s v="GreenGrocer Plaza"/>
    <d v="2023-08-16T00:00:00"/>
    <s v="Snacks &amp; Candy"/>
    <s v="Tomatoes"/>
    <n v="2"/>
    <n v="24.72"/>
    <n v="49.44"/>
    <s v="Low"/>
    <n v="1.31"/>
    <n v="48.129999999999995"/>
    <x v="5"/>
    <n v="2023"/>
    <n v="448"/>
    <x v="0"/>
    <s v="Wednesday"/>
    <x v="0"/>
    <x v="1"/>
    <s v="Regular"/>
  </r>
  <r>
    <n v="5775"/>
    <s v="ValuePlus Market"/>
    <d v="2025-02-27T00:00:00"/>
    <s v="Snacks &amp; Candy"/>
    <s v="Tomatoes"/>
    <n v="4"/>
    <n v="21.47"/>
    <n v="85.88"/>
    <s v="Low"/>
    <n v="2.27"/>
    <n v="83.61"/>
    <x v="4"/>
    <n v="2025"/>
    <n v="181"/>
    <x v="2"/>
    <s v="Thursday"/>
    <x v="1"/>
    <x v="1"/>
    <s v="Regular"/>
  </r>
  <r>
    <n v="4470"/>
    <s v="SuperSave Central"/>
    <d v="2024-08-25T00:00:00"/>
    <s v="Health &amp; Wellness"/>
    <s v="Cheese"/>
    <n v="4"/>
    <n v="18.14"/>
    <n v="72.56"/>
    <s v="Low"/>
    <n v="1.91"/>
    <n v="70.650000000000006"/>
    <x v="5"/>
    <n v="2024"/>
    <n v="127"/>
    <x v="2"/>
    <s v="Sunday"/>
    <x v="1"/>
    <x v="0"/>
    <s v="Regular"/>
  </r>
  <r>
    <n v="6890"/>
    <s v="SuperSave Central"/>
    <d v="2025-01-26T00:00:00"/>
    <s v="Canned Goods"/>
    <s v="Eggs"/>
    <n v="4"/>
    <n v="13.94"/>
    <n v="55.76"/>
    <s v="Low"/>
    <n v="1.45"/>
    <n v="54.309999999999995"/>
    <x v="8"/>
    <n v="2025"/>
    <n v="407"/>
    <x v="0"/>
    <s v="Sunday"/>
    <x v="1"/>
    <x v="0"/>
    <s v="Regular"/>
  </r>
  <r>
    <n v="4397"/>
    <s v="FreshMart Downtown"/>
    <d v="2024-10-15T00:00:00"/>
    <s v="Snacks &amp; Candy"/>
    <s v="Onions"/>
    <n v="5"/>
    <n v="23.71"/>
    <n v="118.55"/>
    <s v="Low"/>
    <n v="3.08"/>
    <n v="115.47"/>
    <x v="7"/>
    <n v="2024"/>
    <n v="271"/>
    <x v="0"/>
    <s v="Tuesday"/>
    <x v="1"/>
    <x v="1"/>
    <s v="High Value"/>
  </r>
  <r>
    <n v="7038"/>
    <s v="Corner Grocery"/>
    <d v="2025-01-10T00:00:00"/>
    <s v="Health &amp; Wellness"/>
    <s v="Potatoes"/>
    <n v="5"/>
    <n v="19.09"/>
    <n v="95.45"/>
    <s v="Low"/>
    <n v="2.4700000000000002"/>
    <n v="92.98"/>
    <x v="8"/>
    <n v="2025"/>
    <n v="302"/>
    <x v="0"/>
    <s v="Friday"/>
    <x v="1"/>
    <x v="1"/>
    <s v="Regular"/>
  </r>
  <r>
    <n v="4996"/>
    <s v="SuperSave Central"/>
    <d v="2024-09-10T00:00:00"/>
    <s v="Frozen Foods"/>
    <s v="Pasta"/>
    <n v="4"/>
    <n v="18.36"/>
    <n v="73.44"/>
    <s v="Low"/>
    <n v="1.89"/>
    <n v="71.55"/>
    <x v="1"/>
    <n v="2024"/>
    <n v="499"/>
    <x v="0"/>
    <s v="Tuesday"/>
    <x v="1"/>
    <x v="1"/>
    <s v="Regular"/>
  </r>
  <r>
    <n v="2958"/>
    <s v="QuickStop Market"/>
    <d v="2025-03-06T00:00:00"/>
    <s v="Frozen Foods"/>
    <s v="Eggs"/>
    <n v="2"/>
    <n v="22.13"/>
    <n v="44.26"/>
    <s v="Low"/>
    <n v="1.1299999999999999"/>
    <n v="43.129999999999995"/>
    <x v="6"/>
    <n v="2025"/>
    <n v="485"/>
    <x v="0"/>
    <s v="Thursday"/>
    <x v="0"/>
    <x v="1"/>
    <s v="Regular"/>
  </r>
  <r>
    <n v="2188"/>
    <s v="City Fresh Store"/>
    <d v="2023-08-14T00:00:00"/>
    <s v="Canned Goods"/>
    <s v="Bread"/>
    <n v="4"/>
    <n v="25.48"/>
    <n v="101.92"/>
    <s v="Low"/>
    <n v="2.6"/>
    <n v="99.320000000000007"/>
    <x v="5"/>
    <n v="2023"/>
    <n v="124"/>
    <x v="2"/>
    <s v="Monday"/>
    <x v="1"/>
    <x v="1"/>
    <s v="Regular"/>
  </r>
  <r>
    <n v="5239"/>
    <s v="Corner Grocery"/>
    <d v="2024-01-26T00:00:00"/>
    <s v="Bakery"/>
    <s v="Potatoes"/>
    <n v="4"/>
    <n v="25.1"/>
    <n v="100.4"/>
    <s v="Low"/>
    <n v="2.5499999999999998"/>
    <n v="97.850000000000009"/>
    <x v="8"/>
    <n v="2024"/>
    <n v="361"/>
    <x v="0"/>
    <s v="Friday"/>
    <x v="1"/>
    <x v="1"/>
    <s v="Regular"/>
  </r>
  <r>
    <n v="8487"/>
    <s v="FamilyFood Express"/>
    <d v="2023-11-30T00:00:00"/>
    <s v="Canned Goods"/>
    <s v="Salmon"/>
    <n v="5"/>
    <n v="20.89"/>
    <n v="104.45"/>
    <s v="Low"/>
    <n v="2.65"/>
    <n v="101.8"/>
    <x v="0"/>
    <n v="2023"/>
    <n v="445"/>
    <x v="0"/>
    <s v="Thursday"/>
    <x v="1"/>
    <x v="1"/>
    <s v="High Value"/>
  </r>
  <r>
    <n v="5558"/>
    <s v="MegaMart Westside"/>
    <d v="2025-01-27T00:00:00"/>
    <s v="Beverages"/>
    <s v="Onions"/>
    <n v="4"/>
    <n v="20.22"/>
    <n v="80.88"/>
    <s v="Low"/>
    <n v="2.0499999999999998"/>
    <n v="78.83"/>
    <x v="8"/>
    <n v="2025"/>
    <n v="342"/>
    <x v="0"/>
    <s v="Monday"/>
    <x v="1"/>
    <x v="1"/>
    <s v="Regular"/>
  </r>
  <r>
    <n v="6793"/>
    <s v="ValuePlus Market"/>
    <d v="2025-06-15T00:00:00"/>
    <s v="Beverages"/>
    <s v="Tomatoes"/>
    <n v="5"/>
    <n v="12.98"/>
    <n v="64.900000000000006"/>
    <s v="Low"/>
    <n v="1.64"/>
    <n v="63.260000000000005"/>
    <x v="10"/>
    <n v="2025"/>
    <n v="317"/>
    <x v="0"/>
    <s v="Sunday"/>
    <x v="1"/>
    <x v="0"/>
    <s v="Regular"/>
  </r>
  <r>
    <n v="1472"/>
    <s v="Unknown Store"/>
    <d v="2024-12-08T00:00:00"/>
    <s v="Household Items"/>
    <s v="Milk"/>
    <n v="5"/>
    <n v="25.44"/>
    <n v="127.2"/>
    <s v="Low"/>
    <n v="3.2"/>
    <n v="124"/>
    <x v="11"/>
    <n v="2024"/>
    <n v="154"/>
    <x v="2"/>
    <s v="Sunday"/>
    <x v="1"/>
    <x v="0"/>
    <s v="High Value"/>
  </r>
  <r>
    <n v="8905"/>
    <s v="Corner Grocery"/>
    <d v="2024-08-07T00:00:00"/>
    <s v="Beverages"/>
    <s v="Tomatoes"/>
    <n v="4"/>
    <n v="10.17"/>
    <n v="40.68"/>
    <s v="Low"/>
    <n v="1.02"/>
    <n v="39.659999999999997"/>
    <x v="5"/>
    <n v="2024"/>
    <n v="199"/>
    <x v="2"/>
    <s v="Wednesday"/>
    <x v="1"/>
    <x v="1"/>
    <s v="Regular"/>
  </r>
  <r>
    <n v="1845"/>
    <s v="ValuePlus Market"/>
    <d v="2024-01-12T00:00:00"/>
    <s v="Frozen Foods"/>
    <s v="Milk"/>
    <n v="4"/>
    <n v="12.23"/>
    <n v="48.92"/>
    <s v="Low"/>
    <n v="1.22"/>
    <n v="47.7"/>
    <x v="8"/>
    <n v="2024"/>
    <n v="489"/>
    <x v="0"/>
    <s v="Friday"/>
    <x v="1"/>
    <x v="1"/>
    <s v="Regular"/>
  </r>
  <r>
    <n v="4580"/>
    <s v="GreenGrocer Plaza"/>
    <d v="2024-07-02T00:00:00"/>
    <s v="Health &amp; Wellness"/>
    <s v="Cheese"/>
    <n v="4"/>
    <n v="12.48"/>
    <n v="49.92"/>
    <s v="Low"/>
    <n v="1.24"/>
    <n v="48.68"/>
    <x v="2"/>
    <n v="2024"/>
    <n v="249"/>
    <x v="0"/>
    <s v="Tuesday"/>
    <x v="1"/>
    <x v="1"/>
    <s v="Regular"/>
  </r>
  <r>
    <n v="5915"/>
    <s v="FreshMart Downtown"/>
    <d v="2024-07-27T00:00:00"/>
    <s v="Snacks &amp; Candy"/>
    <s v="Bananas"/>
    <n v="4"/>
    <n v="27.7"/>
    <n v="110.8"/>
    <s v="Low"/>
    <n v="2.72"/>
    <n v="108.08"/>
    <x v="2"/>
    <n v="2024"/>
    <n v="441"/>
    <x v="0"/>
    <s v="Saturday"/>
    <x v="1"/>
    <x v="0"/>
    <s v="High Value"/>
  </r>
  <r>
    <n v="8471"/>
    <s v="ValuePlus Market"/>
    <d v="2024-05-22T00:00:00"/>
    <s v="Meat &amp; Seafood"/>
    <s v="Bread"/>
    <n v="4"/>
    <n v="13.39"/>
    <n v="53.56"/>
    <s v="Low"/>
    <n v="1.31"/>
    <n v="52.25"/>
    <x v="3"/>
    <n v="2024"/>
    <n v="192"/>
    <x v="2"/>
    <s v="Wednesday"/>
    <x v="1"/>
    <x v="1"/>
    <s v="Regular"/>
  </r>
  <r>
    <n v="8172"/>
    <s v="QuickStop Market"/>
    <d v="2024-07-13T00:00:00"/>
    <s v="Beverages"/>
    <s v="Bread"/>
    <n v="5"/>
    <n v="22.61"/>
    <n v="113.05"/>
    <s v="Low"/>
    <n v="2.74"/>
    <n v="110.31"/>
    <x v="2"/>
    <n v="2024"/>
    <n v="297"/>
    <x v="0"/>
    <s v="Saturday"/>
    <x v="1"/>
    <x v="0"/>
    <s v="High Value"/>
  </r>
  <r>
    <n v="3110"/>
    <s v="SuperSave Central"/>
    <d v="2023-10-17T00:00:00"/>
    <s v="Bakery"/>
    <s v="Carrots"/>
    <n v="3"/>
    <n v="15.41"/>
    <n v="46.23"/>
    <s v="Low"/>
    <n v="1.1200000000000001"/>
    <n v="45.11"/>
    <x v="7"/>
    <n v="2023"/>
    <n v="38"/>
    <x v="1"/>
    <s v="Tuesday"/>
    <x v="1"/>
    <x v="1"/>
    <s v="Regular"/>
  </r>
  <r>
    <n v="7912"/>
    <s v="Corner Grocery"/>
    <d v="2023-08-31T00:00:00"/>
    <s v="Dairy"/>
    <s v="Onions"/>
    <n v="3"/>
    <n v="25.04"/>
    <n v="75.12"/>
    <s v="Low"/>
    <n v="1.77"/>
    <n v="73.350000000000009"/>
    <x v="5"/>
    <n v="2023"/>
    <n v="316"/>
    <x v="0"/>
    <s v="Thursday"/>
    <x v="1"/>
    <x v="1"/>
    <s v="Regular"/>
  </r>
  <r>
    <n v="4909"/>
    <s v="SuperSave Central"/>
    <d v="2023-09-20T00:00:00"/>
    <s v="Snacks &amp; Candy"/>
    <s v="Chicken Breast"/>
    <n v="5"/>
    <n v="27.39"/>
    <n v="136.94999999999999"/>
    <s v="Low"/>
    <n v="3.21"/>
    <n v="133.73999999999998"/>
    <x v="1"/>
    <n v="2023"/>
    <n v="209"/>
    <x v="0"/>
    <s v="Wednesday"/>
    <x v="1"/>
    <x v="1"/>
    <s v="High Value"/>
  </r>
  <r>
    <n v="7033"/>
    <s v="FreshMart Downtown"/>
    <d v="2024-11-08T00:00:00"/>
    <s v="Health &amp; Wellness"/>
    <s v="Rice"/>
    <n v="3"/>
    <n v="17.39"/>
    <n v="52.17"/>
    <s v="Low"/>
    <n v="1.22"/>
    <n v="50.95"/>
    <x v="0"/>
    <n v="2024"/>
    <n v="291"/>
    <x v="0"/>
    <s v="Friday"/>
    <x v="1"/>
    <x v="1"/>
    <s v="Regular"/>
  </r>
  <r>
    <n v="2525"/>
    <s v="MegaMart Westside"/>
    <d v="2024-06-14T00:00:00"/>
    <s v="Bakery"/>
    <s v="Tomatoes"/>
    <n v="4"/>
    <n v="29.78"/>
    <n v="119.12"/>
    <s v="Low"/>
    <n v="2.76"/>
    <n v="116.36"/>
    <x v="10"/>
    <n v="2024"/>
    <n v="232"/>
    <x v="0"/>
    <s v="Friday"/>
    <x v="1"/>
    <x v="1"/>
    <s v="High Value"/>
  </r>
  <r>
    <n v="6993"/>
    <s v="GreenGrocer Plaza"/>
    <d v="2024-04-16T00:00:00"/>
    <s v="Canned Goods"/>
    <s v="Bananas"/>
    <n v="5"/>
    <n v="26.61"/>
    <n v="133.05000000000001"/>
    <s v="Low"/>
    <n v="3.05"/>
    <n v="130"/>
    <x v="9"/>
    <n v="2024"/>
    <n v="334"/>
    <x v="0"/>
    <s v="Tuesday"/>
    <x v="1"/>
    <x v="1"/>
    <s v="High Value"/>
  </r>
  <r>
    <n v="2330"/>
    <s v="QuickStop Market"/>
    <d v="2023-12-06T00:00:00"/>
    <s v="Bakery"/>
    <s v="Salmon"/>
    <n v="3"/>
    <n v="20.63"/>
    <n v="61.89"/>
    <s v="Low"/>
    <n v="1.41"/>
    <n v="60.480000000000004"/>
    <x v="11"/>
    <n v="2023"/>
    <n v="422"/>
    <x v="0"/>
    <s v="Wednesday"/>
    <x v="1"/>
    <x v="1"/>
    <s v="Regular"/>
  </r>
  <r>
    <n v="9835"/>
    <s v="GreenGrocer Plaza"/>
    <d v="2025-03-15T00:00:00"/>
    <s v="Personal Care"/>
    <s v="Ground Beef"/>
    <n v="2"/>
    <n v="27.33"/>
    <n v="54.66"/>
    <s v="Low"/>
    <n v="1.24"/>
    <n v="53.419999999999995"/>
    <x v="6"/>
    <n v="2025"/>
    <n v="423"/>
    <x v="0"/>
    <s v="Saturday"/>
    <x v="0"/>
    <x v="0"/>
    <s v="Regular"/>
  </r>
  <r>
    <n v="2233"/>
    <s v="City Fresh Store"/>
    <d v="2023-11-24T00:00:00"/>
    <s v="Personal Care"/>
    <s v="Rice"/>
    <n v="5"/>
    <n v="21.2"/>
    <n v="106"/>
    <s v="Low"/>
    <n v="2.39"/>
    <n v="103.61"/>
    <x v="0"/>
    <n v="2023"/>
    <n v="97"/>
    <x v="3"/>
    <s v="Friday"/>
    <x v="1"/>
    <x v="1"/>
    <s v="High Value"/>
  </r>
  <r>
    <n v="2037"/>
    <s v="Corner Grocery"/>
    <d v="2025-04-16T00:00:00"/>
    <s v="Personal Care"/>
    <s v="Cheese"/>
    <n v="4"/>
    <n v="14.56"/>
    <n v="58.24"/>
    <s v="Low"/>
    <n v="1.3"/>
    <n v="56.940000000000005"/>
    <x v="9"/>
    <n v="2025"/>
    <n v="69"/>
    <x v="3"/>
    <s v="Wednesday"/>
    <x v="1"/>
    <x v="1"/>
    <s v="Regular"/>
  </r>
  <r>
    <n v="2871"/>
    <s v="SuperSave Central"/>
    <d v="2024-03-02T00:00:00"/>
    <s v="Dairy"/>
    <s v="Cereal"/>
    <n v="4"/>
    <n v="24.9"/>
    <n v="99.6"/>
    <s v="Low"/>
    <n v="2.2000000000000002"/>
    <n v="97.399999999999991"/>
    <x v="6"/>
    <n v="2024"/>
    <n v="447"/>
    <x v="0"/>
    <s v="Saturday"/>
    <x v="1"/>
    <x v="0"/>
    <s v="Regular"/>
  </r>
  <r>
    <n v="7745"/>
    <s v="GreenGrocer Plaza"/>
    <d v="2025-04-21T00:00:00"/>
    <s v="Dairy"/>
    <s v="Rice"/>
    <n v="4"/>
    <n v="29.98"/>
    <n v="119.92"/>
    <s v="Low"/>
    <n v="2.64"/>
    <n v="117.28"/>
    <x v="9"/>
    <n v="2025"/>
    <n v="368"/>
    <x v="0"/>
    <s v="Monday"/>
    <x v="1"/>
    <x v="1"/>
    <s v="High Value"/>
  </r>
  <r>
    <n v="7163"/>
    <s v="SuperSave Central"/>
    <d v="2024-06-28T00:00:00"/>
    <s v="Household Items"/>
    <s v="Pasta"/>
    <n v="3"/>
    <n v="25.87"/>
    <n v="77.61"/>
    <s v="Low"/>
    <n v="1.7"/>
    <n v="75.91"/>
    <x v="10"/>
    <n v="2024"/>
    <n v="7"/>
    <x v="1"/>
    <s v="Friday"/>
    <x v="1"/>
    <x v="1"/>
    <s v="Regular"/>
  </r>
  <r>
    <n v="2388"/>
    <s v="SuperSave Central"/>
    <d v="2024-04-03T00:00:00"/>
    <s v="Personal Care"/>
    <s v="Ground Beef"/>
    <n v="5"/>
    <n v="17.53"/>
    <n v="87.65"/>
    <s v="Low"/>
    <n v="1.87"/>
    <n v="85.78"/>
    <x v="9"/>
    <n v="2024"/>
    <n v="50"/>
    <x v="3"/>
    <s v="Wednesday"/>
    <x v="1"/>
    <x v="1"/>
    <s v="Regular"/>
  </r>
  <r>
    <n v="7965"/>
    <s v="FamilyFood Express"/>
    <d v="2024-01-23T00:00:00"/>
    <s v="Produce"/>
    <s v="Pasta"/>
    <n v="4"/>
    <n v="20.53"/>
    <n v="82.12"/>
    <s v="Low"/>
    <n v="1.75"/>
    <n v="80.37"/>
    <x v="8"/>
    <n v="2024"/>
    <n v="308"/>
    <x v="0"/>
    <s v="Tuesday"/>
    <x v="1"/>
    <x v="1"/>
    <s v="Regular"/>
  </r>
  <r>
    <n v="7225"/>
    <s v="SuperSave Central"/>
    <d v="2025-02-09T00:00:00"/>
    <s v="Bakery"/>
    <s v="Bread"/>
    <n v="5"/>
    <n v="25.85"/>
    <n v="129.25"/>
    <s v="Low"/>
    <n v="2.74"/>
    <n v="126.51"/>
    <x v="4"/>
    <n v="2025"/>
    <n v="383"/>
    <x v="0"/>
    <s v="Sunday"/>
    <x v="1"/>
    <x v="0"/>
    <s v="High Value"/>
  </r>
  <r>
    <n v="7242"/>
    <s v="FreshMart Downtown"/>
    <d v="2025-05-06T00:00:00"/>
    <s v="Canned Goods"/>
    <s v="Onions"/>
    <n v="4"/>
    <n v="24.83"/>
    <n v="99.32"/>
    <s v="Low"/>
    <n v="2.06"/>
    <n v="97.259999999999991"/>
    <x v="3"/>
    <n v="2025"/>
    <n v="406"/>
    <x v="0"/>
    <s v="Tuesday"/>
    <x v="1"/>
    <x v="1"/>
    <s v="Regular"/>
  </r>
  <r>
    <n v="9450"/>
    <s v="ValuePlus Market"/>
    <d v="2023-09-11T00:00:00"/>
    <s v="Beverages"/>
    <s v="Salmon"/>
    <n v="5"/>
    <n v="27.1"/>
    <n v="135.5"/>
    <s v="Low"/>
    <n v="2.8"/>
    <n v="132.69999999999999"/>
    <x v="1"/>
    <n v="2023"/>
    <n v="484"/>
    <x v="0"/>
    <s v="Monday"/>
    <x v="1"/>
    <x v="1"/>
    <s v="High Value"/>
  </r>
  <r>
    <n v="9751"/>
    <s v="FreshMart Downtown"/>
    <d v="2023-08-27T00:00:00"/>
    <s v="Bakery"/>
    <s v="Yogurt"/>
    <n v="3"/>
    <n v="22.81"/>
    <n v="68.430000000000007"/>
    <s v="Low"/>
    <n v="1.41"/>
    <n v="67.02000000000001"/>
    <x v="5"/>
    <n v="2023"/>
    <n v="414"/>
    <x v="0"/>
    <s v="Sunday"/>
    <x v="1"/>
    <x v="0"/>
    <s v="Regular"/>
  </r>
  <r>
    <n v="9341"/>
    <s v="MegaMart Westside"/>
    <d v="2024-06-13T00:00:00"/>
    <s v="Produce"/>
    <s v="Ground Beef"/>
    <n v="4"/>
    <n v="15.06"/>
    <n v="60.24"/>
    <s v="Low"/>
    <n v="1.24"/>
    <n v="59"/>
    <x v="10"/>
    <n v="2024"/>
    <n v="389"/>
    <x v="0"/>
    <s v="Thursday"/>
    <x v="1"/>
    <x v="1"/>
    <s v="Regular"/>
  </r>
  <r>
    <n v="7464"/>
    <s v="ValuePlus Market"/>
    <d v="2023-08-17T00:00:00"/>
    <s v="Snacks &amp; Candy"/>
    <s v="Yogurt"/>
    <n v="5"/>
    <n v="20.8"/>
    <n v="104"/>
    <s v="Low"/>
    <n v="2.13"/>
    <n v="101.87"/>
    <x v="5"/>
    <n v="2023"/>
    <n v="392"/>
    <x v="0"/>
    <s v="Thursday"/>
    <x v="1"/>
    <x v="1"/>
    <s v="High Value"/>
  </r>
  <r>
    <n v="1534"/>
    <s v="FamilyFood Express"/>
    <d v="2024-02-02T00:00:00"/>
    <s v="Health &amp; Wellness"/>
    <s v="Onions"/>
    <n v="4"/>
    <n v="27.28"/>
    <n v="109.12"/>
    <s v="Low"/>
    <n v="2.2000000000000002"/>
    <n v="106.92"/>
    <x v="4"/>
    <n v="2024"/>
    <n v="343"/>
    <x v="0"/>
    <s v="Friday"/>
    <x v="1"/>
    <x v="1"/>
    <s v="High Value"/>
  </r>
  <r>
    <n v="5139"/>
    <s v="GreenGrocer Plaza"/>
    <d v="2024-12-30T00:00:00"/>
    <s v="Meat &amp; Seafood"/>
    <s v="Cereal"/>
    <n v="5"/>
    <n v="19.16"/>
    <n v="95.8"/>
    <s v="Low"/>
    <n v="1.87"/>
    <n v="93.929999999999993"/>
    <x v="11"/>
    <n v="2024"/>
    <n v="10"/>
    <x v="1"/>
    <s v="Monday"/>
    <x v="1"/>
    <x v="1"/>
    <s v="Regular"/>
  </r>
  <r>
    <n v="5773"/>
    <s v="FreshMart Downtown"/>
    <d v="2025-05-13T00:00:00"/>
    <s v="Canned Goods"/>
    <s v="Cereal"/>
    <n v="2"/>
    <n v="27.26"/>
    <n v="54.52"/>
    <s v="Low"/>
    <n v="1.06"/>
    <n v="53.46"/>
    <x v="3"/>
    <n v="2025"/>
    <n v="300"/>
    <x v="0"/>
    <s v="Tuesday"/>
    <x v="0"/>
    <x v="1"/>
    <s v="Regular"/>
  </r>
  <r>
    <n v="9804"/>
    <s v="ValuePlus Market"/>
    <d v="2025-01-26T00:00:00"/>
    <s v="Dairy"/>
    <s v="Pasta"/>
    <n v="5"/>
    <n v="28.88"/>
    <n v="144.4"/>
    <s v="Low"/>
    <n v="2.79"/>
    <n v="141.61000000000001"/>
    <x v="8"/>
    <n v="2025"/>
    <n v="433"/>
    <x v="0"/>
    <s v="Sunday"/>
    <x v="1"/>
    <x v="0"/>
    <s v="High Value"/>
  </r>
  <r>
    <n v="9042"/>
    <s v="GreenGrocer Plaza"/>
    <d v="2023-10-25T00:00:00"/>
    <s v="Dairy"/>
    <s v="Orange Juice"/>
    <n v="5"/>
    <n v="13"/>
    <n v="65"/>
    <s v="Low"/>
    <n v="1.24"/>
    <n v="63.76"/>
    <x v="7"/>
    <n v="2023"/>
    <n v="387"/>
    <x v="0"/>
    <s v="Wednesday"/>
    <x v="1"/>
    <x v="1"/>
    <s v="Regular"/>
  </r>
  <r>
    <n v="3143"/>
    <s v="GreenGrocer Plaza"/>
    <d v="2024-12-13T00:00:00"/>
    <s v="Produce"/>
    <s v="Ground Beef"/>
    <n v="4"/>
    <n v="19.52"/>
    <n v="78.08"/>
    <s v="Low"/>
    <n v="1.44"/>
    <n v="76.64"/>
    <x v="11"/>
    <n v="2024"/>
    <n v="318"/>
    <x v="0"/>
    <s v="Friday"/>
    <x v="1"/>
    <x v="1"/>
    <s v="Regular"/>
  </r>
  <r>
    <n v="7070"/>
    <s v="City Fresh Store"/>
    <d v="2024-09-09T00:00:00"/>
    <s v="Meat &amp; Seafood"/>
    <s v="Potatoes"/>
    <n v="3"/>
    <n v="25.4"/>
    <n v="76.2"/>
    <s v="Low"/>
    <n v="1.4"/>
    <n v="74.8"/>
    <x v="1"/>
    <n v="2024"/>
    <n v="87"/>
    <x v="3"/>
    <s v="Monday"/>
    <x v="1"/>
    <x v="1"/>
    <s v="Regular"/>
  </r>
  <r>
    <n v="7865"/>
    <s v="GreenGrocer Plaza"/>
    <d v="2024-09-28T00:00:00"/>
    <s v="Beverages"/>
    <s v="Potatoes"/>
    <n v="5"/>
    <n v="12.61"/>
    <n v="63.05"/>
    <s v="Low"/>
    <n v="1.1499999999999999"/>
    <n v="61.9"/>
    <x v="1"/>
    <n v="2024"/>
    <n v="259"/>
    <x v="0"/>
    <s v="Saturday"/>
    <x v="1"/>
    <x v="0"/>
    <s v="Regular"/>
  </r>
  <r>
    <n v="6253"/>
    <s v="FreshMart Downtown"/>
    <d v="2024-02-07T00:00:00"/>
    <s v="Canned Goods"/>
    <s v="Yogurt"/>
    <n v="4"/>
    <n v="17.45"/>
    <n v="69.8"/>
    <s v="Low"/>
    <n v="1.26"/>
    <n v="68.539999999999992"/>
    <x v="4"/>
    <n v="2024"/>
    <n v="164"/>
    <x v="2"/>
    <s v="Wednesday"/>
    <x v="1"/>
    <x v="1"/>
    <s v="Regular"/>
  </r>
  <r>
    <n v="8385"/>
    <s v="FreshMart Downtown"/>
    <d v="2024-02-12T00:00:00"/>
    <s v="Canned Goods"/>
    <s v="Bananas"/>
    <n v="4"/>
    <n v="25.61"/>
    <n v="102.44"/>
    <s v="Low"/>
    <n v="1.82"/>
    <n v="100.62"/>
    <x v="4"/>
    <n v="2024"/>
    <n v="372"/>
    <x v="0"/>
    <s v="Monday"/>
    <x v="1"/>
    <x v="1"/>
    <s v="High Value"/>
  </r>
  <r>
    <n v="6168"/>
    <s v="MegaMart Westside"/>
    <d v="2024-06-13T00:00:00"/>
    <s v="Health &amp; Wellness"/>
    <s v="Carrots"/>
    <n v="4"/>
    <n v="20.7"/>
    <n v="82.8"/>
    <s v="Low"/>
    <n v="1.46"/>
    <n v="81.34"/>
    <x v="10"/>
    <n v="2024"/>
    <n v="431"/>
    <x v="0"/>
    <s v="Thursday"/>
    <x v="1"/>
    <x v="1"/>
    <s v="Regular"/>
  </r>
  <r>
    <n v="8206"/>
    <s v="FreshMart Downtown"/>
    <d v="2023-10-06T00:00:00"/>
    <s v="Bakery"/>
    <s v="Eggs"/>
    <n v="4"/>
    <n v="27.93"/>
    <n v="111.72"/>
    <s v="Low"/>
    <n v="1.96"/>
    <n v="109.76"/>
    <x v="7"/>
    <n v="2023"/>
    <n v="153"/>
    <x v="2"/>
    <s v="Friday"/>
    <x v="1"/>
    <x v="1"/>
    <s v="High Value"/>
  </r>
  <r>
    <n v="2389"/>
    <s v="QuickStop Market"/>
    <d v="2024-03-14T00:00:00"/>
    <s v="Produce"/>
    <s v="Tomatoes"/>
    <n v="3"/>
    <n v="24.67"/>
    <n v="74.010000000000005"/>
    <s v="Low"/>
    <n v="1.29"/>
    <n v="72.72"/>
    <x v="6"/>
    <n v="2024"/>
    <n v="381"/>
    <x v="0"/>
    <s v="Thursday"/>
    <x v="1"/>
    <x v="1"/>
    <s v="Regular"/>
  </r>
  <r>
    <n v="9901"/>
    <s v="Corner Grocery"/>
    <d v="2024-09-17T00:00:00"/>
    <s v="Beverages"/>
    <s v="Onions"/>
    <n v="5"/>
    <n v="29.16"/>
    <n v="145.80000000000001"/>
    <s v="Low"/>
    <n v="2.54"/>
    <n v="143.26000000000002"/>
    <x v="1"/>
    <n v="2024"/>
    <n v="84"/>
    <x v="3"/>
    <s v="Tuesday"/>
    <x v="1"/>
    <x v="1"/>
    <s v="High Value"/>
  </r>
  <r>
    <n v="4656"/>
    <s v="City Fresh Store"/>
    <d v="2025-04-22T00:00:00"/>
    <s v="Produce"/>
    <s v="Cereal"/>
    <n v="5"/>
    <n v="26.53"/>
    <n v="132.65"/>
    <s v="Low"/>
    <n v="2.29"/>
    <n v="130.36000000000001"/>
    <x v="9"/>
    <n v="2025"/>
    <n v="196"/>
    <x v="2"/>
    <s v="Tuesday"/>
    <x v="1"/>
    <x v="1"/>
    <s v="High Value"/>
  </r>
  <r>
    <n v="4886"/>
    <s v="SuperSave Central"/>
    <d v="2024-05-29T00:00:00"/>
    <s v="Meat &amp; Seafood"/>
    <s v="Cereal"/>
    <n v="4"/>
    <n v="19.3"/>
    <n v="77.2"/>
    <s v="Low"/>
    <n v="1.32"/>
    <n v="75.88000000000001"/>
    <x v="3"/>
    <n v="2024"/>
    <n v="292"/>
    <x v="0"/>
    <s v="Wednesday"/>
    <x v="1"/>
    <x v="1"/>
    <s v="Regular"/>
  </r>
  <r>
    <n v="6055"/>
    <s v="GreenGrocer Plaza"/>
    <d v="2024-08-27T00:00:00"/>
    <s v="Frozen Foods"/>
    <s v="Ground Beef"/>
    <n v="4"/>
    <n v="22.95"/>
    <n v="91.8"/>
    <s v="Low"/>
    <n v="1.55"/>
    <n v="90.25"/>
    <x v="5"/>
    <n v="2024"/>
    <n v="317"/>
    <x v="0"/>
    <s v="Tuesday"/>
    <x v="1"/>
    <x v="1"/>
    <s v="Regular"/>
  </r>
  <r>
    <n v="8119"/>
    <s v="ValuePlus Market"/>
    <d v="2024-05-01T00:00:00"/>
    <s v="Beverages"/>
    <s v="Eggs"/>
    <n v="5"/>
    <n v="26.89"/>
    <n v="134.44999999999999"/>
    <s v="Low"/>
    <n v="2.27"/>
    <n v="132.17999999999998"/>
    <x v="3"/>
    <n v="2024"/>
    <n v="71"/>
    <x v="3"/>
    <s v="Wednesday"/>
    <x v="1"/>
    <x v="1"/>
    <s v="High Value"/>
  </r>
  <r>
    <n v="6590"/>
    <s v="GreenGrocer Plaza"/>
    <d v="2023-08-16T00:00:00"/>
    <s v="Frozen Foods"/>
    <s v="Bread"/>
    <n v="5"/>
    <n v="27.7"/>
    <n v="138.5"/>
    <s v="Low"/>
    <n v="2.31"/>
    <n v="136.19"/>
    <x v="5"/>
    <n v="2023"/>
    <n v="498"/>
    <x v="0"/>
    <s v="Wednesday"/>
    <x v="1"/>
    <x v="1"/>
    <s v="High Value"/>
  </r>
  <r>
    <n v="6882"/>
    <s v="City Fresh Store"/>
    <d v="2023-08-14T00:00:00"/>
    <s v="Health &amp; Wellness"/>
    <s v="Yogurt"/>
    <n v="5"/>
    <n v="24.36"/>
    <n v="121.8"/>
    <s v="Low"/>
    <n v="2.0099999999999998"/>
    <n v="119.78999999999999"/>
    <x v="5"/>
    <n v="2023"/>
    <n v="314"/>
    <x v="0"/>
    <s v="Monday"/>
    <x v="1"/>
    <x v="1"/>
    <s v="High Value"/>
  </r>
  <r>
    <n v="8692"/>
    <s v="City Fresh Store"/>
    <d v="2025-03-20T00:00:00"/>
    <s v="Personal Care"/>
    <s v="Apples"/>
    <n v="4"/>
    <n v="23.68"/>
    <n v="94.72"/>
    <s v="Low"/>
    <n v="1.55"/>
    <n v="93.17"/>
    <x v="6"/>
    <n v="2025"/>
    <n v="426"/>
    <x v="0"/>
    <s v="Thursday"/>
    <x v="1"/>
    <x v="1"/>
    <s v="Regular"/>
  </r>
  <r>
    <n v="6023"/>
    <s v="SuperSave Central"/>
    <d v="2024-02-18T00:00:00"/>
    <s v="Dairy"/>
    <s v="Carrots"/>
    <n v="3"/>
    <n v="28.85"/>
    <n v="86.55"/>
    <s v="Low"/>
    <n v="1.4"/>
    <n v="85.149999999999991"/>
    <x v="4"/>
    <n v="2024"/>
    <n v="191"/>
    <x v="2"/>
    <s v="Sunday"/>
    <x v="1"/>
    <x v="0"/>
    <s v="Regular"/>
  </r>
  <r>
    <n v="4321"/>
    <s v="SuperSave Central"/>
    <d v="2023-11-20T00:00:00"/>
    <s v="Household Items"/>
    <s v="Cereal"/>
    <n v="5"/>
    <n v="19.34"/>
    <n v="96.7"/>
    <s v="Low"/>
    <n v="1.56"/>
    <n v="95.14"/>
    <x v="0"/>
    <n v="2023"/>
    <n v="381"/>
    <x v="0"/>
    <s v="Monday"/>
    <x v="1"/>
    <x v="1"/>
    <s v="Regular"/>
  </r>
  <r>
    <n v="3513"/>
    <s v="Corner Grocery"/>
    <d v="2025-01-15T00:00:00"/>
    <s v="Canned Goods"/>
    <s v="Pasta"/>
    <n v="4"/>
    <n v="28.3"/>
    <n v="113.2"/>
    <s v="Low"/>
    <n v="1.81"/>
    <n v="111.39"/>
    <x v="8"/>
    <n v="2025"/>
    <n v="460"/>
    <x v="0"/>
    <s v="Wednesday"/>
    <x v="1"/>
    <x v="1"/>
    <s v="High Value"/>
  </r>
  <r>
    <n v="5381"/>
    <s v="GreenGrocer Plaza"/>
    <d v="2023-08-29T00:00:00"/>
    <s v="Meat &amp; Seafood"/>
    <s v="Cheese"/>
    <n v="4"/>
    <n v="26.9"/>
    <n v="107.6"/>
    <s v="Low"/>
    <n v="1.72"/>
    <n v="105.88"/>
    <x v="5"/>
    <n v="2023"/>
    <n v="356"/>
    <x v="0"/>
    <s v="Tuesday"/>
    <x v="1"/>
    <x v="1"/>
    <s v="High Value"/>
  </r>
  <r>
    <n v="4613"/>
    <s v="FreshMart Downtown"/>
    <d v="2024-08-20T00:00:00"/>
    <s v="Household Items"/>
    <s v="Tomatoes"/>
    <n v="3"/>
    <n v="29"/>
    <n v="87"/>
    <s v="Low"/>
    <n v="1.39"/>
    <n v="85.61"/>
    <x v="5"/>
    <n v="2024"/>
    <n v="220"/>
    <x v="0"/>
    <s v="Tuesday"/>
    <x v="1"/>
    <x v="1"/>
    <s v="Regular"/>
  </r>
  <r>
    <n v="9115"/>
    <s v="Corner Grocery"/>
    <d v="2024-10-06T00:00:00"/>
    <s v="Beverages"/>
    <s v="Ground Beef"/>
    <n v="3"/>
    <n v="29.61"/>
    <n v="88.83"/>
    <s v="Low"/>
    <n v="1.41"/>
    <n v="87.42"/>
    <x v="7"/>
    <n v="2024"/>
    <n v="300"/>
    <x v="0"/>
    <s v="Sunday"/>
    <x v="1"/>
    <x v="0"/>
    <s v="Regular"/>
  </r>
  <r>
    <n v="7971"/>
    <s v="MegaMart Westside"/>
    <d v="2025-03-08T00:00:00"/>
    <s v="Household Items"/>
    <s v="Eggs"/>
    <n v="5"/>
    <n v="28.49"/>
    <n v="142.44999999999999"/>
    <s v="Low"/>
    <n v="2.2400000000000002"/>
    <n v="140.20999999999998"/>
    <x v="6"/>
    <n v="2025"/>
    <n v="428"/>
    <x v="0"/>
    <s v="Saturday"/>
    <x v="1"/>
    <x v="0"/>
    <s v="High Value"/>
  </r>
  <r>
    <n v="8354"/>
    <s v="City Fresh Store"/>
    <d v="2025-01-17T00:00:00"/>
    <s v="Dairy"/>
    <s v="Bread"/>
    <n v="4"/>
    <n v="27.03"/>
    <n v="108.12"/>
    <s v="Low"/>
    <n v="1.66"/>
    <n v="106.46000000000001"/>
    <x v="8"/>
    <n v="2025"/>
    <n v="147"/>
    <x v="2"/>
    <s v="Friday"/>
    <x v="1"/>
    <x v="1"/>
    <s v="High Value"/>
  </r>
  <r>
    <n v="8972"/>
    <s v="Corner Grocery"/>
    <d v="2024-09-19T00:00:00"/>
    <s v="Bakery"/>
    <s v="Chicken Breast"/>
    <n v="4"/>
    <n v="21.74"/>
    <n v="86.96"/>
    <s v="Low"/>
    <n v="1.28"/>
    <n v="85.679999999999993"/>
    <x v="1"/>
    <n v="2024"/>
    <n v="52"/>
    <x v="3"/>
    <s v="Thursday"/>
    <x v="1"/>
    <x v="1"/>
    <s v="Regular"/>
  </r>
  <r>
    <n v="6517"/>
    <s v="GreenGrocer Plaza"/>
    <d v="2025-06-17T00:00:00"/>
    <s v="Snacks &amp; Candy"/>
    <s v="Salmon"/>
    <n v="3"/>
    <n v="25.72"/>
    <n v="77.16"/>
    <s v="Low"/>
    <n v="1.1299999999999999"/>
    <n v="76.03"/>
    <x v="10"/>
    <n v="2025"/>
    <n v="226"/>
    <x v="0"/>
    <s v="Tuesday"/>
    <x v="1"/>
    <x v="1"/>
    <s v="Regular"/>
  </r>
  <r>
    <n v="4920"/>
    <s v="FreshMart Downtown"/>
    <d v="2024-02-11T00:00:00"/>
    <s v="Canned Goods"/>
    <s v="Bananas"/>
    <n v="5"/>
    <n v="14.34"/>
    <n v="71.7"/>
    <s v="Low"/>
    <n v="1.02"/>
    <n v="70.680000000000007"/>
    <x v="4"/>
    <n v="2024"/>
    <n v="152"/>
    <x v="2"/>
    <s v="Sunday"/>
    <x v="1"/>
    <x v="0"/>
    <s v="Regular"/>
  </r>
  <r>
    <n v="8585"/>
    <s v="SuperSave Central"/>
    <d v="2025-01-11T00:00:00"/>
    <s v="Personal Care"/>
    <s v="Chicken Breast"/>
    <n v="5"/>
    <n v="23.73"/>
    <n v="118.65"/>
    <s v="Low"/>
    <n v="1.64"/>
    <n v="117.01"/>
    <x v="8"/>
    <n v="2025"/>
    <n v="431"/>
    <x v="0"/>
    <s v="Saturday"/>
    <x v="1"/>
    <x v="0"/>
    <s v="High Value"/>
  </r>
  <r>
    <n v="3734"/>
    <s v="QuickStop Market"/>
    <d v="2024-05-18T00:00:00"/>
    <s v="Bakery"/>
    <s v="Cheese"/>
    <n v="3"/>
    <n v="24.9"/>
    <n v="74.7"/>
    <s v="Low"/>
    <n v="1.03"/>
    <n v="73.67"/>
    <x v="3"/>
    <n v="2024"/>
    <n v="376"/>
    <x v="0"/>
    <s v="Saturday"/>
    <x v="1"/>
    <x v="0"/>
    <s v="Regular"/>
  </r>
  <r>
    <n v="2785"/>
    <s v="FamilyFood Express"/>
    <d v="2023-12-05T00:00:00"/>
    <s v="Snacks &amp; Candy"/>
    <s v="Bread"/>
    <n v="4"/>
    <n v="26.53"/>
    <n v="106.12"/>
    <s v="Low"/>
    <n v="1.42"/>
    <n v="104.7"/>
    <x v="11"/>
    <n v="2023"/>
    <n v="256"/>
    <x v="0"/>
    <s v="Tuesday"/>
    <x v="1"/>
    <x v="1"/>
    <s v="High Value"/>
  </r>
  <r>
    <n v="4986"/>
    <s v="City Fresh Store"/>
    <d v="2024-03-31T00:00:00"/>
    <s v="Personal Care"/>
    <s v="Orange Juice"/>
    <n v="5"/>
    <n v="29.98"/>
    <n v="149.9"/>
    <s v="Low"/>
    <n v="1.99"/>
    <n v="147.91"/>
    <x v="6"/>
    <n v="2024"/>
    <n v="498"/>
    <x v="0"/>
    <s v="Sunday"/>
    <x v="1"/>
    <x v="0"/>
    <s v="High Value"/>
  </r>
  <r>
    <n v="7689"/>
    <s v="QuickStop Market"/>
    <d v="2023-11-05T00:00:00"/>
    <s v="Personal Care"/>
    <s v="Carrots"/>
    <n v="5"/>
    <n v="17.54"/>
    <n v="87.7"/>
    <s v="Low"/>
    <n v="1.1499999999999999"/>
    <n v="86.55"/>
    <x v="0"/>
    <n v="2023"/>
    <n v="292"/>
    <x v="0"/>
    <s v="Sunday"/>
    <x v="1"/>
    <x v="0"/>
    <s v="Regular"/>
  </r>
  <r>
    <n v="2335"/>
    <s v="GreenGrocer Plaza"/>
    <d v="2024-11-01T00:00:00"/>
    <s v="Dairy"/>
    <s v="Bananas"/>
    <n v="4"/>
    <n v="22.95"/>
    <n v="91.8"/>
    <s v="Low"/>
    <n v="1.1299999999999999"/>
    <n v="90.67"/>
    <x v="0"/>
    <n v="2024"/>
    <n v="21"/>
    <x v="1"/>
    <s v="Friday"/>
    <x v="1"/>
    <x v="1"/>
    <s v="Regular"/>
  </r>
  <r>
    <n v="1310"/>
    <s v="GreenGrocer Plaza"/>
    <d v="2024-07-14T00:00:00"/>
    <s v="Health &amp; Wellness"/>
    <s v="Eggs"/>
    <n v="4"/>
    <n v="28.55"/>
    <n v="114.2"/>
    <s v="Low"/>
    <n v="1.38"/>
    <n v="112.82000000000001"/>
    <x v="2"/>
    <n v="2024"/>
    <n v="218"/>
    <x v="0"/>
    <s v="Sunday"/>
    <x v="1"/>
    <x v="0"/>
    <s v="High Value"/>
  </r>
  <r>
    <n v="6816"/>
    <s v="ValuePlus Market"/>
    <d v="2023-12-14T00:00:00"/>
    <s v="Dairy"/>
    <s v="Cheese"/>
    <n v="4"/>
    <n v="23.44"/>
    <n v="93.76"/>
    <s v="Low"/>
    <n v="1.1100000000000001"/>
    <n v="92.65"/>
    <x v="11"/>
    <n v="2023"/>
    <n v="488"/>
    <x v="0"/>
    <s v="Thursday"/>
    <x v="1"/>
    <x v="1"/>
    <s v="Regular"/>
  </r>
  <r>
    <n v="5336"/>
    <s v="City Fresh Store"/>
    <d v="2024-12-24T00:00:00"/>
    <s v="Dairy"/>
    <s v="Cereal"/>
    <n v="5"/>
    <n v="28.89"/>
    <n v="144.44999999999999"/>
    <s v="Low"/>
    <n v="1.69"/>
    <n v="142.76"/>
    <x v="11"/>
    <n v="2024"/>
    <n v="327"/>
    <x v="0"/>
    <s v="Tuesday"/>
    <x v="1"/>
    <x v="1"/>
    <s v="High Value"/>
  </r>
  <r>
    <n v="3035"/>
    <s v="Corner Grocery"/>
    <d v="2025-07-28T00:00:00"/>
    <s v="Produce"/>
    <s v="Chicken Breast"/>
    <n v="5"/>
    <n v="25.3"/>
    <n v="126.5"/>
    <s v="Low"/>
    <n v="1.38"/>
    <n v="125.12"/>
    <x v="2"/>
    <n v="2025"/>
    <n v="329"/>
    <x v="0"/>
    <s v="Monday"/>
    <x v="1"/>
    <x v="1"/>
    <s v="High Value"/>
  </r>
  <r>
    <n v="8381"/>
    <s v="FamilyFood Express"/>
    <d v="2023-10-26T00:00:00"/>
    <s v="Frozen Foods"/>
    <s v="Potatoes"/>
    <n v="5"/>
    <n v="29.6"/>
    <n v="148"/>
    <s v="Low"/>
    <n v="1.03"/>
    <n v="146.97"/>
    <x v="7"/>
    <n v="2023"/>
    <n v="33"/>
    <x v="1"/>
    <s v="Thursday"/>
    <x v="1"/>
    <x v="1"/>
    <s v="High Value"/>
  </r>
  <r>
    <n v="3981"/>
    <s v="MegaMart Westside"/>
    <d v="2025-03-25T00:00:00"/>
    <s v="Canned Goods"/>
    <s v="Apples"/>
    <n v="5"/>
    <n v="29.33"/>
    <n v="146.65"/>
    <s v="No Discount"/>
    <n v="0"/>
    <n v="146.65"/>
    <x v="6"/>
    <n v="2025"/>
    <n v="319"/>
    <x v="0"/>
    <s v="Tuesday"/>
    <x v="1"/>
    <x v="1"/>
    <s v="High Value"/>
  </r>
  <r>
    <n v="8213"/>
    <s v="SuperSave Central"/>
    <d v="2023-10-23T00:00:00"/>
    <s v="Personal Care"/>
    <s v="Tomatoes"/>
    <n v="5"/>
    <n v="29.1"/>
    <n v="145.5"/>
    <s v="No Discount"/>
    <n v="0"/>
    <n v="145.5"/>
    <x v="7"/>
    <n v="2023"/>
    <n v="326"/>
    <x v="0"/>
    <s v="Monday"/>
    <x v="1"/>
    <x v="1"/>
    <s v="High Value"/>
  </r>
  <r>
    <n v="9689"/>
    <s v="QuickStop Market"/>
    <d v="2025-07-20T00:00:00"/>
    <s v="Personal Care"/>
    <s v="Bananas"/>
    <n v="5"/>
    <n v="28.48"/>
    <n v="142.4"/>
    <s v="No Discount"/>
    <n v="0"/>
    <n v="142.4"/>
    <x v="2"/>
    <n v="2025"/>
    <n v="43"/>
    <x v="1"/>
    <s v="Sunday"/>
    <x v="1"/>
    <x v="0"/>
    <s v="High Value"/>
  </r>
  <r>
    <n v="9835"/>
    <s v="GreenGrocer Plaza"/>
    <d v="2023-11-18T00:00:00"/>
    <s v="Dairy"/>
    <s v="Bananas"/>
    <n v="5"/>
    <n v="28.03"/>
    <n v="140.15"/>
    <s v="No Discount"/>
    <n v="0"/>
    <n v="140.15"/>
    <x v="0"/>
    <n v="2023"/>
    <n v="53"/>
    <x v="3"/>
    <s v="Saturday"/>
    <x v="1"/>
    <x v="0"/>
    <s v="High Value"/>
  </r>
  <r>
    <n v="4120"/>
    <s v="FreshMart Downtown"/>
    <d v="2023-09-16T00:00:00"/>
    <s v="Dairy"/>
    <s v="Apples"/>
    <n v="5"/>
    <n v="27.32"/>
    <n v="136.6"/>
    <s v="No Discount"/>
    <n v="0"/>
    <n v="136.6"/>
    <x v="1"/>
    <n v="2023"/>
    <n v="318"/>
    <x v="0"/>
    <s v="Saturday"/>
    <x v="1"/>
    <x v="0"/>
    <s v="High Value"/>
  </r>
  <r>
    <n v="8048"/>
    <s v="SuperSave Central"/>
    <d v="2023-10-23T00:00:00"/>
    <s v="Health &amp; Wellness"/>
    <s v="Salmon"/>
    <n v="5"/>
    <n v="26.97"/>
    <n v="134.85"/>
    <s v="No Discount"/>
    <n v="0"/>
    <n v="134.85"/>
    <x v="7"/>
    <n v="2023"/>
    <n v="236"/>
    <x v="0"/>
    <s v="Monday"/>
    <x v="1"/>
    <x v="1"/>
    <s v="High Value"/>
  </r>
  <r>
    <n v="8460"/>
    <s v="FreshMart Downtown"/>
    <d v="2025-07-31T00:00:00"/>
    <s v="Personal Care"/>
    <s v="Pasta"/>
    <n v="5"/>
    <n v="26.92"/>
    <n v="134.6"/>
    <s v="No Discount"/>
    <n v="0"/>
    <n v="134.6"/>
    <x v="2"/>
    <n v="2025"/>
    <n v="276"/>
    <x v="0"/>
    <s v="Thursday"/>
    <x v="1"/>
    <x v="1"/>
    <s v="High Value"/>
  </r>
  <r>
    <n v="4705"/>
    <s v="ValuePlus Market"/>
    <d v="2024-09-13T00:00:00"/>
    <s v="Household Items"/>
    <s v="Tomatoes"/>
    <n v="5"/>
    <n v="26.76"/>
    <n v="133.80000000000001"/>
    <s v="No Discount"/>
    <n v="0"/>
    <n v="133.80000000000001"/>
    <x v="1"/>
    <n v="2024"/>
    <n v="198"/>
    <x v="2"/>
    <s v="Friday"/>
    <x v="1"/>
    <x v="1"/>
    <s v="High Value"/>
  </r>
  <r>
    <n v="3444"/>
    <s v="SuperSave Central"/>
    <d v="2024-03-26T00:00:00"/>
    <s v="Canned Goods"/>
    <s v="Eggs"/>
    <n v="5"/>
    <n v="26.74"/>
    <n v="133.69999999999999"/>
    <s v="No Discount"/>
    <n v="0"/>
    <n v="133.69999999999999"/>
    <x v="6"/>
    <n v="2024"/>
    <n v="494"/>
    <x v="0"/>
    <s v="Tuesday"/>
    <x v="1"/>
    <x v="1"/>
    <s v="High Value"/>
  </r>
  <r>
    <n v="4065"/>
    <s v="City Fresh Store"/>
    <d v="2024-04-07T00:00:00"/>
    <s v="Beverages"/>
    <s v="Chicken Breast"/>
    <n v="5"/>
    <n v="26.56"/>
    <n v="132.80000000000001"/>
    <s v="No Discount"/>
    <n v="0"/>
    <n v="132.80000000000001"/>
    <x v="9"/>
    <n v="2024"/>
    <n v="26"/>
    <x v="1"/>
    <s v="Sunday"/>
    <x v="1"/>
    <x v="0"/>
    <s v="High Value"/>
  </r>
  <r>
    <n v="5560"/>
    <s v="Corner Grocery"/>
    <d v="2025-03-13T00:00:00"/>
    <s v="Frozen Foods"/>
    <s v="Bananas"/>
    <n v="5"/>
    <n v="25.06"/>
    <n v="125.3"/>
    <s v="No Discount"/>
    <n v="0"/>
    <n v="125.3"/>
    <x v="6"/>
    <n v="2025"/>
    <n v="390"/>
    <x v="0"/>
    <s v="Thursday"/>
    <x v="1"/>
    <x v="1"/>
    <s v="High Value"/>
  </r>
  <r>
    <n v="8056"/>
    <s v="GreenGrocer Plaza"/>
    <d v="2023-11-28T00:00:00"/>
    <s v="Personal Care"/>
    <s v="Pasta"/>
    <n v="5"/>
    <n v="24.57"/>
    <n v="122.85"/>
    <s v="No Discount"/>
    <n v="0"/>
    <n v="122.85"/>
    <x v="0"/>
    <n v="2023"/>
    <n v="294"/>
    <x v="0"/>
    <s v="Tuesday"/>
    <x v="1"/>
    <x v="1"/>
    <s v="High Value"/>
  </r>
  <r>
    <n v="5843"/>
    <s v="Corner Grocery"/>
    <d v="2024-04-01T00:00:00"/>
    <s v="Frozen Foods"/>
    <s v="Potatoes"/>
    <n v="4"/>
    <n v="29.89"/>
    <n v="119.56"/>
    <s v="No Discount"/>
    <n v="0"/>
    <n v="119.56"/>
    <x v="9"/>
    <n v="2024"/>
    <n v="352"/>
    <x v="0"/>
    <s v="Monday"/>
    <x v="1"/>
    <x v="1"/>
    <s v="High Value"/>
  </r>
  <r>
    <n v="4394"/>
    <s v="QuickStop Market"/>
    <d v="2024-11-04T00:00:00"/>
    <s v="Personal Care"/>
    <s v="Eggs"/>
    <n v="4"/>
    <n v="29.86"/>
    <n v="119.44"/>
    <s v="No Discount"/>
    <n v="0"/>
    <n v="119.44"/>
    <x v="0"/>
    <n v="2024"/>
    <n v="499"/>
    <x v="0"/>
    <s v="Monday"/>
    <x v="1"/>
    <x v="1"/>
    <s v="High Value"/>
  </r>
  <r>
    <n v="8144"/>
    <s v="Corner Grocery"/>
    <d v="2023-08-08T00:00:00"/>
    <s v="Bakery"/>
    <s v="Cheese"/>
    <n v="5"/>
    <n v="23.46"/>
    <n v="117.3"/>
    <s v="No Discount"/>
    <n v="0"/>
    <n v="117.3"/>
    <x v="5"/>
    <n v="2023"/>
    <n v="471"/>
    <x v="0"/>
    <s v="Tuesday"/>
    <x v="1"/>
    <x v="1"/>
    <s v="High Value"/>
  </r>
  <r>
    <n v="9351"/>
    <s v="QuickStop Market"/>
    <d v="2024-09-23T00:00:00"/>
    <s v="Bakery"/>
    <s v="Pasta"/>
    <n v="4"/>
    <n v="28.58"/>
    <n v="114.32"/>
    <s v="No Discount"/>
    <n v="0"/>
    <n v="114.32"/>
    <x v="1"/>
    <n v="2024"/>
    <n v="343"/>
    <x v="0"/>
    <s v="Monday"/>
    <x v="1"/>
    <x v="1"/>
    <s v="High Value"/>
  </r>
  <r>
    <n v="3496"/>
    <s v="ValuePlus Market"/>
    <d v="2024-02-08T00:00:00"/>
    <s v="Frozen Foods"/>
    <s v="Orange Juice"/>
    <n v="4"/>
    <n v="28.55"/>
    <n v="114.2"/>
    <s v="No Discount"/>
    <n v="0"/>
    <n v="114.2"/>
    <x v="4"/>
    <n v="2024"/>
    <n v="167"/>
    <x v="2"/>
    <s v="Thursday"/>
    <x v="1"/>
    <x v="1"/>
    <s v="High Value"/>
  </r>
  <r>
    <n v="8055"/>
    <s v="GreenGrocer Plaza"/>
    <d v="2023-12-21T00:00:00"/>
    <s v="Bakery"/>
    <s v="Carrots"/>
    <n v="4"/>
    <n v="28.25"/>
    <n v="113"/>
    <s v="No Discount"/>
    <n v="0"/>
    <n v="113"/>
    <x v="11"/>
    <n v="2023"/>
    <n v="445"/>
    <x v="0"/>
    <s v="Thursday"/>
    <x v="1"/>
    <x v="1"/>
    <s v="High Value"/>
  </r>
  <r>
    <n v="5562"/>
    <s v="ValuePlus Market"/>
    <d v="2025-01-07T00:00:00"/>
    <s v="Personal Care"/>
    <s v="Tomatoes"/>
    <n v="4"/>
    <n v="28.04"/>
    <n v="112.16"/>
    <s v="No Discount"/>
    <n v="0"/>
    <n v="112.16"/>
    <x v="8"/>
    <n v="2025"/>
    <n v="445"/>
    <x v="0"/>
    <s v="Tuesday"/>
    <x v="1"/>
    <x v="1"/>
    <s v="High Value"/>
  </r>
  <r>
    <n v="9189"/>
    <s v="FreshMart Downtown"/>
    <d v="2024-11-12T00:00:00"/>
    <s v="Personal Care"/>
    <s v="Apples"/>
    <n v="4"/>
    <n v="27.68"/>
    <n v="110.72"/>
    <s v="No Discount"/>
    <n v="0"/>
    <n v="110.72"/>
    <x v="0"/>
    <n v="2024"/>
    <n v="126"/>
    <x v="2"/>
    <s v="Tuesday"/>
    <x v="1"/>
    <x v="1"/>
    <s v="High Value"/>
  </r>
  <r>
    <n v="1006"/>
    <s v="QuickStop Market"/>
    <d v="2024-03-30T00:00:00"/>
    <s v="Canned Goods"/>
    <s v="Rice"/>
    <n v="5"/>
    <n v="21.95"/>
    <n v="109.75"/>
    <s v="No Discount"/>
    <n v="0"/>
    <n v="109.75"/>
    <x v="6"/>
    <n v="2024"/>
    <n v="5"/>
    <x v="1"/>
    <s v="Saturday"/>
    <x v="1"/>
    <x v="0"/>
    <s v="High Value"/>
  </r>
  <r>
    <n v="6666"/>
    <s v="FreshMart Downtown"/>
    <d v="2023-09-17T00:00:00"/>
    <s v="Dairy"/>
    <s v="Orange Juice"/>
    <n v="4"/>
    <n v="27.4"/>
    <n v="109.6"/>
    <s v="No Discount"/>
    <n v="0"/>
    <n v="109.6"/>
    <x v="1"/>
    <n v="2023"/>
    <n v="322"/>
    <x v="0"/>
    <s v="Sunday"/>
    <x v="1"/>
    <x v="0"/>
    <s v="High Value"/>
  </r>
  <r>
    <n v="5911"/>
    <s v="GreenGrocer Plaza"/>
    <d v="2024-08-09T00:00:00"/>
    <s v="Health &amp; Wellness"/>
    <s v="Cereal"/>
    <n v="4"/>
    <n v="27.38"/>
    <n v="109.52"/>
    <s v="No Discount"/>
    <n v="0"/>
    <n v="109.52"/>
    <x v="5"/>
    <n v="2024"/>
    <n v="380"/>
    <x v="0"/>
    <s v="Friday"/>
    <x v="1"/>
    <x v="1"/>
    <s v="High Value"/>
  </r>
  <r>
    <n v="7642"/>
    <s v="FamilyFood Express"/>
    <d v="2025-01-20T00:00:00"/>
    <s v="Snacks &amp; Candy"/>
    <s v="Bread"/>
    <n v="5"/>
    <n v="21.72"/>
    <n v="108.6"/>
    <s v="No Discount"/>
    <n v="0"/>
    <n v="108.6"/>
    <x v="8"/>
    <n v="2025"/>
    <n v="269"/>
    <x v="0"/>
    <s v="Monday"/>
    <x v="1"/>
    <x v="1"/>
    <s v="High Value"/>
  </r>
  <r>
    <n v="8428"/>
    <s v="MegaMart Westside"/>
    <d v="2024-11-24T00:00:00"/>
    <s v="Beverages"/>
    <s v="Apples"/>
    <n v="4"/>
    <n v="26.92"/>
    <n v="107.68"/>
    <s v="No Discount"/>
    <n v="0"/>
    <n v="107.68"/>
    <x v="0"/>
    <n v="2024"/>
    <n v="496"/>
    <x v="0"/>
    <s v="Sunday"/>
    <x v="1"/>
    <x v="0"/>
    <s v="High Value"/>
  </r>
  <r>
    <n v="5305"/>
    <s v="Corner Grocery"/>
    <d v="2024-05-03T00:00:00"/>
    <s v="Frozen Foods"/>
    <s v="Salmon"/>
    <n v="4"/>
    <n v="26.78"/>
    <n v="107.12"/>
    <s v="No Discount"/>
    <n v="0"/>
    <n v="107.12"/>
    <x v="3"/>
    <n v="2024"/>
    <n v="378"/>
    <x v="0"/>
    <s v="Friday"/>
    <x v="1"/>
    <x v="1"/>
    <s v="High Value"/>
  </r>
  <r>
    <n v="8800"/>
    <s v="SuperSave Central"/>
    <d v="2024-12-20T00:00:00"/>
    <s v="Frozen Foods"/>
    <s v="Pasta"/>
    <n v="4"/>
    <n v="26.61"/>
    <n v="106.44"/>
    <s v="No Discount"/>
    <n v="0"/>
    <n v="106.44"/>
    <x v="11"/>
    <n v="2024"/>
    <n v="17"/>
    <x v="1"/>
    <s v="Friday"/>
    <x v="1"/>
    <x v="1"/>
    <s v="High Value"/>
  </r>
  <r>
    <n v="2889"/>
    <s v="GreenGrocer Plaza"/>
    <d v="2024-01-31T00:00:00"/>
    <s v="Canned Goods"/>
    <s v="Orange Juice"/>
    <n v="5"/>
    <n v="20.66"/>
    <n v="103.3"/>
    <s v="No Discount"/>
    <n v="0"/>
    <n v="103.3"/>
    <x v="8"/>
    <n v="2024"/>
    <n v="33"/>
    <x v="1"/>
    <s v="Wednesday"/>
    <x v="1"/>
    <x v="1"/>
    <s v="High Value"/>
  </r>
  <r>
    <n v="3390"/>
    <s v="MegaMart Westside"/>
    <d v="2023-08-19T00:00:00"/>
    <s v="Produce"/>
    <s v="Chicken Breast"/>
    <n v="5"/>
    <n v="20.55"/>
    <n v="102.75"/>
    <s v="No Discount"/>
    <n v="0"/>
    <n v="102.75"/>
    <x v="5"/>
    <n v="2023"/>
    <n v="378"/>
    <x v="0"/>
    <s v="Saturday"/>
    <x v="1"/>
    <x v="0"/>
    <s v="High Value"/>
  </r>
  <r>
    <n v="9548"/>
    <s v="SuperSave Central"/>
    <d v="2024-12-24T00:00:00"/>
    <s v="Frozen Foods"/>
    <s v="Chicken Breast"/>
    <n v="5"/>
    <n v="20.54"/>
    <n v="102.7"/>
    <s v="No Discount"/>
    <n v="0"/>
    <n v="102.7"/>
    <x v="11"/>
    <n v="2024"/>
    <n v="59"/>
    <x v="3"/>
    <s v="Tuesday"/>
    <x v="1"/>
    <x v="1"/>
    <s v="High Value"/>
  </r>
  <r>
    <n v="3522"/>
    <s v="GreenGrocer Plaza"/>
    <d v="2024-08-28T00:00:00"/>
    <s v="Bakery"/>
    <s v="Yogurt"/>
    <n v="4"/>
    <n v="25.22"/>
    <n v="100.88"/>
    <s v="No Discount"/>
    <n v="0"/>
    <n v="100.88"/>
    <x v="5"/>
    <n v="2024"/>
    <n v="105"/>
    <x v="2"/>
    <s v="Wednesday"/>
    <x v="1"/>
    <x v="1"/>
    <s v="High Value"/>
  </r>
  <r>
    <n v="4963"/>
    <s v="City Fresh Store"/>
    <d v="2025-02-15T00:00:00"/>
    <s v="Beverages"/>
    <s v="Pasta"/>
    <n v="5"/>
    <n v="20.07"/>
    <n v="100.35"/>
    <s v="No Discount"/>
    <n v="0"/>
    <n v="100.35"/>
    <x v="4"/>
    <n v="2025"/>
    <n v="168"/>
    <x v="2"/>
    <s v="Saturday"/>
    <x v="1"/>
    <x v="0"/>
    <s v="High Value"/>
  </r>
  <r>
    <n v="1528"/>
    <s v="ValuePlus Market"/>
    <d v="2024-07-21T00:00:00"/>
    <s v="Dairy"/>
    <s v="Salmon"/>
    <n v="5"/>
    <n v="19.850000000000001"/>
    <n v="99.25"/>
    <s v="No Discount"/>
    <n v="0"/>
    <n v="99.25"/>
    <x v="2"/>
    <n v="2024"/>
    <n v="97"/>
    <x v="3"/>
    <s v="Sunday"/>
    <x v="1"/>
    <x v="0"/>
    <s v="Regular"/>
  </r>
  <r>
    <n v="3430"/>
    <s v="City Fresh Store"/>
    <d v="2023-09-27T00:00:00"/>
    <s v="Personal Care"/>
    <s v="Potatoes"/>
    <n v="4"/>
    <n v="24.42"/>
    <n v="97.68"/>
    <s v="No Discount"/>
    <n v="0"/>
    <n v="97.68"/>
    <x v="1"/>
    <n v="2023"/>
    <n v="452"/>
    <x v="0"/>
    <s v="Wednesday"/>
    <x v="1"/>
    <x v="1"/>
    <s v="Regular"/>
  </r>
  <r>
    <n v="9843"/>
    <s v="GreenGrocer Plaza"/>
    <d v="2025-05-16T00:00:00"/>
    <s v="Health &amp; Wellness"/>
    <s v="Carrots"/>
    <n v="4"/>
    <n v="23.98"/>
    <n v="95.92"/>
    <s v="No Discount"/>
    <n v="0"/>
    <n v="95.92"/>
    <x v="3"/>
    <n v="2025"/>
    <n v="103"/>
    <x v="2"/>
    <s v="Friday"/>
    <x v="1"/>
    <x v="1"/>
    <s v="Regular"/>
  </r>
  <r>
    <n v="3037"/>
    <s v="FreshMart Downtown"/>
    <d v="2024-08-05T00:00:00"/>
    <s v="Snacks &amp; Candy"/>
    <s v="Pasta"/>
    <n v="5"/>
    <n v="19.059999999999999"/>
    <n v="95.3"/>
    <s v="No Discount"/>
    <n v="0"/>
    <n v="95.3"/>
    <x v="5"/>
    <n v="2024"/>
    <n v="304"/>
    <x v="0"/>
    <s v="Monday"/>
    <x v="1"/>
    <x v="1"/>
    <s v="Regular"/>
  </r>
  <r>
    <n v="3852"/>
    <s v="ValuePlus Market"/>
    <d v="2025-04-14T00:00:00"/>
    <s v="Bakery"/>
    <s v="Bread"/>
    <n v="5"/>
    <n v="18.96"/>
    <n v="94.8"/>
    <s v="No Discount"/>
    <n v="0"/>
    <n v="94.8"/>
    <x v="9"/>
    <n v="2025"/>
    <n v="391"/>
    <x v="0"/>
    <s v="Monday"/>
    <x v="1"/>
    <x v="1"/>
    <s v="Regular"/>
  </r>
  <r>
    <n v="8353"/>
    <s v="ValuePlus Market"/>
    <d v="2024-10-12T00:00:00"/>
    <s v="Bakery"/>
    <s v="Chicken Breast"/>
    <n v="5"/>
    <n v="18.7"/>
    <n v="93.5"/>
    <s v="No Discount"/>
    <n v="0"/>
    <n v="93.5"/>
    <x v="7"/>
    <n v="2024"/>
    <n v="66"/>
    <x v="3"/>
    <s v="Saturday"/>
    <x v="1"/>
    <x v="0"/>
    <s v="Regular"/>
  </r>
  <r>
    <n v="5264"/>
    <s v="SuperSave Central"/>
    <d v="2025-02-03T00:00:00"/>
    <s v="Snacks &amp; Candy"/>
    <s v="Onions"/>
    <n v="4"/>
    <n v="23.1"/>
    <n v="92.4"/>
    <s v="No Discount"/>
    <n v="0"/>
    <n v="92.4"/>
    <x v="4"/>
    <n v="2025"/>
    <n v="275"/>
    <x v="0"/>
    <s v="Monday"/>
    <x v="1"/>
    <x v="1"/>
    <s v="Regular"/>
  </r>
  <r>
    <n v="9288"/>
    <s v="GreenGrocer Plaza"/>
    <d v="2024-02-28T00:00:00"/>
    <s v="Meat &amp; Seafood"/>
    <s v="Potatoes"/>
    <n v="4"/>
    <n v="22.87"/>
    <n v="91.48"/>
    <s v="No Discount"/>
    <n v="0"/>
    <n v="91.48"/>
    <x v="4"/>
    <n v="2024"/>
    <n v="389"/>
    <x v="0"/>
    <s v="Wednesday"/>
    <x v="1"/>
    <x v="1"/>
    <s v="Regular"/>
  </r>
  <r>
    <n v="2353"/>
    <s v="SuperSave Central"/>
    <d v="2025-02-21T00:00:00"/>
    <s v="Produce"/>
    <s v="Bananas"/>
    <n v="5"/>
    <n v="18.170000000000002"/>
    <n v="90.85"/>
    <s v="No Discount"/>
    <n v="0"/>
    <n v="90.85"/>
    <x v="4"/>
    <n v="2025"/>
    <n v="123"/>
    <x v="2"/>
    <s v="Friday"/>
    <x v="1"/>
    <x v="1"/>
    <s v="Regular"/>
  </r>
  <r>
    <n v="6134"/>
    <s v="MegaMart Westside"/>
    <d v="2024-11-12T00:00:00"/>
    <s v="Meat &amp; Seafood"/>
    <s v="Ground Beef"/>
    <n v="4"/>
    <n v="21.93"/>
    <n v="87.72"/>
    <s v="No Discount"/>
    <n v="0"/>
    <n v="87.72"/>
    <x v="0"/>
    <n v="2024"/>
    <n v="35"/>
    <x v="1"/>
    <s v="Tuesday"/>
    <x v="1"/>
    <x v="1"/>
    <s v="Regular"/>
  </r>
  <r>
    <n v="8178"/>
    <s v="City Fresh Store"/>
    <d v="2025-02-17T00:00:00"/>
    <s v="Snacks &amp; Candy"/>
    <s v="Pasta"/>
    <n v="3"/>
    <n v="29.17"/>
    <n v="87.51"/>
    <s v="No Discount"/>
    <n v="0"/>
    <n v="87.51"/>
    <x v="4"/>
    <n v="2025"/>
    <n v="352"/>
    <x v="0"/>
    <s v="Monday"/>
    <x v="1"/>
    <x v="1"/>
    <s v="Regular"/>
  </r>
  <r>
    <n v="3588"/>
    <s v="FamilyFood Express"/>
    <d v="2024-07-14T00:00:00"/>
    <s v="Canned Goods"/>
    <s v="Cheese"/>
    <n v="4"/>
    <n v="21.82"/>
    <n v="87.28"/>
    <s v="No Discount"/>
    <n v="0"/>
    <n v="87.28"/>
    <x v="2"/>
    <n v="2024"/>
    <n v="20"/>
    <x v="1"/>
    <s v="Sunday"/>
    <x v="1"/>
    <x v="0"/>
    <s v="Regular"/>
  </r>
  <r>
    <n v="7311"/>
    <s v="FreshMart Downtown"/>
    <d v="2025-07-05T00:00:00"/>
    <s v="Household Items"/>
    <s v="Potatoes"/>
    <n v="3"/>
    <n v="29.04"/>
    <n v="87.12"/>
    <s v="No Discount"/>
    <n v="0"/>
    <n v="87.12"/>
    <x v="2"/>
    <n v="2025"/>
    <n v="400"/>
    <x v="0"/>
    <s v="Saturday"/>
    <x v="1"/>
    <x v="0"/>
    <s v="Regular"/>
  </r>
  <r>
    <n v="5246"/>
    <s v="QuickStop Market"/>
    <d v="2025-03-12T00:00:00"/>
    <s v="Snacks &amp; Candy"/>
    <s v="Bread"/>
    <n v="3"/>
    <n v="28.81"/>
    <n v="86.43"/>
    <s v="No Discount"/>
    <n v="0"/>
    <n v="86.43"/>
    <x v="6"/>
    <n v="2025"/>
    <n v="235"/>
    <x v="0"/>
    <s v="Wednesday"/>
    <x v="1"/>
    <x v="1"/>
    <s v="Regular"/>
  </r>
  <r>
    <n v="6994"/>
    <s v="FamilyFood Express"/>
    <d v="2024-09-22T00:00:00"/>
    <s v="Beverages"/>
    <s v="Tomatoes"/>
    <n v="3"/>
    <n v="28.14"/>
    <n v="84.42"/>
    <s v="No Discount"/>
    <n v="0"/>
    <n v="84.42"/>
    <x v="1"/>
    <n v="2024"/>
    <n v="81"/>
    <x v="3"/>
    <s v="Sunday"/>
    <x v="1"/>
    <x v="0"/>
    <s v="Regular"/>
  </r>
  <r>
    <n v="2275"/>
    <s v="GreenGrocer Plaza"/>
    <d v="2025-06-06T00:00:00"/>
    <s v="Health &amp; Wellness"/>
    <s v="Rice"/>
    <n v="4"/>
    <n v="21.1"/>
    <n v="84.4"/>
    <s v="No Discount"/>
    <n v="0"/>
    <n v="84.4"/>
    <x v="10"/>
    <n v="2025"/>
    <n v="405"/>
    <x v="0"/>
    <s v="Friday"/>
    <x v="1"/>
    <x v="1"/>
    <s v="Regular"/>
  </r>
  <r>
    <n v="6353"/>
    <s v="FreshMart Downtown"/>
    <d v="2024-06-05T00:00:00"/>
    <s v="Canned Goods"/>
    <s v="Bread"/>
    <n v="3"/>
    <n v="28.01"/>
    <n v="84.03"/>
    <s v="No Discount"/>
    <n v="0"/>
    <n v="84.03"/>
    <x v="10"/>
    <n v="2024"/>
    <n v="182"/>
    <x v="2"/>
    <s v="Wednesday"/>
    <x v="1"/>
    <x v="1"/>
    <s v="Regular"/>
  </r>
  <r>
    <n v="5470"/>
    <s v="FreshMart Downtown"/>
    <d v="2024-01-03T00:00:00"/>
    <s v="Health &amp; Wellness"/>
    <s v="Eggs"/>
    <n v="3"/>
    <n v="27.88"/>
    <n v="83.64"/>
    <s v="No Discount"/>
    <n v="0"/>
    <n v="83.64"/>
    <x v="8"/>
    <n v="2024"/>
    <n v="138"/>
    <x v="2"/>
    <s v="Wednesday"/>
    <x v="1"/>
    <x v="1"/>
    <s v="Regular"/>
  </r>
  <r>
    <n v="8909"/>
    <s v="SuperSave Central"/>
    <d v="2023-10-27T00:00:00"/>
    <s v="Household Items"/>
    <s v="Carrots"/>
    <n v="4"/>
    <n v="20.89"/>
    <n v="83.56"/>
    <s v="No Discount"/>
    <n v="0"/>
    <n v="83.56"/>
    <x v="7"/>
    <n v="2023"/>
    <n v="5"/>
    <x v="1"/>
    <s v="Friday"/>
    <x v="1"/>
    <x v="1"/>
    <s v="Regular"/>
  </r>
  <r>
    <n v="9950"/>
    <s v="MegaMart Westside"/>
    <d v="2024-05-08T00:00:00"/>
    <s v="Personal Care"/>
    <s v="Orange Juice"/>
    <n v="5"/>
    <n v="16.600000000000001"/>
    <n v="83"/>
    <s v="No Discount"/>
    <n v="0"/>
    <n v="83"/>
    <x v="3"/>
    <n v="2024"/>
    <n v="107"/>
    <x v="2"/>
    <s v="Wednesday"/>
    <x v="1"/>
    <x v="1"/>
    <s v="Regular"/>
  </r>
  <r>
    <n v="8022"/>
    <s v="MegaMart Westside"/>
    <d v="2023-11-20T00:00:00"/>
    <s v="Beverages"/>
    <s v="Apples"/>
    <n v="3"/>
    <n v="27.63"/>
    <n v="82.89"/>
    <s v="No Discount"/>
    <n v="0"/>
    <n v="82.89"/>
    <x v="0"/>
    <n v="2023"/>
    <n v="302"/>
    <x v="0"/>
    <s v="Monday"/>
    <x v="1"/>
    <x v="1"/>
    <s v="Regular"/>
  </r>
  <r>
    <n v="9856"/>
    <s v="City Fresh Store"/>
    <d v="2025-05-17T00:00:00"/>
    <s v="Produce"/>
    <s v="Onions"/>
    <n v="3"/>
    <n v="27.53"/>
    <n v="82.59"/>
    <s v="No Discount"/>
    <n v="0"/>
    <n v="82.59"/>
    <x v="3"/>
    <n v="2025"/>
    <n v="113"/>
    <x v="2"/>
    <s v="Saturday"/>
    <x v="1"/>
    <x v="0"/>
    <s v="Regular"/>
  </r>
  <r>
    <n v="9395"/>
    <s v="FreshMart Downtown"/>
    <d v="2024-06-18T00:00:00"/>
    <s v="Snacks &amp; Candy"/>
    <s v="Bread"/>
    <n v="3"/>
    <n v="27.44"/>
    <n v="82.32"/>
    <s v="No Discount"/>
    <n v="0"/>
    <n v="82.32"/>
    <x v="10"/>
    <n v="2024"/>
    <n v="392"/>
    <x v="0"/>
    <s v="Tuesday"/>
    <x v="1"/>
    <x v="1"/>
    <s v="Regular"/>
  </r>
  <r>
    <n v="7167"/>
    <s v="City Fresh Store"/>
    <d v="2023-12-27T00:00:00"/>
    <s v="Health &amp; Wellness"/>
    <s v="Chicken Breast"/>
    <n v="5"/>
    <n v="16.29"/>
    <n v="81.45"/>
    <s v="No Discount"/>
    <n v="0"/>
    <n v="81.45"/>
    <x v="11"/>
    <n v="2023"/>
    <n v="295"/>
    <x v="0"/>
    <s v="Wednesday"/>
    <x v="1"/>
    <x v="1"/>
    <s v="Regular"/>
  </r>
  <r>
    <n v="2234"/>
    <s v="MegaMart Westside"/>
    <d v="2023-12-22T00:00:00"/>
    <s v="Beverages"/>
    <s v="Potatoes"/>
    <n v="5"/>
    <n v="16.260000000000002"/>
    <n v="81.3"/>
    <s v="No Discount"/>
    <n v="0"/>
    <n v="81.3"/>
    <x v="11"/>
    <n v="2023"/>
    <n v="62"/>
    <x v="3"/>
    <s v="Friday"/>
    <x v="1"/>
    <x v="1"/>
    <s v="Regular"/>
  </r>
  <r>
    <n v="9897"/>
    <s v="MegaMart Westside"/>
    <d v="2024-08-08T00:00:00"/>
    <s v="Produce"/>
    <s v="Onions"/>
    <n v="3"/>
    <n v="26.98"/>
    <n v="80.94"/>
    <s v="No Discount"/>
    <n v="0"/>
    <n v="80.94"/>
    <x v="5"/>
    <n v="2024"/>
    <n v="436"/>
    <x v="0"/>
    <s v="Thursday"/>
    <x v="1"/>
    <x v="1"/>
    <s v="Regular"/>
  </r>
  <r>
    <n v="9056"/>
    <s v="GreenGrocer Plaza"/>
    <d v="2023-10-03T00:00:00"/>
    <s v="Frozen Foods"/>
    <s v="Onions"/>
    <n v="3"/>
    <n v="26.45"/>
    <n v="79.349999999999994"/>
    <s v="No Discount"/>
    <n v="0"/>
    <n v="79.349999999999994"/>
    <x v="7"/>
    <n v="2023"/>
    <n v="135"/>
    <x v="2"/>
    <s v="Tuesday"/>
    <x v="1"/>
    <x v="1"/>
    <s v="Regular"/>
  </r>
  <r>
    <n v="5947"/>
    <s v="QuickStop Market"/>
    <d v="2024-11-01T00:00:00"/>
    <s v="Household Items"/>
    <s v="Rice"/>
    <n v="3"/>
    <n v="26.38"/>
    <n v="79.14"/>
    <s v="No Discount"/>
    <n v="0"/>
    <n v="79.14"/>
    <x v="0"/>
    <n v="2024"/>
    <n v="138"/>
    <x v="2"/>
    <s v="Friday"/>
    <x v="1"/>
    <x v="1"/>
    <s v="Regular"/>
  </r>
  <r>
    <n v="6355"/>
    <s v="SuperSave Central"/>
    <d v="2024-04-25T00:00:00"/>
    <s v="Bakery"/>
    <s v="Tomatoes"/>
    <n v="5"/>
    <n v="15.65"/>
    <n v="78.25"/>
    <s v="No Discount"/>
    <n v="0"/>
    <n v="78.25"/>
    <x v="9"/>
    <n v="2024"/>
    <n v="253"/>
    <x v="0"/>
    <s v="Thursday"/>
    <x v="1"/>
    <x v="1"/>
    <s v="Regular"/>
  </r>
  <r>
    <n v="5728"/>
    <s v="SuperSave Central"/>
    <d v="2024-07-13T00:00:00"/>
    <s v="Bakery"/>
    <s v="Bananas"/>
    <n v="5"/>
    <n v="15.62"/>
    <n v="78.099999999999994"/>
    <s v="No Discount"/>
    <n v="0"/>
    <n v="78.099999999999994"/>
    <x v="2"/>
    <n v="2024"/>
    <n v="63"/>
    <x v="3"/>
    <s v="Saturday"/>
    <x v="1"/>
    <x v="0"/>
    <s v="Regular"/>
  </r>
  <r>
    <n v="8846"/>
    <s v="FamilyFood Express"/>
    <d v="2025-07-17T00:00:00"/>
    <s v="Dairy"/>
    <s v="Yogurt"/>
    <n v="4"/>
    <n v="19.510000000000002"/>
    <n v="78.040000000000006"/>
    <s v="No Discount"/>
    <n v="0"/>
    <n v="78.040000000000006"/>
    <x v="2"/>
    <n v="2025"/>
    <n v="494"/>
    <x v="0"/>
    <s v="Thursday"/>
    <x v="1"/>
    <x v="1"/>
    <s v="Regular"/>
  </r>
  <r>
    <n v="4271"/>
    <s v="QuickStop Market"/>
    <d v="2025-04-20T00:00:00"/>
    <s v="Snacks &amp; Candy"/>
    <s v="Cheese"/>
    <n v="3"/>
    <n v="25.94"/>
    <n v="77.819999999999993"/>
    <s v="No Discount"/>
    <n v="0"/>
    <n v="77.819999999999993"/>
    <x v="9"/>
    <n v="2025"/>
    <n v="466"/>
    <x v="0"/>
    <s v="Sunday"/>
    <x v="1"/>
    <x v="0"/>
    <s v="Regular"/>
  </r>
  <r>
    <n v="2041"/>
    <s v="GreenGrocer Plaza"/>
    <d v="2024-08-10T00:00:00"/>
    <s v="Dairy"/>
    <s v="Chicken Breast"/>
    <n v="4"/>
    <n v="19.38"/>
    <n v="77.52"/>
    <s v="No Discount"/>
    <n v="0"/>
    <n v="77.52"/>
    <x v="5"/>
    <n v="2024"/>
    <n v="43"/>
    <x v="1"/>
    <s v="Saturday"/>
    <x v="1"/>
    <x v="0"/>
    <s v="Regular"/>
  </r>
  <r>
    <n v="2213"/>
    <s v="Corner Grocery"/>
    <d v="2024-07-23T00:00:00"/>
    <s v="Dairy"/>
    <s v="Pasta"/>
    <n v="5"/>
    <n v="15.5"/>
    <n v="77.5"/>
    <s v="No Discount"/>
    <n v="0"/>
    <n v="77.5"/>
    <x v="2"/>
    <n v="2024"/>
    <n v="87"/>
    <x v="3"/>
    <s v="Tuesday"/>
    <x v="1"/>
    <x v="1"/>
    <s v="Regular"/>
  </r>
  <r>
    <n v="6325"/>
    <s v="SuperSave Central"/>
    <d v="2023-12-26T00:00:00"/>
    <s v="Bakery"/>
    <s v="Rice"/>
    <n v="3"/>
    <n v="25.67"/>
    <n v="77.010000000000005"/>
    <s v="No Discount"/>
    <n v="0"/>
    <n v="77.010000000000005"/>
    <x v="11"/>
    <n v="2023"/>
    <n v="474"/>
    <x v="0"/>
    <s v="Tuesday"/>
    <x v="1"/>
    <x v="1"/>
    <s v="Regular"/>
  </r>
  <r>
    <n v="7291"/>
    <s v="SuperSave Central"/>
    <d v="2024-08-24T00:00:00"/>
    <s v="Health &amp; Wellness"/>
    <s v="Cheese"/>
    <n v="5"/>
    <n v="15.36"/>
    <n v="76.8"/>
    <s v="No Discount"/>
    <n v="0"/>
    <n v="76.8"/>
    <x v="5"/>
    <n v="2024"/>
    <n v="497"/>
    <x v="0"/>
    <s v="Saturday"/>
    <x v="1"/>
    <x v="0"/>
    <s v="Regular"/>
  </r>
  <r>
    <n v="2036"/>
    <s v="QuickStop Market"/>
    <d v="2023-12-14T00:00:00"/>
    <s v="Snacks &amp; Candy"/>
    <s v="Rice"/>
    <n v="3"/>
    <n v="25.19"/>
    <n v="75.569999999999993"/>
    <s v="No Discount"/>
    <n v="0"/>
    <n v="75.569999999999993"/>
    <x v="11"/>
    <n v="2023"/>
    <n v="18"/>
    <x v="1"/>
    <s v="Thursday"/>
    <x v="1"/>
    <x v="1"/>
    <s v="Regular"/>
  </r>
  <r>
    <n v="4868"/>
    <s v="ValuePlus Market"/>
    <d v="2025-06-01T00:00:00"/>
    <s v="Personal Care"/>
    <s v="Pasta"/>
    <n v="5"/>
    <n v="15"/>
    <n v="75"/>
    <s v="No Discount"/>
    <n v="0"/>
    <n v="75"/>
    <x v="10"/>
    <n v="2025"/>
    <n v="373"/>
    <x v="0"/>
    <s v="Sunday"/>
    <x v="1"/>
    <x v="0"/>
    <s v="Regular"/>
  </r>
  <r>
    <n v="8054"/>
    <s v="Corner Grocery"/>
    <d v="2025-04-24T00:00:00"/>
    <s v="Health &amp; Wellness"/>
    <s v="Bananas"/>
    <n v="5"/>
    <n v="14.97"/>
    <n v="74.849999999999994"/>
    <s v="No Discount"/>
    <n v="0"/>
    <n v="74.849999999999994"/>
    <x v="9"/>
    <n v="2025"/>
    <n v="198"/>
    <x v="2"/>
    <s v="Thursday"/>
    <x v="1"/>
    <x v="1"/>
    <s v="Regular"/>
  </r>
  <r>
    <n v="7770"/>
    <s v="MegaMart Westside"/>
    <d v="2023-09-18T00:00:00"/>
    <s v="Dairy"/>
    <s v="Orange Juice"/>
    <n v="5"/>
    <n v="14.92"/>
    <n v="74.599999999999994"/>
    <s v="No Discount"/>
    <n v="0"/>
    <n v="74.599999999999994"/>
    <x v="1"/>
    <n v="2023"/>
    <n v="292"/>
    <x v="0"/>
    <s v="Monday"/>
    <x v="1"/>
    <x v="1"/>
    <s v="Regular"/>
  </r>
  <r>
    <n v="5501"/>
    <s v="GreenGrocer Plaza"/>
    <d v="2024-09-26T00:00:00"/>
    <s v="Snacks &amp; Candy"/>
    <s v="Bread"/>
    <n v="5"/>
    <n v="14.87"/>
    <n v="74.349999999999994"/>
    <s v="No Discount"/>
    <n v="0"/>
    <n v="74.349999999999994"/>
    <x v="1"/>
    <n v="2024"/>
    <n v="66"/>
    <x v="3"/>
    <s v="Thursday"/>
    <x v="1"/>
    <x v="1"/>
    <s v="Regular"/>
  </r>
  <r>
    <n v="2929"/>
    <s v="SuperSave Central"/>
    <d v="2024-02-26T00:00:00"/>
    <s v="Health &amp; Wellness"/>
    <s v="Bananas"/>
    <n v="5"/>
    <n v="14.81"/>
    <n v="74.05"/>
    <s v="No Discount"/>
    <n v="0"/>
    <n v="74.05"/>
    <x v="4"/>
    <n v="2024"/>
    <n v="461"/>
    <x v="0"/>
    <s v="Monday"/>
    <x v="1"/>
    <x v="1"/>
    <s v="Regular"/>
  </r>
  <r>
    <n v="3245"/>
    <s v="MegaMart Westside"/>
    <d v="2025-02-11T00:00:00"/>
    <s v="Health &amp; Wellness"/>
    <s v="Cereal"/>
    <n v="3"/>
    <n v="24.68"/>
    <n v="74.040000000000006"/>
    <s v="No Discount"/>
    <n v="0"/>
    <n v="74.040000000000006"/>
    <x v="4"/>
    <n v="2025"/>
    <n v="481"/>
    <x v="0"/>
    <s v="Tuesday"/>
    <x v="1"/>
    <x v="1"/>
    <s v="Regular"/>
  </r>
  <r>
    <n v="9830"/>
    <s v="City Fresh Store"/>
    <d v="2024-02-27T00:00:00"/>
    <s v="Beverages"/>
    <s v="Yogurt"/>
    <n v="5"/>
    <n v="14.71"/>
    <n v="73.55"/>
    <s v="No Discount"/>
    <n v="0"/>
    <n v="73.55"/>
    <x v="4"/>
    <n v="2024"/>
    <n v="461"/>
    <x v="0"/>
    <s v="Tuesday"/>
    <x v="1"/>
    <x v="1"/>
    <s v="Regular"/>
  </r>
  <r>
    <n v="1108"/>
    <s v="FreshMart Downtown"/>
    <d v="2024-09-23T00:00:00"/>
    <s v="Personal Care"/>
    <s v="Chicken Breast"/>
    <n v="5"/>
    <n v="14.65"/>
    <n v="73.25"/>
    <s v="No Discount"/>
    <n v="0"/>
    <n v="73.25"/>
    <x v="1"/>
    <n v="2024"/>
    <n v="469"/>
    <x v="0"/>
    <s v="Monday"/>
    <x v="1"/>
    <x v="1"/>
    <s v="Regular"/>
  </r>
  <r>
    <n v="8492"/>
    <s v="SuperSave Central"/>
    <d v="2024-10-19T00:00:00"/>
    <s v="Canned Goods"/>
    <s v="Potatoes"/>
    <n v="5"/>
    <n v="14.62"/>
    <n v="73.099999999999994"/>
    <s v="No Discount"/>
    <n v="0"/>
    <n v="73.099999999999994"/>
    <x v="7"/>
    <n v="2024"/>
    <n v="497"/>
    <x v="0"/>
    <s v="Saturday"/>
    <x v="1"/>
    <x v="0"/>
    <s v="Regular"/>
  </r>
  <r>
    <n v="1474"/>
    <s v="MegaMart Westside"/>
    <d v="2023-09-11T00:00:00"/>
    <s v="Health &amp; Wellness"/>
    <s v="Tomatoes"/>
    <n v="4"/>
    <n v="17.989999999999998"/>
    <n v="71.959999999999994"/>
    <s v="No Discount"/>
    <n v="0"/>
    <n v="71.959999999999994"/>
    <x v="1"/>
    <n v="2023"/>
    <n v="265"/>
    <x v="0"/>
    <s v="Monday"/>
    <x v="1"/>
    <x v="1"/>
    <s v="Regular"/>
  </r>
  <r>
    <n v="7081"/>
    <s v="QuickStop Market"/>
    <d v="2024-10-10T00:00:00"/>
    <s v="Meat &amp; Seafood"/>
    <s v="Bananas"/>
    <n v="3"/>
    <n v="23.89"/>
    <n v="71.67"/>
    <s v="No Discount"/>
    <n v="0"/>
    <n v="71.67"/>
    <x v="7"/>
    <n v="2024"/>
    <n v="142"/>
    <x v="2"/>
    <s v="Thursday"/>
    <x v="1"/>
    <x v="1"/>
    <s v="Regular"/>
  </r>
  <r>
    <n v="9786"/>
    <s v="GreenGrocer Plaza"/>
    <d v="2024-07-20T00:00:00"/>
    <s v="Health &amp; Wellness"/>
    <s v="Milk"/>
    <n v="3"/>
    <n v="23.86"/>
    <n v="71.58"/>
    <s v="No Discount"/>
    <n v="0"/>
    <n v="71.58"/>
    <x v="2"/>
    <n v="2024"/>
    <n v="17"/>
    <x v="1"/>
    <s v="Saturday"/>
    <x v="1"/>
    <x v="0"/>
    <s v="Regular"/>
  </r>
  <r>
    <n v="6654"/>
    <s v="SuperSave Central"/>
    <d v="2024-04-21T00:00:00"/>
    <s v="Personal Care"/>
    <s v="Yogurt"/>
    <n v="3"/>
    <n v="22.26"/>
    <n v="66.78"/>
    <s v="No Discount"/>
    <n v="0"/>
    <n v="66.78"/>
    <x v="9"/>
    <n v="2024"/>
    <n v="320"/>
    <x v="0"/>
    <s v="Sunday"/>
    <x v="1"/>
    <x v="0"/>
    <s v="Regular"/>
  </r>
  <r>
    <n v="1987"/>
    <s v="MegaMart Westside"/>
    <d v="2025-08-01T00:00:00"/>
    <s v="Snacks &amp; Candy"/>
    <s v="Potatoes"/>
    <n v="4"/>
    <n v="16.52"/>
    <n v="66.08"/>
    <s v="No Discount"/>
    <n v="0"/>
    <n v="66.08"/>
    <x v="5"/>
    <n v="2025"/>
    <n v="401"/>
    <x v="0"/>
    <s v="Friday"/>
    <x v="1"/>
    <x v="1"/>
    <s v="Regular"/>
  </r>
  <r>
    <n v="7744"/>
    <s v="ValuePlus Market"/>
    <d v="2025-01-26T00:00:00"/>
    <s v="Household Items"/>
    <s v="Potatoes"/>
    <n v="3"/>
    <n v="21.75"/>
    <n v="65.25"/>
    <s v="No Discount"/>
    <n v="0"/>
    <n v="65.25"/>
    <x v="8"/>
    <n v="2025"/>
    <n v="58"/>
    <x v="3"/>
    <s v="Sunday"/>
    <x v="1"/>
    <x v="0"/>
    <s v="Regular"/>
  </r>
  <r>
    <n v="8684"/>
    <s v="QuickStop Market"/>
    <d v="2025-07-09T00:00:00"/>
    <s v="Produce"/>
    <s v="Rice"/>
    <n v="5"/>
    <n v="12.65"/>
    <n v="63.25"/>
    <s v="No Discount"/>
    <n v="0"/>
    <n v="63.25"/>
    <x v="2"/>
    <n v="2025"/>
    <n v="115"/>
    <x v="2"/>
    <s v="Wednesday"/>
    <x v="1"/>
    <x v="1"/>
    <s v="Regular"/>
  </r>
  <r>
    <n v="1609"/>
    <s v="QuickStop Market"/>
    <d v="2024-03-30T00:00:00"/>
    <s v="Frozen Foods"/>
    <s v="Bread"/>
    <n v="5"/>
    <n v="12.58"/>
    <n v="62.9"/>
    <s v="No Discount"/>
    <n v="0"/>
    <n v="62.9"/>
    <x v="6"/>
    <n v="2024"/>
    <n v="469"/>
    <x v="0"/>
    <s v="Saturday"/>
    <x v="1"/>
    <x v="0"/>
    <s v="Regular"/>
  </r>
  <r>
    <n v="9625"/>
    <s v="FamilyFood Express"/>
    <d v="2024-02-19T00:00:00"/>
    <s v="Frozen Foods"/>
    <s v="Eggs"/>
    <n v="5"/>
    <n v="12.53"/>
    <n v="62.65"/>
    <s v="No Discount"/>
    <n v="0"/>
    <n v="62.65"/>
    <x v="4"/>
    <n v="2024"/>
    <n v="336"/>
    <x v="0"/>
    <s v="Monday"/>
    <x v="1"/>
    <x v="1"/>
    <s v="Regular"/>
  </r>
  <r>
    <n v="5295"/>
    <s v="City Fresh Store"/>
    <d v="2024-01-21T00:00:00"/>
    <s v="Household Items"/>
    <s v="Tomatoes"/>
    <n v="3"/>
    <n v="20.87"/>
    <n v="62.61"/>
    <s v="No Discount"/>
    <n v="0"/>
    <n v="62.61"/>
    <x v="8"/>
    <n v="2024"/>
    <n v="198"/>
    <x v="2"/>
    <s v="Sunday"/>
    <x v="1"/>
    <x v="0"/>
    <s v="Regular"/>
  </r>
  <r>
    <n v="8253"/>
    <s v="FamilyFood Express"/>
    <d v="2024-03-24T00:00:00"/>
    <s v="Frozen Foods"/>
    <s v="Orange Juice"/>
    <n v="4"/>
    <n v="15.64"/>
    <n v="62.56"/>
    <s v="No Discount"/>
    <n v="0"/>
    <n v="62.56"/>
    <x v="6"/>
    <n v="2024"/>
    <n v="325"/>
    <x v="0"/>
    <s v="Sunday"/>
    <x v="1"/>
    <x v="0"/>
    <s v="Regular"/>
  </r>
  <r>
    <n v="4971"/>
    <s v="SuperSave Central"/>
    <d v="2024-04-16T00:00:00"/>
    <s v="Snacks &amp; Candy"/>
    <s v="Onions"/>
    <n v="4"/>
    <n v="15.2"/>
    <n v="60.8"/>
    <s v="No Discount"/>
    <n v="0"/>
    <n v="60.8"/>
    <x v="9"/>
    <n v="2024"/>
    <n v="403"/>
    <x v="0"/>
    <s v="Tuesday"/>
    <x v="1"/>
    <x v="1"/>
    <s v="Regular"/>
  </r>
  <r>
    <n v="9806"/>
    <s v="SuperSave Central"/>
    <d v="2025-04-20T00:00:00"/>
    <s v="Frozen Foods"/>
    <s v="Bread"/>
    <n v="5"/>
    <n v="11.94"/>
    <n v="59.7"/>
    <s v="No Discount"/>
    <n v="0"/>
    <n v="59.7"/>
    <x v="9"/>
    <n v="2025"/>
    <n v="486"/>
    <x v="0"/>
    <s v="Sunday"/>
    <x v="1"/>
    <x v="0"/>
    <s v="Regular"/>
  </r>
  <r>
    <n v="1611"/>
    <s v="FamilyFood Express"/>
    <d v="2025-07-16T00:00:00"/>
    <s v="Bakery"/>
    <s v="Cereal"/>
    <n v="4"/>
    <n v="14.89"/>
    <n v="59.56"/>
    <s v="No Discount"/>
    <n v="0"/>
    <n v="59.56"/>
    <x v="2"/>
    <n v="2025"/>
    <n v="261"/>
    <x v="0"/>
    <s v="Wednesday"/>
    <x v="1"/>
    <x v="1"/>
    <s v="Regular"/>
  </r>
  <r>
    <n v="2204"/>
    <s v="FreshMart Downtown"/>
    <d v="2023-10-09T00:00:00"/>
    <s v="Bakery"/>
    <s v="Eggs"/>
    <n v="5"/>
    <n v="11.9"/>
    <n v="59.5"/>
    <s v="No Discount"/>
    <n v="0"/>
    <n v="59.5"/>
    <x v="7"/>
    <n v="2023"/>
    <n v="482"/>
    <x v="0"/>
    <s v="Monday"/>
    <x v="1"/>
    <x v="1"/>
    <s v="Regular"/>
  </r>
  <r>
    <n v="7592"/>
    <s v="FamilyFood Express"/>
    <d v="2025-01-29T00:00:00"/>
    <s v="Frozen Foods"/>
    <s v="Cereal"/>
    <n v="3"/>
    <n v="19.72"/>
    <n v="59.16"/>
    <s v="No Discount"/>
    <n v="0"/>
    <n v="59.16"/>
    <x v="8"/>
    <n v="2025"/>
    <n v="464"/>
    <x v="0"/>
    <s v="Wednesday"/>
    <x v="1"/>
    <x v="1"/>
    <s v="Regular"/>
  </r>
  <r>
    <n v="3697"/>
    <s v="MegaMart Westside"/>
    <d v="2023-12-10T00:00:00"/>
    <s v="Personal Care"/>
    <s v="Potatoes"/>
    <n v="4"/>
    <n v="14.73"/>
    <n v="58.92"/>
    <s v="No Discount"/>
    <n v="0"/>
    <n v="58.92"/>
    <x v="11"/>
    <n v="2023"/>
    <n v="297"/>
    <x v="0"/>
    <s v="Sunday"/>
    <x v="1"/>
    <x v="0"/>
    <s v="Regular"/>
  </r>
  <r>
    <n v="2392"/>
    <s v="City Fresh Store"/>
    <d v="2023-10-30T00:00:00"/>
    <s v="Household Items"/>
    <s v="Cheese"/>
    <n v="4"/>
    <n v="14.72"/>
    <n v="58.88"/>
    <s v="No Discount"/>
    <n v="0"/>
    <n v="58.88"/>
    <x v="7"/>
    <n v="2023"/>
    <n v="124"/>
    <x v="2"/>
    <s v="Monday"/>
    <x v="1"/>
    <x v="1"/>
    <s v="Regular"/>
  </r>
  <r>
    <n v="3826"/>
    <s v="FamilyFood Express"/>
    <d v="2025-04-30T00:00:00"/>
    <s v="Frozen Foods"/>
    <s v="Chicken Breast"/>
    <n v="3"/>
    <n v="19.61"/>
    <n v="58.83"/>
    <s v="No Discount"/>
    <n v="0"/>
    <n v="58.83"/>
    <x v="9"/>
    <n v="2025"/>
    <n v="37"/>
    <x v="1"/>
    <s v="Wednesday"/>
    <x v="1"/>
    <x v="1"/>
    <s v="Regular"/>
  </r>
  <r>
    <n v="7786"/>
    <s v="FreshMart Downtown"/>
    <d v="2024-05-24T00:00:00"/>
    <s v="Snacks &amp; Candy"/>
    <s v="Milk"/>
    <n v="2"/>
    <n v="29.4"/>
    <n v="58.8"/>
    <s v="No Discount"/>
    <n v="0"/>
    <n v="58.8"/>
    <x v="3"/>
    <n v="2024"/>
    <n v="7"/>
    <x v="1"/>
    <s v="Friday"/>
    <x v="0"/>
    <x v="1"/>
    <s v="Regular"/>
  </r>
  <r>
    <n v="4113"/>
    <s v="ValuePlus Market"/>
    <d v="2025-03-04T00:00:00"/>
    <s v="Health &amp; Wellness"/>
    <s v="Bananas"/>
    <n v="2"/>
    <n v="29.37"/>
    <n v="58.74"/>
    <s v="No Discount"/>
    <n v="0"/>
    <n v="58.74"/>
    <x v="6"/>
    <n v="2025"/>
    <n v="438"/>
    <x v="0"/>
    <s v="Tuesday"/>
    <x v="0"/>
    <x v="1"/>
    <s v="Regular"/>
  </r>
  <r>
    <n v="9775"/>
    <s v="FamilyFood Express"/>
    <d v="2025-02-19T00:00:00"/>
    <s v="Meat &amp; Seafood"/>
    <s v="Yogurt"/>
    <n v="3"/>
    <n v="19.46"/>
    <n v="58.38"/>
    <s v="No Discount"/>
    <n v="0"/>
    <n v="58.38"/>
    <x v="4"/>
    <n v="2025"/>
    <n v="361"/>
    <x v="0"/>
    <s v="Wednesday"/>
    <x v="1"/>
    <x v="1"/>
    <s v="Regular"/>
  </r>
  <r>
    <n v="2924"/>
    <s v="ValuePlus Market"/>
    <d v="2024-12-22T00:00:00"/>
    <s v="Dairy"/>
    <s v="Chicken Breast"/>
    <n v="2"/>
    <n v="29.17"/>
    <n v="58.34"/>
    <s v="No Discount"/>
    <n v="0"/>
    <n v="58.34"/>
    <x v="11"/>
    <n v="2024"/>
    <n v="395"/>
    <x v="0"/>
    <s v="Sunday"/>
    <x v="0"/>
    <x v="0"/>
    <s v="Regular"/>
  </r>
  <r>
    <n v="5889"/>
    <s v="City Fresh Store"/>
    <d v="2025-05-21T00:00:00"/>
    <s v="Dairy"/>
    <s v="Cheese"/>
    <n v="3"/>
    <n v="19.420000000000002"/>
    <n v="58.26"/>
    <s v="No Discount"/>
    <n v="0"/>
    <n v="58.26"/>
    <x v="3"/>
    <n v="2025"/>
    <n v="424"/>
    <x v="0"/>
    <s v="Wednesday"/>
    <x v="1"/>
    <x v="1"/>
    <s v="Regular"/>
  </r>
  <r>
    <n v="3877"/>
    <s v="Corner Grocery"/>
    <d v="2023-11-07T00:00:00"/>
    <s v="Meat &amp; Seafood"/>
    <s v="Chicken Breast"/>
    <n v="2"/>
    <n v="28.88"/>
    <n v="57.76"/>
    <s v="No Discount"/>
    <n v="0"/>
    <n v="57.76"/>
    <x v="0"/>
    <n v="2023"/>
    <n v="164"/>
    <x v="2"/>
    <s v="Tuesday"/>
    <x v="0"/>
    <x v="1"/>
    <s v="Regular"/>
  </r>
  <r>
    <n v="1829"/>
    <s v="FamilyFood Express"/>
    <d v="2024-03-19T00:00:00"/>
    <s v="Health &amp; Wellness"/>
    <s v="Bread"/>
    <n v="2"/>
    <n v="28.79"/>
    <n v="57.58"/>
    <s v="No Discount"/>
    <n v="0"/>
    <n v="57.58"/>
    <x v="6"/>
    <n v="2024"/>
    <n v="49"/>
    <x v="1"/>
    <s v="Tuesday"/>
    <x v="0"/>
    <x v="1"/>
    <s v="Regular"/>
  </r>
  <r>
    <n v="9355"/>
    <s v="SuperSave Central"/>
    <d v="2024-01-04T00:00:00"/>
    <s v="Snacks &amp; Candy"/>
    <s v="Apples"/>
    <n v="3"/>
    <n v="19.170000000000002"/>
    <n v="57.51"/>
    <s v="No Discount"/>
    <n v="0"/>
    <n v="57.51"/>
    <x v="8"/>
    <n v="2024"/>
    <n v="360"/>
    <x v="0"/>
    <s v="Thursday"/>
    <x v="1"/>
    <x v="1"/>
    <s v="Regular"/>
  </r>
  <r>
    <n v="3142"/>
    <s v="SuperSave Central"/>
    <d v="2025-03-19T00:00:00"/>
    <s v="Canned Goods"/>
    <s v="Salmon"/>
    <n v="4"/>
    <n v="14.37"/>
    <n v="57.48"/>
    <s v="No Discount"/>
    <n v="0"/>
    <n v="57.48"/>
    <x v="6"/>
    <n v="2025"/>
    <n v="42"/>
    <x v="1"/>
    <s v="Wednesday"/>
    <x v="1"/>
    <x v="1"/>
    <s v="Regular"/>
  </r>
  <r>
    <n v="5038"/>
    <s v="QuickStop Market"/>
    <d v="2024-03-10T00:00:00"/>
    <s v="Snacks &amp; Candy"/>
    <s v="Apples"/>
    <n v="4"/>
    <n v="14.22"/>
    <n v="56.88"/>
    <s v="No Discount"/>
    <n v="0"/>
    <n v="56.88"/>
    <x v="6"/>
    <n v="2024"/>
    <n v="483"/>
    <x v="0"/>
    <s v="Sunday"/>
    <x v="1"/>
    <x v="0"/>
    <s v="Regular"/>
  </r>
  <r>
    <n v="9044"/>
    <s v="GreenGrocer Plaza"/>
    <d v="2024-10-27T00:00:00"/>
    <s v="Household Items"/>
    <s v="Yogurt"/>
    <n v="2"/>
    <n v="28.41"/>
    <n v="56.82"/>
    <s v="No Discount"/>
    <n v="0"/>
    <n v="56.82"/>
    <x v="7"/>
    <n v="2024"/>
    <n v="426"/>
    <x v="0"/>
    <s v="Sunday"/>
    <x v="0"/>
    <x v="0"/>
    <s v="Regular"/>
  </r>
  <r>
    <n v="2885"/>
    <s v="GreenGrocer Plaza"/>
    <d v="2023-08-24T00:00:00"/>
    <s v="Bakery"/>
    <s v="Pasta"/>
    <n v="3"/>
    <n v="18.84"/>
    <n v="56.52"/>
    <s v="No Discount"/>
    <n v="0"/>
    <n v="56.52"/>
    <x v="5"/>
    <n v="2023"/>
    <n v="276"/>
    <x v="0"/>
    <s v="Thursday"/>
    <x v="1"/>
    <x v="1"/>
    <s v="Regular"/>
  </r>
  <r>
    <n v="8075"/>
    <s v="Corner Grocery"/>
    <d v="2023-10-21T00:00:00"/>
    <s v="Meat &amp; Seafood"/>
    <s v="Salmon"/>
    <n v="5"/>
    <n v="11.3"/>
    <n v="56.5"/>
    <s v="No Discount"/>
    <n v="0"/>
    <n v="56.5"/>
    <x v="7"/>
    <n v="2023"/>
    <n v="170"/>
    <x v="2"/>
    <s v="Saturday"/>
    <x v="1"/>
    <x v="0"/>
    <s v="Regular"/>
  </r>
  <r>
    <n v="2519"/>
    <s v="ValuePlus Market"/>
    <d v="2024-05-28T00:00:00"/>
    <s v="Household Items"/>
    <s v="Cheese"/>
    <n v="2"/>
    <n v="27.93"/>
    <n v="55.86"/>
    <s v="No Discount"/>
    <n v="0"/>
    <n v="55.86"/>
    <x v="3"/>
    <n v="2024"/>
    <n v="386"/>
    <x v="0"/>
    <s v="Tuesday"/>
    <x v="0"/>
    <x v="1"/>
    <s v="Regular"/>
  </r>
  <r>
    <n v="4060"/>
    <s v="ValuePlus Market"/>
    <d v="2024-08-26T00:00:00"/>
    <s v="Household Items"/>
    <s v="Eggs"/>
    <n v="4"/>
    <n v="13.93"/>
    <n v="55.72"/>
    <s v="No Discount"/>
    <n v="0"/>
    <n v="55.72"/>
    <x v="5"/>
    <n v="2024"/>
    <n v="105"/>
    <x v="2"/>
    <s v="Monday"/>
    <x v="1"/>
    <x v="1"/>
    <s v="Regular"/>
  </r>
  <r>
    <n v="5625"/>
    <s v="QuickStop Market"/>
    <d v="2025-03-29T00:00:00"/>
    <s v="Canned Goods"/>
    <s v="Potatoes"/>
    <n v="3"/>
    <n v="18.53"/>
    <n v="55.59"/>
    <s v="No Discount"/>
    <n v="0"/>
    <n v="55.59"/>
    <x v="6"/>
    <n v="2025"/>
    <n v="274"/>
    <x v="0"/>
    <s v="Saturday"/>
    <x v="1"/>
    <x v="0"/>
    <s v="Regular"/>
  </r>
  <r>
    <n v="5064"/>
    <s v="MegaMart Westside"/>
    <d v="2023-08-12T00:00:00"/>
    <s v="Health &amp; Wellness"/>
    <s v="Rice"/>
    <n v="2"/>
    <n v="27.72"/>
    <n v="55.44"/>
    <s v="No Discount"/>
    <n v="0"/>
    <n v="55.44"/>
    <x v="5"/>
    <n v="2023"/>
    <n v="350"/>
    <x v="0"/>
    <s v="Saturday"/>
    <x v="0"/>
    <x v="0"/>
    <s v="Regular"/>
  </r>
  <r>
    <n v="4131"/>
    <s v="GreenGrocer Plaza"/>
    <d v="2024-03-16T00:00:00"/>
    <s v="Meat &amp; Seafood"/>
    <s v="Chicken Breast"/>
    <n v="2"/>
    <n v="27.41"/>
    <n v="54.82"/>
    <s v="No Discount"/>
    <n v="0"/>
    <n v="54.82"/>
    <x v="6"/>
    <n v="2024"/>
    <n v="80"/>
    <x v="3"/>
    <s v="Saturday"/>
    <x v="0"/>
    <x v="0"/>
    <s v="Regular"/>
  </r>
  <r>
    <n v="2638"/>
    <s v="GreenGrocer Plaza"/>
    <d v="2023-10-02T00:00:00"/>
    <s v="Personal Care"/>
    <s v="Carrots"/>
    <n v="2"/>
    <n v="27.26"/>
    <n v="54.52"/>
    <s v="No Discount"/>
    <n v="0"/>
    <n v="54.52"/>
    <x v="7"/>
    <n v="2023"/>
    <n v="178"/>
    <x v="2"/>
    <s v="Monday"/>
    <x v="0"/>
    <x v="1"/>
    <s v="Regular"/>
  </r>
  <r>
    <n v="2284"/>
    <s v="QuickStop Market"/>
    <d v="2024-08-29T00:00:00"/>
    <s v="Dairy"/>
    <s v="Cereal"/>
    <n v="3"/>
    <n v="18.14"/>
    <n v="54.42"/>
    <s v="No Discount"/>
    <n v="0"/>
    <n v="54.42"/>
    <x v="5"/>
    <n v="2024"/>
    <n v="315"/>
    <x v="0"/>
    <s v="Thursday"/>
    <x v="1"/>
    <x v="1"/>
    <s v="Regular"/>
  </r>
  <r>
    <n v="6139"/>
    <s v="Corner Grocery"/>
    <d v="2024-07-10T00:00:00"/>
    <s v="Household Items"/>
    <s v="Rice"/>
    <n v="5"/>
    <n v="10.74"/>
    <n v="53.7"/>
    <s v="No Discount"/>
    <n v="0"/>
    <n v="53.7"/>
    <x v="2"/>
    <n v="2024"/>
    <n v="424"/>
    <x v="0"/>
    <s v="Wednesday"/>
    <x v="1"/>
    <x v="1"/>
    <s v="Regular"/>
  </r>
  <r>
    <n v="8019"/>
    <s v="GreenGrocer Plaza"/>
    <d v="2025-07-04T00:00:00"/>
    <s v="Frozen Foods"/>
    <s v="Carrots"/>
    <n v="5"/>
    <n v="10.71"/>
    <n v="53.55"/>
    <s v="No Discount"/>
    <n v="0"/>
    <n v="53.55"/>
    <x v="2"/>
    <n v="2025"/>
    <n v="419"/>
    <x v="0"/>
    <s v="Friday"/>
    <x v="1"/>
    <x v="1"/>
    <s v="Regular"/>
  </r>
  <r>
    <n v="4566"/>
    <s v="FreshMart Downtown"/>
    <d v="2023-09-21T00:00:00"/>
    <s v="Produce"/>
    <s v="Potatoes"/>
    <n v="4"/>
    <n v="13.35"/>
    <n v="53.4"/>
    <s v="No Discount"/>
    <n v="0"/>
    <n v="53.4"/>
    <x v="1"/>
    <n v="2023"/>
    <n v="55"/>
    <x v="3"/>
    <s v="Thursday"/>
    <x v="1"/>
    <x v="1"/>
    <s v="Regular"/>
  </r>
  <r>
    <n v="8933"/>
    <s v="GreenGrocer Plaza"/>
    <d v="2024-08-01T00:00:00"/>
    <s v="Snacks &amp; Candy"/>
    <s v="Milk"/>
    <n v="2"/>
    <n v="26.67"/>
    <n v="53.34"/>
    <s v="No Discount"/>
    <n v="0"/>
    <n v="53.34"/>
    <x v="5"/>
    <n v="2024"/>
    <n v="80"/>
    <x v="3"/>
    <s v="Thursday"/>
    <x v="0"/>
    <x v="1"/>
    <s v="Regular"/>
  </r>
  <r>
    <n v="4637"/>
    <s v="FreshMart Downtown"/>
    <d v="2025-05-02T00:00:00"/>
    <s v="Health &amp; Wellness"/>
    <s v="Ground Beef"/>
    <n v="3"/>
    <n v="17.02"/>
    <n v="51.06"/>
    <s v="No Discount"/>
    <n v="0"/>
    <n v="51.06"/>
    <x v="3"/>
    <n v="2025"/>
    <n v="158"/>
    <x v="2"/>
    <s v="Friday"/>
    <x v="1"/>
    <x v="1"/>
    <s v="Regular"/>
  </r>
  <r>
    <n v="5037"/>
    <s v="GreenGrocer Plaza"/>
    <d v="2025-02-10T00:00:00"/>
    <s v="Personal Care"/>
    <s v="Cereal"/>
    <n v="2"/>
    <n v="25.39"/>
    <n v="50.78"/>
    <s v="No Discount"/>
    <n v="0"/>
    <n v="50.78"/>
    <x v="4"/>
    <n v="2025"/>
    <n v="338"/>
    <x v="0"/>
    <s v="Monday"/>
    <x v="0"/>
    <x v="1"/>
    <s v="Regular"/>
  </r>
  <r>
    <n v="5616"/>
    <s v="ValuePlus Market"/>
    <d v="2025-04-02T00:00:00"/>
    <s v="Canned Goods"/>
    <s v="Yogurt"/>
    <n v="4"/>
    <n v="12.66"/>
    <n v="50.64"/>
    <s v="No Discount"/>
    <n v="0"/>
    <n v="50.64"/>
    <x v="9"/>
    <n v="2025"/>
    <n v="319"/>
    <x v="0"/>
    <s v="Wednesday"/>
    <x v="1"/>
    <x v="1"/>
    <s v="Regular"/>
  </r>
  <r>
    <n v="9179"/>
    <s v="Corner Grocery"/>
    <d v="2024-06-09T00:00:00"/>
    <s v="Dairy"/>
    <s v="Cereal"/>
    <n v="5"/>
    <n v="10.09"/>
    <n v="50.45"/>
    <s v="No Discount"/>
    <n v="0"/>
    <n v="50.45"/>
    <x v="10"/>
    <n v="2024"/>
    <n v="434"/>
    <x v="0"/>
    <s v="Sunday"/>
    <x v="1"/>
    <x v="0"/>
    <s v="Regular"/>
  </r>
  <r>
    <n v="6629"/>
    <s v="GreenGrocer Plaza"/>
    <d v="2025-05-02T00:00:00"/>
    <s v="Personal Care"/>
    <s v="Potatoes"/>
    <n v="5"/>
    <n v="10.08"/>
    <n v="50.4"/>
    <s v="No Discount"/>
    <n v="0"/>
    <n v="50.4"/>
    <x v="3"/>
    <n v="2025"/>
    <n v="413"/>
    <x v="0"/>
    <s v="Friday"/>
    <x v="1"/>
    <x v="1"/>
    <s v="Regular"/>
  </r>
  <r>
    <n v="2692"/>
    <s v="FreshMart Downtown"/>
    <d v="2023-08-27T00:00:00"/>
    <s v="Personal Care"/>
    <s v="Yogurt"/>
    <n v="3"/>
    <n v="16.52"/>
    <n v="49.56"/>
    <s v="No Discount"/>
    <n v="0"/>
    <n v="49.56"/>
    <x v="5"/>
    <n v="2023"/>
    <n v="80"/>
    <x v="3"/>
    <s v="Sunday"/>
    <x v="1"/>
    <x v="0"/>
    <s v="Regular"/>
  </r>
  <r>
    <n v="8202"/>
    <s v="FamilyFood Express"/>
    <d v="2024-06-24T00:00:00"/>
    <s v="Meat &amp; Seafood"/>
    <s v="Cheese"/>
    <n v="4"/>
    <n v="12.15"/>
    <n v="48.6"/>
    <s v="No Discount"/>
    <n v="0"/>
    <n v="48.6"/>
    <x v="10"/>
    <n v="2024"/>
    <n v="337"/>
    <x v="0"/>
    <s v="Monday"/>
    <x v="1"/>
    <x v="1"/>
    <s v="Regular"/>
  </r>
  <r>
    <n v="8007"/>
    <s v="SuperSave Central"/>
    <d v="2024-09-10T00:00:00"/>
    <s v="Produce"/>
    <s v="Chicken Breast"/>
    <n v="4"/>
    <n v="12.13"/>
    <n v="48.52"/>
    <s v="No Discount"/>
    <n v="0"/>
    <n v="48.52"/>
    <x v="1"/>
    <n v="2024"/>
    <n v="56"/>
    <x v="3"/>
    <s v="Tuesday"/>
    <x v="1"/>
    <x v="1"/>
    <s v="Regular"/>
  </r>
  <r>
    <n v="8827"/>
    <s v="Corner Grocery"/>
    <d v="2023-11-03T00:00:00"/>
    <s v="Personal Care"/>
    <s v="Cereal"/>
    <n v="3"/>
    <n v="16.059999999999999"/>
    <n v="48.18"/>
    <s v="No Discount"/>
    <n v="0"/>
    <n v="48.18"/>
    <x v="0"/>
    <n v="2023"/>
    <n v="469"/>
    <x v="0"/>
    <s v="Friday"/>
    <x v="1"/>
    <x v="1"/>
    <s v="Regular"/>
  </r>
  <r>
    <n v="3114"/>
    <s v="GreenGrocer Plaza"/>
    <d v="2024-07-08T00:00:00"/>
    <s v="Dairy"/>
    <s v="Eggs"/>
    <n v="2"/>
    <n v="24.04"/>
    <n v="48.08"/>
    <s v="No Discount"/>
    <n v="0"/>
    <n v="48.08"/>
    <x v="2"/>
    <n v="2024"/>
    <n v="98"/>
    <x v="3"/>
    <s v="Monday"/>
    <x v="0"/>
    <x v="1"/>
    <s v="Regular"/>
  </r>
  <r>
    <n v="4422"/>
    <s v="ValuePlus Market"/>
    <d v="2025-06-12T00:00:00"/>
    <s v="Personal Care"/>
    <s v="Apples"/>
    <n v="2"/>
    <n v="23.47"/>
    <n v="46.94"/>
    <s v="No Discount"/>
    <n v="0"/>
    <n v="46.94"/>
    <x v="10"/>
    <n v="2025"/>
    <n v="51"/>
    <x v="3"/>
    <s v="Thursday"/>
    <x v="0"/>
    <x v="1"/>
    <s v="Regular"/>
  </r>
  <r>
    <n v="4232"/>
    <s v="FamilyFood Express"/>
    <d v="2024-07-21T00:00:00"/>
    <s v="Bakery"/>
    <s v="Chicken Breast"/>
    <n v="5"/>
    <n v="9.3800000000000008"/>
    <n v="46.9"/>
    <s v="No Discount"/>
    <n v="0"/>
    <n v="46.9"/>
    <x v="2"/>
    <n v="2024"/>
    <n v="442"/>
    <x v="0"/>
    <s v="Sunday"/>
    <x v="1"/>
    <x v="0"/>
    <s v="Regular"/>
  </r>
  <r>
    <n v="8218"/>
    <s v="FamilyFood Express"/>
    <d v="2024-07-30T00:00:00"/>
    <s v="Canned Goods"/>
    <s v="Bread"/>
    <n v="3"/>
    <n v="15.62"/>
    <n v="46.86"/>
    <s v="No Discount"/>
    <n v="0"/>
    <n v="46.86"/>
    <x v="2"/>
    <n v="2024"/>
    <n v="153"/>
    <x v="2"/>
    <s v="Tuesday"/>
    <x v="1"/>
    <x v="1"/>
    <s v="Regular"/>
  </r>
  <r>
    <n v="7286"/>
    <s v="GreenGrocer Plaza"/>
    <d v="2024-06-30T00:00:00"/>
    <s v="Health &amp; Wellness"/>
    <s v="Yogurt"/>
    <n v="3"/>
    <n v="15.45"/>
    <n v="46.35"/>
    <s v="No Discount"/>
    <n v="0"/>
    <n v="46.35"/>
    <x v="10"/>
    <n v="2024"/>
    <n v="291"/>
    <x v="0"/>
    <s v="Sunday"/>
    <x v="1"/>
    <x v="0"/>
    <s v="Regular"/>
  </r>
  <r>
    <n v="6620"/>
    <s v="FreshMart Downtown"/>
    <d v="2024-12-22T00:00:00"/>
    <s v="Canned Goods"/>
    <s v="Potatoes"/>
    <n v="2"/>
    <n v="23.05"/>
    <n v="46.1"/>
    <s v="No Discount"/>
    <n v="0"/>
    <n v="46.1"/>
    <x v="11"/>
    <n v="2024"/>
    <n v="223"/>
    <x v="0"/>
    <s v="Sunday"/>
    <x v="0"/>
    <x v="0"/>
    <s v="Regular"/>
  </r>
  <r>
    <n v="5000"/>
    <s v="City Fresh Store"/>
    <d v="2024-09-22T00:00:00"/>
    <s v="Snacks &amp; Candy"/>
    <s v="Potatoes"/>
    <n v="2"/>
    <n v="22.96"/>
    <n v="45.92"/>
    <s v="No Discount"/>
    <n v="0"/>
    <n v="45.92"/>
    <x v="1"/>
    <n v="2024"/>
    <n v="492"/>
    <x v="0"/>
    <s v="Sunday"/>
    <x v="0"/>
    <x v="0"/>
    <s v="Regular"/>
  </r>
  <r>
    <n v="9807"/>
    <s v="Corner Grocery"/>
    <d v="2023-11-20T00:00:00"/>
    <s v="Snacks &amp; Candy"/>
    <s v="Chicken Breast"/>
    <n v="2"/>
    <n v="22.67"/>
    <n v="45.34"/>
    <s v="No Discount"/>
    <n v="0"/>
    <n v="45.34"/>
    <x v="0"/>
    <n v="2023"/>
    <n v="434"/>
    <x v="0"/>
    <s v="Monday"/>
    <x v="0"/>
    <x v="1"/>
    <s v="Regular"/>
  </r>
  <r>
    <n v="4434"/>
    <s v="FreshMart Downtown"/>
    <d v="2024-07-12T00:00:00"/>
    <s v="Canned Goods"/>
    <s v="Chicken Breast"/>
    <n v="5"/>
    <n v="9.0399999999999991"/>
    <n v="45.2"/>
    <s v="No Discount"/>
    <n v="0"/>
    <n v="45.2"/>
    <x v="2"/>
    <n v="2024"/>
    <n v="436"/>
    <x v="0"/>
    <s v="Friday"/>
    <x v="1"/>
    <x v="1"/>
    <s v="Regular"/>
  </r>
  <r>
    <n v="3292"/>
    <s v="ValuePlus Market"/>
    <d v="2025-04-11T00:00:00"/>
    <s v="Personal Care"/>
    <s v="Tomatoes"/>
    <n v="4"/>
    <n v="11.27"/>
    <n v="45.08"/>
    <s v="No Discount"/>
    <n v="0"/>
    <n v="45.08"/>
    <x v="9"/>
    <n v="2025"/>
    <n v="205"/>
    <x v="0"/>
    <s v="Friday"/>
    <x v="1"/>
    <x v="1"/>
    <s v="Regular"/>
  </r>
  <r>
    <n v="2800"/>
    <s v="SuperSave Central"/>
    <d v="2024-01-02T00:00:00"/>
    <s v="Bakery"/>
    <s v="Yogurt"/>
    <n v="2"/>
    <n v="22.31"/>
    <n v="44.62"/>
    <s v="No Discount"/>
    <n v="0"/>
    <n v="44.62"/>
    <x v="8"/>
    <n v="2024"/>
    <n v="4"/>
    <x v="1"/>
    <s v="Tuesday"/>
    <x v="0"/>
    <x v="1"/>
    <s v="Regular"/>
  </r>
  <r>
    <n v="4777"/>
    <s v="QuickStop Market"/>
    <d v="2023-11-08T00:00:00"/>
    <s v="Canned Goods"/>
    <s v="Eggs"/>
    <n v="2"/>
    <n v="22.23"/>
    <n v="44.46"/>
    <s v="No Discount"/>
    <n v="0"/>
    <n v="44.46"/>
    <x v="0"/>
    <n v="2023"/>
    <n v="223"/>
    <x v="0"/>
    <s v="Wednesday"/>
    <x v="0"/>
    <x v="1"/>
    <s v="Regular"/>
  </r>
  <r>
    <n v="7211"/>
    <s v="FamilyFood Express"/>
    <d v="2025-01-14T00:00:00"/>
    <s v="Dairy"/>
    <s v="Cereal"/>
    <n v="2"/>
    <n v="22.19"/>
    <n v="44.38"/>
    <s v="No Discount"/>
    <n v="0"/>
    <n v="44.38"/>
    <x v="8"/>
    <n v="2025"/>
    <n v="331"/>
    <x v="0"/>
    <s v="Tuesday"/>
    <x v="0"/>
    <x v="1"/>
    <s v="Regular"/>
  </r>
  <r>
    <n v="3733"/>
    <s v="City Fresh Store"/>
    <d v="2024-08-21T00:00:00"/>
    <s v="Meat &amp; Seafood"/>
    <s v="Milk"/>
    <n v="5"/>
    <n v="8.6999999999999993"/>
    <n v="43.5"/>
    <s v="No Discount"/>
    <n v="0"/>
    <n v="43.5"/>
    <x v="5"/>
    <n v="2024"/>
    <n v="142"/>
    <x v="2"/>
    <s v="Wednesday"/>
    <x v="1"/>
    <x v="1"/>
    <s v="Regular"/>
  </r>
  <r>
    <n v="1086"/>
    <s v="SuperSave Central"/>
    <d v="2025-07-10T00:00:00"/>
    <s v="Canned Goods"/>
    <s v="Tomatoes"/>
    <n v="2"/>
    <n v="21.68"/>
    <n v="43.36"/>
    <s v="No Discount"/>
    <n v="0"/>
    <n v="43.36"/>
    <x v="2"/>
    <n v="2025"/>
    <n v="362"/>
    <x v="0"/>
    <s v="Thursday"/>
    <x v="0"/>
    <x v="1"/>
    <s v="Regular"/>
  </r>
  <r>
    <n v="3655"/>
    <s v="FreshMart Downtown"/>
    <d v="2025-05-02T00:00:00"/>
    <s v="Personal Care"/>
    <s v="Yogurt"/>
    <n v="3"/>
    <n v="14.4"/>
    <n v="43.2"/>
    <s v="No Discount"/>
    <n v="0"/>
    <n v="43.2"/>
    <x v="3"/>
    <n v="2025"/>
    <n v="123"/>
    <x v="2"/>
    <s v="Friday"/>
    <x v="1"/>
    <x v="1"/>
    <s v="Regular"/>
  </r>
  <r>
    <n v="1188"/>
    <s v="Corner Grocery"/>
    <d v="2025-01-16T00:00:00"/>
    <s v="Beverages"/>
    <s v="Bananas"/>
    <n v="4"/>
    <n v="10.74"/>
    <n v="42.96"/>
    <s v="No Discount"/>
    <n v="0"/>
    <n v="42.96"/>
    <x v="8"/>
    <n v="2025"/>
    <n v="347"/>
    <x v="0"/>
    <s v="Thursday"/>
    <x v="1"/>
    <x v="1"/>
    <s v="Regular"/>
  </r>
  <r>
    <n v="7223"/>
    <s v="City Fresh Store"/>
    <d v="2024-10-22T00:00:00"/>
    <s v="Meat &amp; Seafood"/>
    <s v="Ground Beef"/>
    <n v="5"/>
    <n v="8.5399999999999991"/>
    <n v="42.7"/>
    <s v="No Discount"/>
    <n v="0"/>
    <n v="42.7"/>
    <x v="7"/>
    <n v="2024"/>
    <n v="313"/>
    <x v="0"/>
    <s v="Tuesday"/>
    <x v="1"/>
    <x v="1"/>
    <s v="Regular"/>
  </r>
  <r>
    <n v="4241"/>
    <s v="MegaMart Westside"/>
    <d v="2024-07-02T00:00:00"/>
    <s v="Meat &amp; Seafood"/>
    <s v="Bread"/>
    <n v="4"/>
    <n v="10.64"/>
    <n v="42.56"/>
    <s v="No Discount"/>
    <n v="0"/>
    <n v="42.56"/>
    <x v="2"/>
    <n v="2024"/>
    <n v="90"/>
    <x v="3"/>
    <s v="Tuesday"/>
    <x v="1"/>
    <x v="1"/>
    <s v="Regular"/>
  </r>
  <r>
    <n v="9224"/>
    <s v="Corner Grocery"/>
    <d v="2024-05-23T00:00:00"/>
    <s v="Household Items"/>
    <s v="Onions"/>
    <n v="3"/>
    <n v="14.13"/>
    <n v="42.39"/>
    <s v="No Discount"/>
    <n v="0"/>
    <n v="42.39"/>
    <x v="3"/>
    <n v="2024"/>
    <n v="14"/>
    <x v="1"/>
    <s v="Thursday"/>
    <x v="1"/>
    <x v="1"/>
    <s v="Regular"/>
  </r>
  <r>
    <n v="6067"/>
    <s v="FamilyFood Express"/>
    <d v="2025-01-05T00:00:00"/>
    <s v="Produce"/>
    <s v="Chicken Breast"/>
    <n v="4"/>
    <n v="10.57"/>
    <n v="42.28"/>
    <s v="No Discount"/>
    <n v="0"/>
    <n v="42.28"/>
    <x v="8"/>
    <n v="2025"/>
    <n v="241"/>
    <x v="0"/>
    <s v="Sunday"/>
    <x v="1"/>
    <x v="0"/>
    <s v="Regular"/>
  </r>
  <r>
    <n v="7044"/>
    <s v="FamilyFood Express"/>
    <d v="2024-08-04T00:00:00"/>
    <s v="Household Items"/>
    <s v="Eggs"/>
    <n v="5"/>
    <n v="8.42"/>
    <n v="42.1"/>
    <s v="No Discount"/>
    <n v="0"/>
    <n v="42.1"/>
    <x v="5"/>
    <n v="2024"/>
    <n v="215"/>
    <x v="0"/>
    <s v="Sunday"/>
    <x v="1"/>
    <x v="0"/>
    <s v="Regular"/>
  </r>
  <r>
    <n v="4139"/>
    <s v="MegaMart Westside"/>
    <d v="2024-01-01T00:00:00"/>
    <s v="Bakery"/>
    <s v="Yogurt"/>
    <n v="5"/>
    <n v="8.26"/>
    <n v="41.3"/>
    <s v="No Discount"/>
    <n v="0"/>
    <n v="41.3"/>
    <x v="8"/>
    <n v="2024"/>
    <n v="386"/>
    <x v="0"/>
    <s v="Monday"/>
    <x v="1"/>
    <x v="1"/>
    <s v="Regular"/>
  </r>
  <r>
    <n v="9796"/>
    <s v="Corner Grocery"/>
    <d v="2023-12-30T00:00:00"/>
    <s v="Produce"/>
    <s v="Cereal"/>
    <n v="5"/>
    <n v="8.24"/>
    <n v="41.2"/>
    <s v="No Discount"/>
    <n v="0"/>
    <n v="41.2"/>
    <x v="11"/>
    <n v="2023"/>
    <n v="291"/>
    <x v="0"/>
    <s v="Saturday"/>
    <x v="1"/>
    <x v="0"/>
    <s v="Regular"/>
  </r>
  <r>
    <n v="2697"/>
    <s v="ValuePlus Market"/>
    <d v="2025-08-05T00:00:00"/>
    <s v="Snacks &amp; Candy"/>
    <s v="Cereal"/>
    <n v="2"/>
    <n v="20.420000000000002"/>
    <n v="40.840000000000003"/>
    <s v="No Discount"/>
    <n v="0"/>
    <n v="40.840000000000003"/>
    <x v="5"/>
    <n v="2025"/>
    <n v="424"/>
    <x v="0"/>
    <s v="Tuesday"/>
    <x v="0"/>
    <x v="1"/>
    <s v="Regular"/>
  </r>
  <r>
    <n v="3661"/>
    <s v="Corner Grocery"/>
    <d v="2024-10-18T00:00:00"/>
    <s v="Bakery"/>
    <s v="Eggs"/>
    <n v="5"/>
    <n v="8.09"/>
    <n v="40.450000000000003"/>
    <s v="No Discount"/>
    <n v="0"/>
    <n v="40.450000000000003"/>
    <x v="7"/>
    <n v="2024"/>
    <n v="465"/>
    <x v="0"/>
    <s v="Friday"/>
    <x v="1"/>
    <x v="1"/>
    <s v="Regular"/>
  </r>
  <r>
    <n v="5341"/>
    <s v="Corner Grocery"/>
    <d v="2025-05-30T00:00:00"/>
    <s v="Canned Goods"/>
    <s v="Yogurt"/>
    <n v="3"/>
    <n v="13.42"/>
    <n v="40.26"/>
    <s v="No Discount"/>
    <n v="0"/>
    <n v="40.26"/>
    <x v="3"/>
    <n v="2025"/>
    <n v="301"/>
    <x v="0"/>
    <s v="Friday"/>
    <x v="1"/>
    <x v="1"/>
    <s v="Regular"/>
  </r>
  <r>
    <n v="4948"/>
    <s v="GreenGrocer Plaza"/>
    <d v="2025-05-27T00:00:00"/>
    <s v="Canned Goods"/>
    <s v="Onions"/>
    <n v="2"/>
    <n v="20.11"/>
    <n v="40.22"/>
    <s v="No Discount"/>
    <n v="0"/>
    <n v="40.22"/>
    <x v="3"/>
    <n v="2025"/>
    <n v="376"/>
    <x v="0"/>
    <s v="Tuesday"/>
    <x v="0"/>
    <x v="1"/>
    <s v="Regular"/>
  </r>
  <r>
    <n v="5902"/>
    <s v="City Fresh Store"/>
    <d v="2024-11-10T00:00:00"/>
    <s v="Dairy"/>
    <s v="Potatoes"/>
    <n v="5"/>
    <n v="7.98"/>
    <n v="39.9"/>
    <s v="No Discount"/>
    <n v="0"/>
    <n v="39.9"/>
    <x v="0"/>
    <n v="2024"/>
    <n v="108"/>
    <x v="2"/>
    <s v="Sunday"/>
    <x v="1"/>
    <x v="0"/>
    <s v="Regular"/>
  </r>
  <r>
    <n v="6992"/>
    <s v="SuperSave Central"/>
    <d v="2023-10-16T00:00:00"/>
    <s v="Produce"/>
    <s v="Orange Juice"/>
    <n v="5"/>
    <n v="7.91"/>
    <n v="39.549999999999997"/>
    <s v="No Discount"/>
    <n v="0"/>
    <n v="39.549999999999997"/>
    <x v="7"/>
    <n v="2023"/>
    <n v="369"/>
    <x v="0"/>
    <s v="Monday"/>
    <x v="1"/>
    <x v="1"/>
    <s v="Regular"/>
  </r>
  <r>
    <n v="6145"/>
    <s v="MegaMart Westside"/>
    <d v="2024-06-17T00:00:00"/>
    <s v="Snacks &amp; Candy"/>
    <s v="Chicken Breast"/>
    <n v="2"/>
    <n v="19.559999999999999"/>
    <n v="39.119999999999997"/>
    <s v="No Discount"/>
    <n v="0"/>
    <n v="39.119999999999997"/>
    <x v="10"/>
    <n v="2024"/>
    <n v="232"/>
    <x v="0"/>
    <s v="Monday"/>
    <x v="0"/>
    <x v="1"/>
    <s v="Regular"/>
  </r>
  <r>
    <n v="4626"/>
    <s v="MegaMart Westside"/>
    <d v="2024-12-22T00:00:00"/>
    <s v="Personal Care"/>
    <s v="Cereal"/>
    <n v="3"/>
    <n v="12.95"/>
    <n v="38.85"/>
    <s v="No Discount"/>
    <n v="0"/>
    <n v="38.85"/>
    <x v="11"/>
    <n v="2024"/>
    <n v="324"/>
    <x v="0"/>
    <s v="Sunday"/>
    <x v="1"/>
    <x v="0"/>
    <s v="Regular"/>
  </r>
  <r>
    <n v="3950"/>
    <s v="FamilyFood Express"/>
    <d v="2023-12-17T00:00:00"/>
    <s v="Health &amp; Wellness"/>
    <s v="Ground Beef"/>
    <n v="3"/>
    <n v="12.95"/>
    <n v="38.85"/>
    <s v="No Discount"/>
    <n v="0"/>
    <n v="38.85"/>
    <x v="11"/>
    <n v="2023"/>
    <n v="180"/>
    <x v="2"/>
    <s v="Sunday"/>
    <x v="1"/>
    <x v="0"/>
    <s v="Regular"/>
  </r>
  <r>
    <n v="4798"/>
    <s v="ValuePlus Market"/>
    <d v="2025-04-17T00:00:00"/>
    <s v="Meat &amp; Seafood"/>
    <s v="Tomatoes"/>
    <n v="3"/>
    <n v="12.68"/>
    <n v="38.04"/>
    <s v="No Discount"/>
    <n v="0"/>
    <n v="38.04"/>
    <x v="9"/>
    <n v="2025"/>
    <n v="338"/>
    <x v="0"/>
    <s v="Thursday"/>
    <x v="1"/>
    <x v="1"/>
    <s v="Regular"/>
  </r>
  <r>
    <n v="5450"/>
    <s v="GreenGrocer Plaza"/>
    <d v="2023-11-21T00:00:00"/>
    <s v="Frozen Foods"/>
    <s v="Rice"/>
    <n v="4"/>
    <n v="9.5"/>
    <n v="38"/>
    <s v="No Discount"/>
    <n v="0"/>
    <n v="38"/>
    <x v="0"/>
    <n v="2023"/>
    <n v="109"/>
    <x v="2"/>
    <s v="Tuesday"/>
    <x v="1"/>
    <x v="1"/>
    <s v="Regular"/>
  </r>
  <r>
    <n v="9900"/>
    <s v="SuperSave Central"/>
    <d v="2025-02-03T00:00:00"/>
    <s v="Canned Goods"/>
    <s v="Orange Juice"/>
    <n v="3"/>
    <n v="12.23"/>
    <n v="36.69"/>
    <s v="No Discount"/>
    <n v="0"/>
    <n v="36.69"/>
    <x v="4"/>
    <n v="2025"/>
    <n v="396"/>
    <x v="0"/>
    <s v="Monday"/>
    <x v="1"/>
    <x v="1"/>
    <s v="Regular"/>
  </r>
  <r>
    <n v="8398"/>
    <s v="ValuePlus Market"/>
    <d v="2025-06-26T00:00:00"/>
    <s v="Meat &amp; Seafood"/>
    <s v="Tomatoes"/>
    <n v="2"/>
    <n v="18.25"/>
    <n v="36.5"/>
    <s v="No Discount"/>
    <n v="0"/>
    <n v="36.5"/>
    <x v="10"/>
    <n v="2025"/>
    <n v="442"/>
    <x v="0"/>
    <s v="Thursday"/>
    <x v="0"/>
    <x v="1"/>
    <s v="Regular"/>
  </r>
  <r>
    <n v="5944"/>
    <s v="QuickStop Market"/>
    <d v="2025-06-17T00:00:00"/>
    <s v="Household Items"/>
    <s v="Yogurt"/>
    <n v="5"/>
    <n v="7.3"/>
    <n v="36.5"/>
    <s v="No Discount"/>
    <n v="0"/>
    <n v="36.5"/>
    <x v="10"/>
    <n v="2025"/>
    <n v="287"/>
    <x v="0"/>
    <s v="Tuesday"/>
    <x v="1"/>
    <x v="1"/>
    <s v="Regular"/>
  </r>
  <r>
    <n v="5681"/>
    <s v="Corner Grocery"/>
    <d v="2024-02-05T00:00:00"/>
    <s v="Health &amp; Wellness"/>
    <s v="Onions"/>
    <n v="3"/>
    <n v="12.12"/>
    <n v="36.36"/>
    <s v="No Discount"/>
    <n v="0"/>
    <n v="36.36"/>
    <x v="4"/>
    <n v="2024"/>
    <n v="378"/>
    <x v="0"/>
    <s v="Monday"/>
    <x v="1"/>
    <x v="1"/>
    <s v="Regular"/>
  </r>
  <r>
    <n v="7775"/>
    <s v="MegaMart Westside"/>
    <d v="2024-03-27T00:00:00"/>
    <s v="Household Items"/>
    <s v="Tomatoes"/>
    <n v="2"/>
    <n v="17.71"/>
    <n v="35.42"/>
    <s v="No Discount"/>
    <n v="0"/>
    <n v="35.42"/>
    <x v="6"/>
    <n v="2024"/>
    <n v="145"/>
    <x v="2"/>
    <s v="Wednesday"/>
    <x v="0"/>
    <x v="1"/>
    <s v="Regular"/>
  </r>
  <r>
    <n v="3868"/>
    <s v="FreshMart Downtown"/>
    <d v="2024-06-26T00:00:00"/>
    <s v="Frozen Foods"/>
    <s v="Chicken Breast"/>
    <n v="3"/>
    <n v="11.53"/>
    <n v="34.590000000000003"/>
    <s v="No Discount"/>
    <n v="0"/>
    <n v="34.590000000000003"/>
    <x v="10"/>
    <n v="2024"/>
    <n v="482"/>
    <x v="0"/>
    <s v="Wednesday"/>
    <x v="1"/>
    <x v="1"/>
    <s v="Regular"/>
  </r>
  <r>
    <n v="1096"/>
    <s v="Corner Grocery"/>
    <d v="2024-05-06T00:00:00"/>
    <s v="Canned Goods"/>
    <s v="Chicken Breast"/>
    <n v="5"/>
    <n v="6.78"/>
    <n v="33.9"/>
    <s v="No Discount"/>
    <n v="0"/>
    <n v="33.9"/>
    <x v="3"/>
    <n v="2024"/>
    <n v="279"/>
    <x v="0"/>
    <s v="Monday"/>
    <x v="1"/>
    <x v="1"/>
    <s v="Regular"/>
  </r>
  <r>
    <n v="9864"/>
    <s v="MegaMart Westside"/>
    <d v="2023-09-03T00:00:00"/>
    <s v="Personal Care"/>
    <s v="Onions"/>
    <n v="4"/>
    <n v="8.35"/>
    <n v="33.4"/>
    <s v="No Discount"/>
    <n v="0"/>
    <n v="33.4"/>
    <x v="1"/>
    <n v="2023"/>
    <n v="157"/>
    <x v="2"/>
    <s v="Sunday"/>
    <x v="1"/>
    <x v="0"/>
    <s v="Regular"/>
  </r>
  <r>
    <n v="7504"/>
    <s v="SuperSave Central"/>
    <d v="2025-04-10T00:00:00"/>
    <s v="Frozen Foods"/>
    <s v="Potatoes"/>
    <n v="3"/>
    <n v="10.68"/>
    <n v="32.04"/>
    <s v="No Discount"/>
    <n v="0"/>
    <n v="32.04"/>
    <x v="9"/>
    <n v="2025"/>
    <n v="57"/>
    <x v="3"/>
    <s v="Thursday"/>
    <x v="1"/>
    <x v="1"/>
    <s v="Regular"/>
  </r>
  <r>
    <n v="5941"/>
    <s v="QuickStop Market"/>
    <d v="2025-05-28T00:00:00"/>
    <s v="Produce"/>
    <s v="Rice"/>
    <n v="2"/>
    <n v="16"/>
    <n v="32"/>
    <s v="No Discount"/>
    <n v="0"/>
    <n v="32"/>
    <x v="3"/>
    <n v="2025"/>
    <n v="260"/>
    <x v="0"/>
    <s v="Wednesday"/>
    <x v="0"/>
    <x v="1"/>
    <s v="Regular"/>
  </r>
  <r>
    <n v="2374"/>
    <s v="GreenGrocer Plaza"/>
    <d v="2025-03-21T00:00:00"/>
    <s v="Bakery"/>
    <s v="Chicken Breast"/>
    <n v="3"/>
    <n v="10.54"/>
    <n v="31.62"/>
    <s v="No Discount"/>
    <n v="0"/>
    <n v="31.62"/>
    <x v="6"/>
    <n v="2025"/>
    <n v="299"/>
    <x v="0"/>
    <s v="Friday"/>
    <x v="1"/>
    <x v="1"/>
    <s v="Regular"/>
  </r>
  <r>
    <n v="2768"/>
    <s v="City Fresh Store"/>
    <d v="2024-08-21T00:00:00"/>
    <s v="Meat &amp; Seafood"/>
    <s v="Chicken Breast"/>
    <n v="3"/>
    <n v="10.54"/>
    <n v="31.62"/>
    <s v="No Discount"/>
    <n v="0"/>
    <n v="31.62"/>
    <x v="5"/>
    <n v="2024"/>
    <n v="211"/>
    <x v="0"/>
    <s v="Wednesday"/>
    <x v="1"/>
    <x v="1"/>
    <s v="Regular"/>
  </r>
  <r>
    <n v="3329"/>
    <s v="FamilyFood Express"/>
    <d v="2024-10-28T00:00:00"/>
    <s v="Frozen Foods"/>
    <s v="Apples"/>
    <n v="3"/>
    <n v="10.52"/>
    <n v="31.56"/>
    <s v="No Discount"/>
    <n v="0"/>
    <n v="31.56"/>
    <x v="7"/>
    <n v="2024"/>
    <n v="498"/>
    <x v="0"/>
    <s v="Monday"/>
    <x v="1"/>
    <x v="1"/>
    <s v="Regular"/>
  </r>
  <r>
    <n v="2862"/>
    <s v="FamilyFood Express"/>
    <d v="2025-03-08T00:00:00"/>
    <s v="Beverages"/>
    <s v="Bread"/>
    <n v="3"/>
    <n v="10.39"/>
    <n v="31.17"/>
    <s v="No Discount"/>
    <n v="0"/>
    <n v="31.17"/>
    <x v="6"/>
    <n v="2025"/>
    <n v="332"/>
    <x v="0"/>
    <s v="Saturday"/>
    <x v="1"/>
    <x v="0"/>
    <s v="Regular"/>
  </r>
  <r>
    <n v="3762"/>
    <s v="Unknown Store"/>
    <d v="2024-11-08T00:00:00"/>
    <s v="Bakery"/>
    <s v="Yogurt"/>
    <n v="4"/>
    <n v="7.77"/>
    <n v="31.08"/>
    <s v="No Discount"/>
    <n v="0"/>
    <n v="31.08"/>
    <x v="0"/>
    <n v="2024"/>
    <n v="300"/>
    <x v="0"/>
    <s v="Friday"/>
    <x v="1"/>
    <x v="1"/>
    <s v="Regular"/>
  </r>
  <r>
    <n v="3147"/>
    <s v="ValuePlus Market"/>
    <d v="2024-11-12T00:00:00"/>
    <s v="Health &amp; Wellness"/>
    <s v="Rice"/>
    <n v="2"/>
    <n v="15.24"/>
    <n v="30.48"/>
    <s v="No Discount"/>
    <n v="0"/>
    <n v="30.48"/>
    <x v="0"/>
    <n v="2024"/>
    <n v="68"/>
    <x v="3"/>
    <s v="Tuesday"/>
    <x v="0"/>
    <x v="1"/>
    <s v="Regular"/>
  </r>
  <r>
    <n v="9813"/>
    <s v="City Fresh Store"/>
    <d v="2024-08-08T00:00:00"/>
    <s v="Frozen Foods"/>
    <s v="Cereal"/>
    <n v="4"/>
    <n v="7.54"/>
    <n v="30.16"/>
    <s v="No Discount"/>
    <n v="0"/>
    <n v="30.16"/>
    <x v="5"/>
    <n v="2024"/>
    <n v="135"/>
    <x v="2"/>
    <s v="Thursday"/>
    <x v="1"/>
    <x v="1"/>
    <s v="Regular"/>
  </r>
  <r>
    <n v="5978"/>
    <s v="MegaMart Westside"/>
    <d v="2023-10-12T00:00:00"/>
    <s v="Produce"/>
    <s v="Cereal"/>
    <n v="3"/>
    <n v="10.01"/>
    <n v="30.03"/>
    <s v="No Discount"/>
    <n v="0"/>
    <n v="30.03"/>
    <x v="7"/>
    <n v="2023"/>
    <n v="431"/>
    <x v="0"/>
    <s v="Thursday"/>
    <x v="1"/>
    <x v="1"/>
    <s v="Regular"/>
  </r>
  <r>
    <n v="8265"/>
    <s v="City Fresh Store"/>
    <d v="2025-04-26T00:00:00"/>
    <s v="Household Items"/>
    <s v="Ground Beef"/>
    <n v="2"/>
    <n v="14.89"/>
    <n v="29.78"/>
    <s v="No Discount"/>
    <n v="0"/>
    <n v="29.78"/>
    <x v="9"/>
    <n v="2025"/>
    <n v="486"/>
    <x v="0"/>
    <s v="Saturday"/>
    <x v="0"/>
    <x v="0"/>
    <s v="Regular"/>
  </r>
  <r>
    <n v="5198"/>
    <s v="SuperSave Central"/>
    <d v="2025-03-24T00:00:00"/>
    <s v="Beverages"/>
    <s v="Salmon"/>
    <n v="1"/>
    <n v="29.75"/>
    <n v="29.75"/>
    <s v="No Discount"/>
    <n v="0"/>
    <n v="29.75"/>
    <x v="6"/>
    <n v="2025"/>
    <n v="219"/>
    <x v="0"/>
    <s v="Monday"/>
    <x v="0"/>
    <x v="1"/>
    <s v="Regular"/>
  </r>
  <r>
    <n v="5676"/>
    <s v="FamilyFood Express"/>
    <d v="2024-12-20T00:00:00"/>
    <s v="Health &amp; Wellness"/>
    <s v="Cheese"/>
    <n v="2"/>
    <n v="14.73"/>
    <n v="29.46"/>
    <s v="No Discount"/>
    <n v="0"/>
    <n v="29.46"/>
    <x v="11"/>
    <n v="2024"/>
    <n v="400"/>
    <x v="0"/>
    <s v="Friday"/>
    <x v="0"/>
    <x v="1"/>
    <s v="Regular"/>
  </r>
  <r>
    <n v="6179"/>
    <s v="Corner Grocery"/>
    <d v="2023-12-02T00:00:00"/>
    <s v="Health &amp; Wellness"/>
    <s v="Onions"/>
    <n v="2"/>
    <n v="14.73"/>
    <n v="29.46"/>
    <s v="No Discount"/>
    <n v="0"/>
    <n v="29.46"/>
    <x v="11"/>
    <n v="2023"/>
    <n v="215"/>
    <x v="0"/>
    <s v="Saturday"/>
    <x v="0"/>
    <x v="0"/>
    <s v="Regular"/>
  </r>
  <r>
    <n v="1502"/>
    <s v="QuickStop Market"/>
    <d v="2023-10-17T00:00:00"/>
    <s v="Produce"/>
    <s v="Potatoes"/>
    <n v="5"/>
    <n v="5.89"/>
    <n v="29.45"/>
    <s v="No Discount"/>
    <n v="0"/>
    <n v="29.45"/>
    <x v="7"/>
    <n v="2023"/>
    <n v="26"/>
    <x v="1"/>
    <s v="Tuesday"/>
    <x v="1"/>
    <x v="1"/>
    <s v="Regular"/>
  </r>
  <r>
    <n v="2623"/>
    <s v="FreshMart Downtown"/>
    <d v="2025-05-19T00:00:00"/>
    <s v="Personal Care"/>
    <s v="Ground Beef"/>
    <n v="1"/>
    <n v="29.24"/>
    <n v="29.24"/>
    <s v="No Discount"/>
    <n v="0"/>
    <n v="29.24"/>
    <x v="3"/>
    <n v="2025"/>
    <n v="101"/>
    <x v="2"/>
    <s v="Monday"/>
    <x v="0"/>
    <x v="1"/>
    <s v="Regular"/>
  </r>
  <r>
    <n v="2163"/>
    <s v="City Fresh Store"/>
    <d v="2025-02-06T00:00:00"/>
    <s v="Beverages"/>
    <s v="Chicken Breast"/>
    <n v="1"/>
    <n v="29.21"/>
    <n v="29.21"/>
    <s v="No Discount"/>
    <n v="0"/>
    <n v="29.21"/>
    <x v="4"/>
    <n v="2025"/>
    <n v="311"/>
    <x v="0"/>
    <s v="Thursday"/>
    <x v="0"/>
    <x v="1"/>
    <s v="Regular"/>
  </r>
  <r>
    <n v="3956"/>
    <s v="ValuePlus Market"/>
    <d v="2024-10-03T00:00:00"/>
    <s v="Household Items"/>
    <s v="Ground Beef"/>
    <n v="3"/>
    <n v="9.67"/>
    <n v="29.01"/>
    <s v="No Discount"/>
    <n v="0"/>
    <n v="29.01"/>
    <x v="7"/>
    <n v="2024"/>
    <n v="341"/>
    <x v="0"/>
    <s v="Thursday"/>
    <x v="1"/>
    <x v="1"/>
    <s v="Regular"/>
  </r>
  <r>
    <n v="1601"/>
    <s v="FamilyFood Express"/>
    <d v="2024-07-25T00:00:00"/>
    <s v="Bakery"/>
    <s v="Chicken Breast"/>
    <n v="4"/>
    <n v="7.24"/>
    <n v="28.96"/>
    <s v="No Discount"/>
    <n v="0"/>
    <n v="28.96"/>
    <x v="2"/>
    <n v="2024"/>
    <n v="422"/>
    <x v="0"/>
    <s v="Thursday"/>
    <x v="1"/>
    <x v="1"/>
    <s v="Regular"/>
  </r>
  <r>
    <n v="2020"/>
    <s v="FreshMart Downtown"/>
    <d v="2024-07-09T00:00:00"/>
    <s v="Household Items"/>
    <s v="Milk"/>
    <n v="1"/>
    <n v="28.81"/>
    <n v="28.81"/>
    <s v="No Discount"/>
    <n v="0"/>
    <n v="28.81"/>
    <x v="2"/>
    <n v="2024"/>
    <n v="448"/>
    <x v="0"/>
    <s v="Tuesday"/>
    <x v="0"/>
    <x v="1"/>
    <s v="Regular"/>
  </r>
  <r>
    <n v="8444"/>
    <s v="QuickStop Market"/>
    <d v="2024-12-17T00:00:00"/>
    <s v="Meat &amp; Seafood"/>
    <s v="Rice"/>
    <n v="1"/>
    <n v="28.71"/>
    <n v="28.71"/>
    <s v="No Discount"/>
    <n v="0"/>
    <n v="28.71"/>
    <x v="11"/>
    <n v="2024"/>
    <n v="31"/>
    <x v="1"/>
    <s v="Tuesday"/>
    <x v="0"/>
    <x v="1"/>
    <s v="Regular"/>
  </r>
  <r>
    <n v="5475"/>
    <s v="SuperSave Central"/>
    <d v="2024-01-21T00:00:00"/>
    <s v="Dairy"/>
    <s v="Apples"/>
    <n v="3"/>
    <n v="9.5299999999999994"/>
    <n v="28.59"/>
    <s v="No Discount"/>
    <n v="0"/>
    <n v="28.59"/>
    <x v="8"/>
    <n v="2024"/>
    <n v="338"/>
    <x v="0"/>
    <s v="Sunday"/>
    <x v="1"/>
    <x v="0"/>
    <s v="Regular"/>
  </r>
  <r>
    <n v="8479"/>
    <s v="City Fresh Store"/>
    <d v="2023-08-07T00:00:00"/>
    <s v="Beverages"/>
    <s v="Carrots"/>
    <n v="1"/>
    <n v="28.26"/>
    <n v="28.26"/>
    <s v="No Discount"/>
    <n v="0"/>
    <n v="28.26"/>
    <x v="5"/>
    <n v="2023"/>
    <n v="416"/>
    <x v="0"/>
    <s v="Monday"/>
    <x v="0"/>
    <x v="1"/>
    <s v="Regular"/>
  </r>
  <r>
    <n v="9998"/>
    <s v="FreshMart Downtown"/>
    <d v="2025-07-15T00:00:00"/>
    <s v="Household Items"/>
    <s v="Apples"/>
    <n v="5"/>
    <n v="5.64"/>
    <n v="28.2"/>
    <s v="No Discount"/>
    <n v="0"/>
    <n v="28.2"/>
    <x v="2"/>
    <n v="2025"/>
    <n v="202"/>
    <x v="0"/>
    <s v="Tuesday"/>
    <x v="1"/>
    <x v="1"/>
    <s v="Regular"/>
  </r>
  <r>
    <n v="3692"/>
    <s v="QuickStop Market"/>
    <d v="2025-07-29T00:00:00"/>
    <s v="Frozen Foods"/>
    <s v="Bananas"/>
    <n v="4"/>
    <n v="7"/>
    <n v="28"/>
    <s v="No Discount"/>
    <n v="0"/>
    <n v="28"/>
    <x v="2"/>
    <n v="2025"/>
    <n v="400"/>
    <x v="0"/>
    <s v="Tuesday"/>
    <x v="1"/>
    <x v="1"/>
    <s v="Regular"/>
  </r>
  <r>
    <n v="5728"/>
    <s v="FamilyFood Express"/>
    <d v="2023-10-03T00:00:00"/>
    <s v="Bakery"/>
    <s v="Potatoes"/>
    <n v="1"/>
    <n v="27.71"/>
    <n v="27.71"/>
    <s v="No Discount"/>
    <n v="0"/>
    <n v="27.71"/>
    <x v="7"/>
    <n v="2023"/>
    <n v="185"/>
    <x v="2"/>
    <s v="Tuesday"/>
    <x v="0"/>
    <x v="1"/>
    <s v="Regular"/>
  </r>
  <r>
    <n v="7464"/>
    <s v="Corner Grocery"/>
    <d v="2025-05-03T00:00:00"/>
    <s v="Household Items"/>
    <s v="Pasta"/>
    <n v="1"/>
    <n v="27.62"/>
    <n v="27.62"/>
    <s v="No Discount"/>
    <n v="0"/>
    <n v="27.62"/>
    <x v="3"/>
    <n v="2025"/>
    <n v="327"/>
    <x v="0"/>
    <s v="Saturday"/>
    <x v="0"/>
    <x v="0"/>
    <s v="Regular"/>
  </r>
  <r>
    <n v="7818"/>
    <s v="Corner Grocery"/>
    <d v="2024-11-19T00:00:00"/>
    <s v="Household Items"/>
    <s v="Bread"/>
    <n v="2"/>
    <n v="13.8"/>
    <n v="27.6"/>
    <s v="No Discount"/>
    <n v="0"/>
    <n v="27.6"/>
    <x v="0"/>
    <n v="2024"/>
    <n v="467"/>
    <x v="0"/>
    <s v="Tuesday"/>
    <x v="0"/>
    <x v="1"/>
    <s v="Regular"/>
  </r>
  <r>
    <n v="3170"/>
    <s v="MegaMart Westside"/>
    <d v="2025-07-31T00:00:00"/>
    <s v="Health &amp; Wellness"/>
    <s v="Cereal"/>
    <n v="2"/>
    <n v="13.74"/>
    <n v="27.48"/>
    <s v="No Discount"/>
    <n v="0"/>
    <n v="27.48"/>
    <x v="2"/>
    <n v="2025"/>
    <n v="240"/>
    <x v="0"/>
    <s v="Thursday"/>
    <x v="0"/>
    <x v="1"/>
    <s v="Regular"/>
  </r>
  <r>
    <n v="4524"/>
    <s v="FamilyFood Express"/>
    <d v="2024-11-02T00:00:00"/>
    <s v="Bakery"/>
    <s v="Onions"/>
    <n v="1"/>
    <n v="27.28"/>
    <n v="27.28"/>
    <s v="No Discount"/>
    <n v="0"/>
    <n v="27.28"/>
    <x v="0"/>
    <n v="2024"/>
    <n v="340"/>
    <x v="0"/>
    <s v="Saturday"/>
    <x v="0"/>
    <x v="0"/>
    <s v="Regular"/>
  </r>
  <r>
    <n v="9939"/>
    <s v="City Fresh Store"/>
    <d v="2023-12-24T00:00:00"/>
    <s v="Snacks &amp; Candy"/>
    <s v="Milk"/>
    <n v="3"/>
    <n v="8.94"/>
    <n v="26.82"/>
    <s v="No Discount"/>
    <n v="0"/>
    <n v="26.82"/>
    <x v="11"/>
    <n v="2023"/>
    <n v="29"/>
    <x v="1"/>
    <s v="Sunday"/>
    <x v="1"/>
    <x v="0"/>
    <s v="Regular"/>
  </r>
  <r>
    <n v="2260"/>
    <s v="FamilyFood Express"/>
    <d v="2024-05-13T00:00:00"/>
    <s v="Beverages"/>
    <s v="Chicken Breast"/>
    <n v="1"/>
    <n v="26.67"/>
    <n v="26.67"/>
    <s v="No Discount"/>
    <n v="0"/>
    <n v="26.67"/>
    <x v="3"/>
    <n v="2024"/>
    <n v="253"/>
    <x v="0"/>
    <s v="Monday"/>
    <x v="0"/>
    <x v="1"/>
    <s v="Regular"/>
  </r>
  <r>
    <n v="7819"/>
    <s v="FamilyFood Express"/>
    <d v="2025-07-18T00:00:00"/>
    <s v="Personal Care"/>
    <s v="Potatoes"/>
    <n v="2"/>
    <n v="13.06"/>
    <n v="26.12"/>
    <s v="No Discount"/>
    <n v="0"/>
    <n v="26.12"/>
    <x v="2"/>
    <n v="2025"/>
    <n v="6"/>
    <x v="1"/>
    <s v="Friday"/>
    <x v="0"/>
    <x v="1"/>
    <s v="Regular"/>
  </r>
  <r>
    <n v="1187"/>
    <s v="MegaMart Westside"/>
    <d v="2024-02-26T00:00:00"/>
    <s v="Frozen Foods"/>
    <s v="Bread"/>
    <n v="1"/>
    <n v="25.98"/>
    <n v="25.98"/>
    <s v="No Discount"/>
    <n v="0"/>
    <n v="25.98"/>
    <x v="4"/>
    <n v="2024"/>
    <n v="500"/>
    <x v="0"/>
    <s v="Monday"/>
    <x v="0"/>
    <x v="1"/>
    <s v="Regular"/>
  </r>
  <r>
    <n v="6310"/>
    <s v="FreshMart Downtown"/>
    <d v="2024-08-20T00:00:00"/>
    <s v="Dairy"/>
    <s v="Rice"/>
    <n v="2"/>
    <n v="12.72"/>
    <n v="25.44"/>
    <s v="No Discount"/>
    <n v="0"/>
    <n v="25.44"/>
    <x v="5"/>
    <n v="2024"/>
    <n v="124"/>
    <x v="2"/>
    <s v="Tuesday"/>
    <x v="0"/>
    <x v="1"/>
    <s v="Regular"/>
  </r>
  <r>
    <n v="2380"/>
    <s v="FamilyFood Express"/>
    <d v="2024-02-15T00:00:00"/>
    <s v="Canned Goods"/>
    <s v="Onions"/>
    <n v="1"/>
    <n v="24.88"/>
    <n v="24.88"/>
    <s v="No Discount"/>
    <n v="0"/>
    <n v="24.88"/>
    <x v="4"/>
    <n v="2024"/>
    <n v="350"/>
    <x v="0"/>
    <s v="Thursday"/>
    <x v="0"/>
    <x v="1"/>
    <s v="Regular"/>
  </r>
  <r>
    <n v="4578"/>
    <s v="FamilyFood Express"/>
    <d v="2025-03-20T00:00:00"/>
    <s v="Snacks &amp; Candy"/>
    <s v="Milk"/>
    <n v="2"/>
    <n v="12.37"/>
    <n v="24.74"/>
    <s v="No Discount"/>
    <n v="0"/>
    <n v="24.74"/>
    <x v="6"/>
    <n v="2025"/>
    <n v="421"/>
    <x v="0"/>
    <s v="Thursday"/>
    <x v="0"/>
    <x v="1"/>
    <s v="Regular"/>
  </r>
  <r>
    <n v="9624"/>
    <s v="GreenGrocer Plaza"/>
    <d v="2023-10-18T00:00:00"/>
    <s v="Beverages"/>
    <s v="Chicken Breast"/>
    <n v="5"/>
    <n v="4.93"/>
    <n v="24.65"/>
    <s v="No Discount"/>
    <n v="0"/>
    <n v="24.65"/>
    <x v="7"/>
    <n v="2023"/>
    <n v="390"/>
    <x v="0"/>
    <s v="Wednesday"/>
    <x v="1"/>
    <x v="1"/>
    <s v="Regular"/>
  </r>
  <r>
    <n v="7012"/>
    <s v="ValuePlus Market"/>
    <d v="2024-06-11T00:00:00"/>
    <s v="Beverages"/>
    <s v="Milk"/>
    <n v="1"/>
    <n v="24.56"/>
    <n v="24.56"/>
    <s v="No Discount"/>
    <n v="0"/>
    <n v="24.56"/>
    <x v="10"/>
    <n v="2024"/>
    <n v="492"/>
    <x v="0"/>
    <s v="Tuesday"/>
    <x v="0"/>
    <x v="1"/>
    <s v="Regular"/>
  </r>
  <r>
    <n v="2734"/>
    <s v="SuperSave Central"/>
    <d v="2024-02-11T00:00:00"/>
    <s v="Bakery"/>
    <s v="Salmon"/>
    <n v="2"/>
    <n v="12.22"/>
    <n v="24.44"/>
    <s v="No Discount"/>
    <n v="0"/>
    <n v="24.44"/>
    <x v="4"/>
    <n v="2024"/>
    <n v="69"/>
    <x v="3"/>
    <s v="Sunday"/>
    <x v="0"/>
    <x v="0"/>
    <s v="Regular"/>
  </r>
  <r>
    <n v="2739"/>
    <s v="QuickStop Market"/>
    <d v="2024-04-10T00:00:00"/>
    <s v="Dairy"/>
    <s v="Onions"/>
    <n v="4"/>
    <n v="5.88"/>
    <n v="23.52"/>
    <s v="No Discount"/>
    <n v="0"/>
    <n v="23.52"/>
    <x v="9"/>
    <n v="2024"/>
    <n v="343"/>
    <x v="0"/>
    <s v="Wednesday"/>
    <x v="1"/>
    <x v="1"/>
    <s v="Regular"/>
  </r>
  <r>
    <n v="4582"/>
    <s v="City Fresh Store"/>
    <d v="2024-02-03T00:00:00"/>
    <s v="Health &amp; Wellness"/>
    <s v="Orange Juice"/>
    <n v="2"/>
    <n v="11.73"/>
    <n v="23.46"/>
    <s v="No Discount"/>
    <n v="0"/>
    <n v="23.46"/>
    <x v="4"/>
    <n v="2024"/>
    <n v="107"/>
    <x v="2"/>
    <s v="Saturday"/>
    <x v="0"/>
    <x v="0"/>
    <s v="Regular"/>
  </r>
  <r>
    <n v="8761"/>
    <s v="Corner Grocery"/>
    <d v="2024-09-13T00:00:00"/>
    <s v="Meat &amp; Seafood"/>
    <s v="Bananas"/>
    <n v="5"/>
    <n v="4.55"/>
    <n v="22.75"/>
    <s v="No Discount"/>
    <n v="0"/>
    <n v="22.75"/>
    <x v="1"/>
    <n v="2024"/>
    <n v="271"/>
    <x v="0"/>
    <s v="Friday"/>
    <x v="1"/>
    <x v="1"/>
    <s v="Regular"/>
  </r>
  <r>
    <n v="1674"/>
    <s v="FreshMart Downtown"/>
    <d v="2025-05-08T00:00:00"/>
    <s v="Beverages"/>
    <s v="Orange Juice"/>
    <n v="3"/>
    <n v="7.53"/>
    <n v="22.59"/>
    <s v="No Discount"/>
    <n v="0"/>
    <n v="22.59"/>
    <x v="3"/>
    <n v="2025"/>
    <n v="217"/>
    <x v="0"/>
    <s v="Thursday"/>
    <x v="1"/>
    <x v="1"/>
    <s v="Regular"/>
  </r>
  <r>
    <n v="1349"/>
    <s v="Corner Grocery"/>
    <d v="2023-09-15T00:00:00"/>
    <s v="Produce"/>
    <s v="Onions"/>
    <n v="3"/>
    <n v="7.53"/>
    <n v="22.59"/>
    <s v="No Discount"/>
    <n v="0"/>
    <n v="22.59"/>
    <x v="1"/>
    <n v="2023"/>
    <n v="174"/>
    <x v="2"/>
    <s v="Friday"/>
    <x v="1"/>
    <x v="1"/>
    <s v="Regular"/>
  </r>
  <r>
    <n v="9715"/>
    <s v="ValuePlus Market"/>
    <d v="2024-05-27T00:00:00"/>
    <s v="Dairy"/>
    <s v="Tomatoes"/>
    <n v="1"/>
    <n v="22.52"/>
    <n v="22.52"/>
    <s v="No Discount"/>
    <n v="0"/>
    <n v="22.52"/>
    <x v="3"/>
    <n v="2024"/>
    <n v="66"/>
    <x v="3"/>
    <s v="Monday"/>
    <x v="0"/>
    <x v="1"/>
    <s v="Regular"/>
  </r>
  <r>
    <n v="3218"/>
    <s v="ValuePlus Market"/>
    <d v="2025-03-23T00:00:00"/>
    <s v="Meat &amp; Seafood"/>
    <s v="Tomatoes"/>
    <n v="2"/>
    <n v="11.08"/>
    <n v="22.16"/>
    <s v="No Discount"/>
    <n v="0"/>
    <n v="22.16"/>
    <x v="6"/>
    <n v="2025"/>
    <n v="487"/>
    <x v="0"/>
    <s v="Sunday"/>
    <x v="0"/>
    <x v="0"/>
    <s v="Regular"/>
  </r>
  <r>
    <n v="3392"/>
    <s v="SuperSave Central"/>
    <d v="2023-11-21T00:00:00"/>
    <s v="Household Items"/>
    <s v="Chicken Breast"/>
    <n v="1"/>
    <n v="21.83"/>
    <n v="21.83"/>
    <s v="No Discount"/>
    <n v="0"/>
    <n v="21.83"/>
    <x v="0"/>
    <n v="2023"/>
    <n v="222"/>
    <x v="0"/>
    <s v="Tuesday"/>
    <x v="0"/>
    <x v="1"/>
    <s v="Regular"/>
  </r>
  <r>
    <n v="4196"/>
    <s v="QuickStop Market"/>
    <d v="2025-05-01T00:00:00"/>
    <s v="Frozen Foods"/>
    <s v="Onions"/>
    <n v="2"/>
    <n v="10.88"/>
    <n v="21.76"/>
    <s v="No Discount"/>
    <n v="0"/>
    <n v="21.76"/>
    <x v="3"/>
    <n v="2025"/>
    <n v="347"/>
    <x v="0"/>
    <s v="Thursday"/>
    <x v="0"/>
    <x v="1"/>
    <s v="Regular"/>
  </r>
  <r>
    <n v="2160"/>
    <s v="QuickStop Market"/>
    <d v="2024-01-31T00:00:00"/>
    <s v="Household Items"/>
    <s v="Pasta"/>
    <n v="1"/>
    <n v="21.68"/>
    <n v="21.68"/>
    <s v="No Discount"/>
    <n v="0"/>
    <n v="21.68"/>
    <x v="8"/>
    <n v="2024"/>
    <n v="251"/>
    <x v="0"/>
    <s v="Wednesday"/>
    <x v="0"/>
    <x v="1"/>
    <s v="Regular"/>
  </r>
  <r>
    <n v="3501"/>
    <s v="Corner Grocery"/>
    <d v="2024-03-09T00:00:00"/>
    <s v="Produce"/>
    <s v="Yogurt"/>
    <n v="2"/>
    <n v="10.78"/>
    <n v="21.56"/>
    <s v="No Discount"/>
    <n v="0"/>
    <n v="21.56"/>
    <x v="6"/>
    <n v="2024"/>
    <n v="455"/>
    <x v="0"/>
    <s v="Saturday"/>
    <x v="0"/>
    <x v="0"/>
    <s v="Regular"/>
  </r>
  <r>
    <n v="8408"/>
    <s v="City Fresh Store"/>
    <d v="2024-10-11T00:00:00"/>
    <s v="Canned Goods"/>
    <s v="Cheese"/>
    <n v="1"/>
    <n v="21.53"/>
    <n v="21.53"/>
    <s v="No Discount"/>
    <n v="0"/>
    <n v="21.53"/>
    <x v="7"/>
    <n v="2024"/>
    <n v="459"/>
    <x v="0"/>
    <s v="Friday"/>
    <x v="0"/>
    <x v="1"/>
    <s v="Regular"/>
  </r>
  <r>
    <n v="8586"/>
    <s v="Corner Grocery"/>
    <d v="2025-03-28T00:00:00"/>
    <s v="Health &amp; Wellness"/>
    <s v="Apples"/>
    <n v="4"/>
    <n v="5.36"/>
    <n v="21.44"/>
    <s v="No Discount"/>
    <n v="0"/>
    <n v="21.44"/>
    <x v="6"/>
    <n v="2025"/>
    <n v="159"/>
    <x v="2"/>
    <s v="Friday"/>
    <x v="1"/>
    <x v="1"/>
    <s v="Regular"/>
  </r>
  <r>
    <n v="9116"/>
    <s v="FreshMart Downtown"/>
    <d v="2023-12-29T00:00:00"/>
    <s v="Health &amp; Wellness"/>
    <s v="Onions"/>
    <n v="2"/>
    <n v="10.6"/>
    <n v="21.2"/>
    <s v="No Discount"/>
    <n v="0"/>
    <n v="21.2"/>
    <x v="11"/>
    <n v="2023"/>
    <n v="379"/>
    <x v="0"/>
    <s v="Friday"/>
    <x v="0"/>
    <x v="1"/>
    <s v="Regular"/>
  </r>
  <r>
    <n v="3939"/>
    <s v="SuperSave Central"/>
    <d v="2024-03-28T00:00:00"/>
    <s v="Produce"/>
    <s v="Chicken Breast"/>
    <n v="3"/>
    <n v="6.95"/>
    <n v="20.85"/>
    <s v="No Discount"/>
    <n v="0"/>
    <n v="20.85"/>
    <x v="6"/>
    <n v="2024"/>
    <n v="97"/>
    <x v="3"/>
    <s v="Thursday"/>
    <x v="1"/>
    <x v="1"/>
    <s v="Regular"/>
  </r>
  <r>
    <n v="1106"/>
    <s v="ValuePlus Market"/>
    <d v="2025-03-18T00:00:00"/>
    <s v="Frozen Foods"/>
    <s v="Onions"/>
    <n v="1"/>
    <n v="20.72"/>
    <n v="20.72"/>
    <s v="No Discount"/>
    <n v="0"/>
    <n v="20.72"/>
    <x v="6"/>
    <n v="2025"/>
    <n v="58"/>
    <x v="3"/>
    <s v="Tuesday"/>
    <x v="0"/>
    <x v="1"/>
    <s v="Regular"/>
  </r>
  <r>
    <n v="8138"/>
    <s v="FamilyFood Express"/>
    <d v="2024-11-06T00:00:00"/>
    <s v="Health &amp; Wellness"/>
    <s v="Orange Juice"/>
    <n v="3"/>
    <n v="6.85"/>
    <n v="20.55"/>
    <s v="No Discount"/>
    <n v="0"/>
    <n v="20.55"/>
    <x v="0"/>
    <n v="2024"/>
    <n v="65"/>
    <x v="3"/>
    <s v="Wednesday"/>
    <x v="1"/>
    <x v="1"/>
    <s v="Regular"/>
  </r>
  <r>
    <n v="4266"/>
    <s v="MegaMart Westside"/>
    <d v="2025-05-19T00:00:00"/>
    <s v="Bakery"/>
    <s v="Tomatoes"/>
    <n v="4"/>
    <n v="5.1100000000000003"/>
    <n v="20.440000000000001"/>
    <s v="No Discount"/>
    <n v="0"/>
    <n v="20.440000000000001"/>
    <x v="3"/>
    <n v="2025"/>
    <n v="323"/>
    <x v="0"/>
    <s v="Monday"/>
    <x v="1"/>
    <x v="1"/>
    <s v="Regular"/>
  </r>
  <r>
    <n v="5215"/>
    <s v="QuickStop Market"/>
    <d v="2025-02-15T00:00:00"/>
    <s v="Produce"/>
    <s v="Onions"/>
    <n v="5"/>
    <n v="4.08"/>
    <n v="20.399999999999999"/>
    <s v="No Discount"/>
    <n v="0"/>
    <n v="20.399999999999999"/>
    <x v="4"/>
    <n v="2025"/>
    <n v="381"/>
    <x v="0"/>
    <s v="Saturday"/>
    <x v="1"/>
    <x v="0"/>
    <s v="Regular"/>
  </r>
  <r>
    <n v="7455"/>
    <s v="ValuePlus Market"/>
    <d v="2024-11-08T00:00:00"/>
    <s v="Meat &amp; Seafood"/>
    <s v="Orange Juice"/>
    <n v="3"/>
    <n v="6.71"/>
    <n v="20.13"/>
    <s v="No Discount"/>
    <n v="0"/>
    <n v="20.13"/>
    <x v="0"/>
    <n v="2024"/>
    <n v="58"/>
    <x v="3"/>
    <s v="Friday"/>
    <x v="1"/>
    <x v="1"/>
    <s v="Regular"/>
  </r>
  <r>
    <n v="3525"/>
    <s v="MegaMart Westside"/>
    <d v="2025-02-12T00:00:00"/>
    <s v="Beverages"/>
    <s v="Bread"/>
    <n v="2"/>
    <n v="9.92"/>
    <n v="19.84"/>
    <s v="No Discount"/>
    <n v="0"/>
    <n v="19.84"/>
    <x v="4"/>
    <n v="2025"/>
    <n v="348"/>
    <x v="0"/>
    <s v="Wednesday"/>
    <x v="0"/>
    <x v="1"/>
    <s v="Regular"/>
  </r>
  <r>
    <n v="3842"/>
    <s v="MegaMart Westside"/>
    <d v="2024-11-16T00:00:00"/>
    <s v="Bakery"/>
    <s v="Onions"/>
    <n v="1"/>
    <n v="19.809999999999999"/>
    <n v="19.809999999999999"/>
    <s v="No Discount"/>
    <n v="0"/>
    <n v="19.809999999999999"/>
    <x v="0"/>
    <n v="2024"/>
    <n v="377"/>
    <x v="0"/>
    <s v="Saturday"/>
    <x v="0"/>
    <x v="0"/>
    <s v="Regular"/>
  </r>
  <r>
    <n v="8167"/>
    <s v="City Fresh Store"/>
    <d v="2023-10-17T00:00:00"/>
    <s v="Canned Goods"/>
    <s v="Rice"/>
    <n v="1"/>
    <n v="19.71"/>
    <n v="19.71"/>
    <s v="No Discount"/>
    <n v="0"/>
    <n v="19.71"/>
    <x v="7"/>
    <n v="2023"/>
    <n v="463"/>
    <x v="0"/>
    <s v="Tuesday"/>
    <x v="0"/>
    <x v="1"/>
    <s v="Regular"/>
  </r>
  <r>
    <n v="8564"/>
    <s v="SuperSave Central"/>
    <d v="2023-12-26T00:00:00"/>
    <s v="Canned Goods"/>
    <s v="Chicken Breast"/>
    <n v="2"/>
    <n v="9.85"/>
    <n v="19.7"/>
    <s v="No Discount"/>
    <n v="0"/>
    <n v="19.7"/>
    <x v="11"/>
    <n v="2023"/>
    <n v="93"/>
    <x v="3"/>
    <s v="Tuesday"/>
    <x v="0"/>
    <x v="1"/>
    <s v="Regular"/>
  </r>
  <r>
    <n v="3370"/>
    <s v="FreshMart Downtown"/>
    <d v="2023-11-15T00:00:00"/>
    <s v="Canned Goods"/>
    <s v="Bread"/>
    <n v="4"/>
    <n v="4.88"/>
    <n v="19.52"/>
    <s v="No Discount"/>
    <n v="0"/>
    <n v="19.52"/>
    <x v="0"/>
    <n v="2023"/>
    <n v="433"/>
    <x v="0"/>
    <s v="Wednesday"/>
    <x v="1"/>
    <x v="1"/>
    <s v="Regular"/>
  </r>
  <r>
    <n v="9446"/>
    <s v="FamilyFood Express"/>
    <d v="2023-11-23T00:00:00"/>
    <s v="Produce"/>
    <s v="Cereal"/>
    <n v="1"/>
    <n v="19.37"/>
    <n v="19.37"/>
    <s v="No Discount"/>
    <n v="0"/>
    <n v="19.37"/>
    <x v="0"/>
    <n v="2023"/>
    <n v="447"/>
    <x v="0"/>
    <s v="Thursday"/>
    <x v="0"/>
    <x v="1"/>
    <s v="Regular"/>
  </r>
  <r>
    <n v="3248"/>
    <s v="ValuePlus Market"/>
    <d v="2025-03-22T00:00:00"/>
    <s v="Produce"/>
    <s v="Tomatoes"/>
    <n v="2"/>
    <n v="9.66"/>
    <n v="19.32"/>
    <s v="No Discount"/>
    <n v="0"/>
    <n v="19.32"/>
    <x v="6"/>
    <n v="2025"/>
    <n v="199"/>
    <x v="2"/>
    <s v="Saturday"/>
    <x v="0"/>
    <x v="0"/>
    <s v="Regular"/>
  </r>
  <r>
    <n v="5291"/>
    <s v="City Fresh Store"/>
    <d v="2023-12-10T00:00:00"/>
    <s v="Household Items"/>
    <s v="Onions"/>
    <n v="1"/>
    <n v="19.32"/>
    <n v="19.32"/>
    <s v="No Discount"/>
    <n v="0"/>
    <n v="19.32"/>
    <x v="11"/>
    <n v="2023"/>
    <n v="294"/>
    <x v="0"/>
    <s v="Sunday"/>
    <x v="0"/>
    <x v="0"/>
    <s v="Regular"/>
  </r>
  <r>
    <n v="4762"/>
    <s v="MegaMart Westside"/>
    <d v="2024-02-15T00:00:00"/>
    <s v="Meat &amp; Seafood"/>
    <s v="Ground Beef"/>
    <n v="2"/>
    <n v="9.6"/>
    <n v="19.2"/>
    <s v="No Discount"/>
    <n v="0"/>
    <n v="19.2"/>
    <x v="4"/>
    <n v="2024"/>
    <n v="274"/>
    <x v="0"/>
    <s v="Thursday"/>
    <x v="0"/>
    <x v="1"/>
    <s v="Regular"/>
  </r>
  <r>
    <n v="5352"/>
    <s v="ValuePlus Market"/>
    <d v="2025-05-10T00:00:00"/>
    <s v="Bakery"/>
    <s v="Bananas"/>
    <n v="1"/>
    <n v="19.16"/>
    <n v="19.16"/>
    <s v="No Discount"/>
    <n v="0"/>
    <n v="19.16"/>
    <x v="3"/>
    <n v="2025"/>
    <n v="127"/>
    <x v="2"/>
    <s v="Saturday"/>
    <x v="0"/>
    <x v="0"/>
    <s v="Regular"/>
  </r>
  <r>
    <n v="5720"/>
    <s v="SuperSave Central"/>
    <d v="2025-02-06T00:00:00"/>
    <s v="Health &amp; Wellness"/>
    <s v="Onions"/>
    <n v="2"/>
    <n v="9.51"/>
    <n v="19.02"/>
    <s v="No Discount"/>
    <n v="0"/>
    <n v="19.02"/>
    <x v="4"/>
    <n v="2025"/>
    <n v="241"/>
    <x v="0"/>
    <s v="Thursday"/>
    <x v="0"/>
    <x v="1"/>
    <s v="Regular"/>
  </r>
  <r>
    <n v="6133"/>
    <s v="FreshMart Downtown"/>
    <d v="2024-05-18T00:00:00"/>
    <s v="Canned Goods"/>
    <s v="Chicken Breast"/>
    <n v="1"/>
    <n v="18.79"/>
    <n v="18.79"/>
    <s v="No Discount"/>
    <n v="0"/>
    <n v="18.79"/>
    <x v="3"/>
    <n v="2024"/>
    <n v="271"/>
    <x v="0"/>
    <s v="Saturday"/>
    <x v="0"/>
    <x v="0"/>
    <s v="Regular"/>
  </r>
  <r>
    <n v="8801"/>
    <s v="FamilyFood Express"/>
    <d v="2023-10-21T00:00:00"/>
    <s v="Meat &amp; Seafood"/>
    <s v="Bread"/>
    <n v="5"/>
    <n v="3.73"/>
    <n v="18.649999999999999"/>
    <s v="No Discount"/>
    <n v="0"/>
    <n v="18.649999999999999"/>
    <x v="7"/>
    <n v="2023"/>
    <n v="372"/>
    <x v="0"/>
    <s v="Saturday"/>
    <x v="1"/>
    <x v="0"/>
    <s v="Regular"/>
  </r>
  <r>
    <n v="6940"/>
    <s v="FamilyFood Express"/>
    <d v="2024-04-02T00:00:00"/>
    <s v="Dairy"/>
    <s v="Potatoes"/>
    <n v="3"/>
    <n v="6.19"/>
    <n v="18.57"/>
    <s v="No Discount"/>
    <n v="0"/>
    <n v="18.57"/>
    <x v="9"/>
    <n v="2024"/>
    <n v="345"/>
    <x v="0"/>
    <s v="Tuesday"/>
    <x v="1"/>
    <x v="1"/>
    <s v="Regular"/>
  </r>
  <r>
    <n v="2791"/>
    <s v="SuperSave Central"/>
    <d v="2025-01-13T00:00:00"/>
    <s v="Frozen Foods"/>
    <s v="Carrots"/>
    <n v="1"/>
    <n v="18.52"/>
    <n v="18.52"/>
    <s v="No Discount"/>
    <n v="0"/>
    <n v="18.52"/>
    <x v="8"/>
    <n v="2025"/>
    <n v="465"/>
    <x v="0"/>
    <s v="Monday"/>
    <x v="0"/>
    <x v="1"/>
    <s v="Regular"/>
  </r>
  <r>
    <n v="4960"/>
    <s v="QuickStop Market"/>
    <d v="2024-08-03T00:00:00"/>
    <s v="Meat &amp; Seafood"/>
    <s v="Salmon"/>
    <n v="3"/>
    <n v="6.15"/>
    <n v="18.45"/>
    <s v="No Discount"/>
    <n v="0"/>
    <n v="18.45"/>
    <x v="5"/>
    <n v="2024"/>
    <n v="365"/>
    <x v="0"/>
    <s v="Saturday"/>
    <x v="1"/>
    <x v="0"/>
    <s v="Regular"/>
  </r>
  <r>
    <n v="4295"/>
    <s v="QuickStop Market"/>
    <d v="2025-02-10T00:00:00"/>
    <s v="Household Items"/>
    <s v="Rice"/>
    <n v="4"/>
    <n v="4.5999999999999996"/>
    <n v="18.399999999999999"/>
    <s v="No Discount"/>
    <n v="0"/>
    <n v="18.399999999999999"/>
    <x v="4"/>
    <n v="2025"/>
    <n v="352"/>
    <x v="0"/>
    <s v="Monday"/>
    <x v="1"/>
    <x v="1"/>
    <s v="Regular"/>
  </r>
  <r>
    <n v="5706"/>
    <s v="SuperSave Central"/>
    <d v="2024-04-12T00:00:00"/>
    <s v="Personal Care"/>
    <s v="Apples"/>
    <n v="2"/>
    <n v="9.14"/>
    <n v="18.28"/>
    <s v="No Discount"/>
    <n v="0"/>
    <n v="18.28"/>
    <x v="9"/>
    <n v="2024"/>
    <n v="58"/>
    <x v="3"/>
    <s v="Friday"/>
    <x v="0"/>
    <x v="1"/>
    <s v="Regular"/>
  </r>
  <r>
    <n v="1470"/>
    <s v="SuperSave Central"/>
    <d v="2024-08-24T00:00:00"/>
    <s v="Health &amp; Wellness"/>
    <s v="Tomatoes"/>
    <n v="1"/>
    <n v="18.149999999999999"/>
    <n v="18.149999999999999"/>
    <s v="No Discount"/>
    <n v="0"/>
    <n v="18.149999999999999"/>
    <x v="5"/>
    <n v="2024"/>
    <n v="31"/>
    <x v="1"/>
    <s v="Saturday"/>
    <x v="0"/>
    <x v="0"/>
    <s v="Regular"/>
  </r>
  <r>
    <n v="1931"/>
    <s v="MegaMart Westside"/>
    <d v="2024-09-04T00:00:00"/>
    <s v="Meat &amp; Seafood"/>
    <s v="Onions"/>
    <n v="1"/>
    <n v="18"/>
    <n v="18"/>
    <s v="No Discount"/>
    <n v="0"/>
    <n v="18"/>
    <x v="1"/>
    <n v="2024"/>
    <n v="287"/>
    <x v="0"/>
    <s v="Wednesday"/>
    <x v="0"/>
    <x v="1"/>
    <s v="Regular"/>
  </r>
  <r>
    <n v="2139"/>
    <s v="FamilyFood Express"/>
    <d v="2023-09-11T00:00:00"/>
    <s v="Frozen Foods"/>
    <s v="Yogurt"/>
    <n v="1"/>
    <n v="17.79"/>
    <n v="17.79"/>
    <s v="No Discount"/>
    <n v="0"/>
    <n v="17.79"/>
    <x v="1"/>
    <n v="2023"/>
    <n v="277"/>
    <x v="0"/>
    <s v="Monday"/>
    <x v="0"/>
    <x v="1"/>
    <s v="Regular"/>
  </r>
  <r>
    <n v="5374"/>
    <s v="GreenGrocer Plaza"/>
    <d v="2025-02-02T00:00:00"/>
    <s v="Dairy"/>
    <s v="Onions"/>
    <n v="2"/>
    <n v="8.89"/>
    <n v="17.78"/>
    <s v="No Discount"/>
    <n v="0"/>
    <n v="17.78"/>
    <x v="4"/>
    <n v="2025"/>
    <n v="309"/>
    <x v="0"/>
    <s v="Sunday"/>
    <x v="0"/>
    <x v="0"/>
    <s v="Regular"/>
  </r>
  <r>
    <n v="2625"/>
    <s v="FamilyFood Express"/>
    <d v="2025-03-21T00:00:00"/>
    <s v="Bakery"/>
    <s v="Ground Beef"/>
    <n v="2"/>
    <n v="8.7899999999999991"/>
    <n v="17.579999999999998"/>
    <s v="No Discount"/>
    <n v="0"/>
    <n v="17.579999999999998"/>
    <x v="6"/>
    <n v="2025"/>
    <n v="209"/>
    <x v="0"/>
    <s v="Friday"/>
    <x v="0"/>
    <x v="1"/>
    <s v="Regular"/>
  </r>
  <r>
    <n v="4033"/>
    <s v="GreenGrocer Plaza"/>
    <d v="2024-01-02T00:00:00"/>
    <s v="Bakery"/>
    <s v="Orange Juice"/>
    <n v="3"/>
    <n v="5.86"/>
    <n v="17.579999999999998"/>
    <s v="No Discount"/>
    <n v="0"/>
    <n v="17.579999999999998"/>
    <x v="8"/>
    <n v="2024"/>
    <n v="453"/>
    <x v="0"/>
    <s v="Tuesday"/>
    <x v="1"/>
    <x v="1"/>
    <s v="Regular"/>
  </r>
  <r>
    <n v="7322"/>
    <s v="GreenGrocer Plaza"/>
    <d v="2023-11-02T00:00:00"/>
    <s v="Meat &amp; Seafood"/>
    <s v="Onions"/>
    <n v="3"/>
    <n v="5.84"/>
    <n v="17.52"/>
    <s v="No Discount"/>
    <n v="0"/>
    <n v="17.52"/>
    <x v="0"/>
    <n v="2023"/>
    <n v="378"/>
    <x v="0"/>
    <s v="Thursday"/>
    <x v="1"/>
    <x v="1"/>
    <s v="Regular"/>
  </r>
  <r>
    <n v="7751"/>
    <s v="City Fresh Store"/>
    <d v="2024-10-19T00:00:00"/>
    <s v="Household Items"/>
    <s v="Bananas"/>
    <n v="4"/>
    <n v="4.3600000000000003"/>
    <n v="17.440000000000001"/>
    <s v="No Discount"/>
    <n v="0"/>
    <n v="17.440000000000001"/>
    <x v="7"/>
    <n v="2024"/>
    <n v="34"/>
    <x v="1"/>
    <s v="Saturday"/>
    <x v="1"/>
    <x v="0"/>
    <s v="Regular"/>
  </r>
  <r>
    <n v="9928"/>
    <s v="City Fresh Store"/>
    <d v="2024-06-27T00:00:00"/>
    <s v="Snacks &amp; Candy"/>
    <s v="Salmon"/>
    <n v="2"/>
    <n v="8.67"/>
    <n v="17.34"/>
    <s v="No Discount"/>
    <n v="0"/>
    <n v="17.34"/>
    <x v="10"/>
    <n v="2024"/>
    <n v="126"/>
    <x v="2"/>
    <s v="Thursday"/>
    <x v="0"/>
    <x v="1"/>
    <s v="Regular"/>
  </r>
  <r>
    <n v="5419"/>
    <s v="ValuePlus Market"/>
    <d v="2023-10-25T00:00:00"/>
    <s v="Bakery"/>
    <s v="Cheese"/>
    <n v="1"/>
    <n v="17.3"/>
    <n v="17.3"/>
    <s v="No Discount"/>
    <n v="0"/>
    <n v="17.3"/>
    <x v="7"/>
    <n v="2023"/>
    <n v="165"/>
    <x v="2"/>
    <s v="Wednesday"/>
    <x v="0"/>
    <x v="1"/>
    <s v="Regular"/>
  </r>
  <r>
    <n v="8871"/>
    <s v="Corner Grocery"/>
    <d v="2023-12-17T00:00:00"/>
    <s v="Frozen Foods"/>
    <s v="Apples"/>
    <n v="1"/>
    <n v="16.88"/>
    <n v="16.88"/>
    <s v="No Discount"/>
    <n v="0"/>
    <n v="16.88"/>
    <x v="11"/>
    <n v="2023"/>
    <n v="172"/>
    <x v="2"/>
    <s v="Sunday"/>
    <x v="0"/>
    <x v="0"/>
    <s v="Regular"/>
  </r>
  <r>
    <n v="9808"/>
    <s v="SuperSave Central"/>
    <d v="2024-01-19T00:00:00"/>
    <s v="Bakery"/>
    <s v="Chicken Breast"/>
    <n v="2"/>
    <n v="8.41"/>
    <n v="16.82"/>
    <s v="No Discount"/>
    <n v="0"/>
    <n v="16.82"/>
    <x v="8"/>
    <n v="2024"/>
    <n v="88"/>
    <x v="3"/>
    <s v="Friday"/>
    <x v="0"/>
    <x v="1"/>
    <s v="Regular"/>
  </r>
  <r>
    <n v="1932"/>
    <s v="City Fresh Store"/>
    <d v="2024-05-19T00:00:00"/>
    <s v="Meat &amp; Seafood"/>
    <s v="Salmon"/>
    <n v="3"/>
    <n v="5.52"/>
    <n v="16.559999999999999"/>
    <s v="No Discount"/>
    <n v="0"/>
    <n v="16.559999999999999"/>
    <x v="3"/>
    <n v="2024"/>
    <n v="496"/>
    <x v="0"/>
    <s v="Sunday"/>
    <x v="1"/>
    <x v="0"/>
    <s v="Regular"/>
  </r>
  <r>
    <n v="9443"/>
    <s v="MegaMart Westside"/>
    <d v="2024-10-26T00:00:00"/>
    <s v="Household Items"/>
    <s v="Chicken Breast"/>
    <n v="3"/>
    <n v="5.45"/>
    <n v="16.350000000000001"/>
    <s v="No Discount"/>
    <n v="0"/>
    <n v="16.350000000000001"/>
    <x v="7"/>
    <n v="2024"/>
    <n v="41"/>
    <x v="1"/>
    <s v="Saturday"/>
    <x v="1"/>
    <x v="0"/>
    <s v="Regular"/>
  </r>
  <r>
    <n v="8744"/>
    <s v="MegaMart Westside"/>
    <d v="2024-02-11T00:00:00"/>
    <s v="Dairy"/>
    <s v="Salmon"/>
    <n v="1"/>
    <n v="16.239999999999998"/>
    <n v="16.239999999999998"/>
    <s v="No Discount"/>
    <n v="0"/>
    <n v="16.239999999999998"/>
    <x v="4"/>
    <n v="2024"/>
    <n v="233"/>
    <x v="0"/>
    <s v="Sunday"/>
    <x v="0"/>
    <x v="0"/>
    <s v="Regular"/>
  </r>
  <r>
    <n v="2562"/>
    <s v="QuickStop Market"/>
    <d v="2023-12-28T00:00:00"/>
    <s v="Canned Goods"/>
    <s v="Potatoes"/>
    <n v="2"/>
    <n v="8.06"/>
    <n v="16.12"/>
    <s v="No Discount"/>
    <n v="0"/>
    <n v="16.12"/>
    <x v="11"/>
    <n v="2023"/>
    <n v="278"/>
    <x v="0"/>
    <s v="Thursday"/>
    <x v="0"/>
    <x v="1"/>
    <s v="Regular"/>
  </r>
  <r>
    <n v="7731"/>
    <s v="MegaMart Westside"/>
    <d v="2024-05-15T00:00:00"/>
    <s v="Produce"/>
    <s v="Ground Beef"/>
    <n v="2"/>
    <n v="7.79"/>
    <n v="15.58"/>
    <s v="No Discount"/>
    <n v="0"/>
    <n v="15.58"/>
    <x v="3"/>
    <n v="2024"/>
    <n v="159"/>
    <x v="2"/>
    <s v="Wednesday"/>
    <x v="0"/>
    <x v="1"/>
    <s v="Regular"/>
  </r>
  <r>
    <n v="5066"/>
    <s v="FreshMart Downtown"/>
    <d v="2024-05-09T00:00:00"/>
    <s v="Personal Care"/>
    <s v="Salmon"/>
    <n v="1"/>
    <n v="15.55"/>
    <n v="15.55"/>
    <s v="No Discount"/>
    <n v="0"/>
    <n v="15.55"/>
    <x v="3"/>
    <n v="2024"/>
    <n v="237"/>
    <x v="0"/>
    <s v="Thursday"/>
    <x v="0"/>
    <x v="1"/>
    <s v="Regular"/>
  </r>
  <r>
    <n v="2978"/>
    <s v="FamilyFood Express"/>
    <d v="2024-09-26T00:00:00"/>
    <s v="Produce"/>
    <s v="Carrots"/>
    <n v="1"/>
    <n v="15.35"/>
    <n v="15.35"/>
    <s v="No Discount"/>
    <n v="0"/>
    <n v="15.35"/>
    <x v="1"/>
    <n v="2024"/>
    <n v="468"/>
    <x v="0"/>
    <s v="Thursday"/>
    <x v="0"/>
    <x v="1"/>
    <s v="Regular"/>
  </r>
  <r>
    <n v="1480"/>
    <s v="FreshMart Downtown"/>
    <d v="2024-04-23T00:00:00"/>
    <s v="Produce"/>
    <s v="Cereal"/>
    <n v="5"/>
    <n v="3.03"/>
    <n v="15.15"/>
    <s v="No Discount"/>
    <n v="0"/>
    <n v="15.15"/>
    <x v="9"/>
    <n v="2024"/>
    <n v="298"/>
    <x v="0"/>
    <s v="Tuesday"/>
    <x v="1"/>
    <x v="1"/>
    <s v="Regular"/>
  </r>
  <r>
    <n v="8692"/>
    <s v="ValuePlus Market"/>
    <d v="2025-04-05T00:00:00"/>
    <s v="Personal Care"/>
    <s v="Chicken Breast"/>
    <n v="1"/>
    <n v="14.97"/>
    <n v="14.97"/>
    <s v="No Discount"/>
    <n v="0"/>
    <n v="14.97"/>
    <x v="9"/>
    <n v="2025"/>
    <n v="66"/>
    <x v="3"/>
    <s v="Saturday"/>
    <x v="0"/>
    <x v="0"/>
    <s v="Regular"/>
  </r>
  <r>
    <n v="2824"/>
    <s v="GreenGrocer Plaza"/>
    <d v="2023-08-26T00:00:00"/>
    <s v="Produce"/>
    <s v="Pasta"/>
    <n v="2"/>
    <n v="7.46"/>
    <n v="14.92"/>
    <s v="No Discount"/>
    <n v="0"/>
    <n v="14.92"/>
    <x v="5"/>
    <n v="2023"/>
    <n v="377"/>
    <x v="0"/>
    <s v="Saturday"/>
    <x v="0"/>
    <x v="0"/>
    <s v="Regular"/>
  </r>
  <r>
    <n v="3869"/>
    <s v="FreshMart Downtown"/>
    <d v="2024-12-05T00:00:00"/>
    <s v="Canned Goods"/>
    <s v="Bananas"/>
    <n v="1"/>
    <n v="14.62"/>
    <n v="14.62"/>
    <s v="No Discount"/>
    <n v="0"/>
    <n v="14.62"/>
    <x v="11"/>
    <n v="2024"/>
    <n v="424"/>
    <x v="0"/>
    <s v="Thursday"/>
    <x v="0"/>
    <x v="1"/>
    <s v="Regular"/>
  </r>
  <r>
    <n v="6038"/>
    <s v="GreenGrocer Plaza"/>
    <d v="2024-02-08T00:00:00"/>
    <s v="Personal Care"/>
    <s v="Apples"/>
    <n v="2"/>
    <n v="7.27"/>
    <n v="14.54"/>
    <s v="No Discount"/>
    <n v="0"/>
    <n v="14.54"/>
    <x v="4"/>
    <n v="2024"/>
    <n v="247"/>
    <x v="0"/>
    <s v="Thursday"/>
    <x v="0"/>
    <x v="1"/>
    <s v="Regular"/>
  </r>
  <r>
    <n v="5700"/>
    <s v="MegaMart Westside"/>
    <d v="2024-01-17T00:00:00"/>
    <s v="Bakery"/>
    <s v="Milk"/>
    <n v="1"/>
    <n v="14.49"/>
    <n v="14.49"/>
    <s v="No Discount"/>
    <n v="0"/>
    <n v="14.49"/>
    <x v="8"/>
    <n v="2024"/>
    <n v="81"/>
    <x v="3"/>
    <s v="Wednesday"/>
    <x v="0"/>
    <x v="1"/>
    <s v="Regular"/>
  </r>
  <r>
    <n v="5951"/>
    <s v="QuickStop Market"/>
    <d v="2024-12-23T00:00:00"/>
    <s v="Produce"/>
    <s v="Rice"/>
    <n v="2"/>
    <n v="7.22"/>
    <n v="14.44"/>
    <s v="No Discount"/>
    <n v="0"/>
    <n v="14.44"/>
    <x v="11"/>
    <n v="2024"/>
    <n v="161"/>
    <x v="2"/>
    <s v="Monday"/>
    <x v="0"/>
    <x v="1"/>
    <s v="Regular"/>
  </r>
  <r>
    <n v="8381"/>
    <s v="FamilyFood Express"/>
    <d v="2025-07-12T00:00:00"/>
    <s v="Produce"/>
    <s v="Ground Beef"/>
    <n v="1"/>
    <n v="14.23"/>
    <n v="14.23"/>
    <s v="No Discount"/>
    <n v="0"/>
    <n v="14.23"/>
    <x v="2"/>
    <n v="2025"/>
    <n v="470"/>
    <x v="0"/>
    <s v="Saturday"/>
    <x v="0"/>
    <x v="0"/>
    <s v="Regular"/>
  </r>
  <r>
    <n v="5669"/>
    <s v="City Fresh Store"/>
    <d v="2023-12-07T00:00:00"/>
    <s v="Personal Care"/>
    <s v="Eggs"/>
    <n v="1"/>
    <n v="14.06"/>
    <n v="14.06"/>
    <s v="No Discount"/>
    <n v="0"/>
    <n v="14.06"/>
    <x v="11"/>
    <n v="2023"/>
    <n v="415"/>
    <x v="0"/>
    <s v="Thursday"/>
    <x v="0"/>
    <x v="1"/>
    <s v="Regular"/>
  </r>
  <r>
    <n v="4848"/>
    <s v="Corner Grocery"/>
    <d v="2025-01-10T00:00:00"/>
    <s v="Beverages"/>
    <s v="Tomatoes"/>
    <n v="4"/>
    <n v="3.32"/>
    <n v="13.28"/>
    <s v="No Discount"/>
    <n v="0"/>
    <n v="13.28"/>
    <x v="8"/>
    <n v="2025"/>
    <n v="493"/>
    <x v="0"/>
    <s v="Friday"/>
    <x v="1"/>
    <x v="1"/>
    <s v="Regular"/>
  </r>
  <r>
    <n v="3582"/>
    <s v="City Fresh Store"/>
    <d v="2025-04-25T00:00:00"/>
    <s v="Snacks &amp; Candy"/>
    <s v="Onions"/>
    <n v="1"/>
    <n v="13.25"/>
    <n v="13.25"/>
    <s v="No Discount"/>
    <n v="0"/>
    <n v="13.25"/>
    <x v="9"/>
    <n v="2025"/>
    <n v="300"/>
    <x v="0"/>
    <s v="Friday"/>
    <x v="0"/>
    <x v="1"/>
    <s v="Regular"/>
  </r>
  <r>
    <n v="9856"/>
    <s v="City Fresh Store"/>
    <d v="2024-04-20T00:00:00"/>
    <s v="Produce"/>
    <s v="Apples"/>
    <n v="1"/>
    <n v="13.13"/>
    <n v="13.13"/>
    <s v="No Discount"/>
    <n v="0"/>
    <n v="13.13"/>
    <x v="9"/>
    <n v="2024"/>
    <n v="391"/>
    <x v="0"/>
    <s v="Saturday"/>
    <x v="0"/>
    <x v="0"/>
    <s v="Regular"/>
  </r>
  <r>
    <n v="4921"/>
    <s v="City Fresh Store"/>
    <d v="2024-10-08T00:00:00"/>
    <s v="Household Items"/>
    <s v="Orange Juice"/>
    <n v="3"/>
    <n v="4.1900000000000004"/>
    <n v="12.57"/>
    <s v="No Discount"/>
    <n v="0"/>
    <n v="12.57"/>
    <x v="7"/>
    <n v="2024"/>
    <n v="4"/>
    <x v="1"/>
    <s v="Tuesday"/>
    <x v="1"/>
    <x v="1"/>
    <s v="Regular"/>
  </r>
  <r>
    <n v="4090"/>
    <s v="City Fresh Store"/>
    <d v="2025-01-29T00:00:00"/>
    <s v="Personal Care"/>
    <s v="Carrots"/>
    <n v="1"/>
    <n v="12.5"/>
    <n v="12.5"/>
    <s v="No Discount"/>
    <n v="0"/>
    <n v="12.5"/>
    <x v="8"/>
    <n v="2025"/>
    <n v="257"/>
    <x v="0"/>
    <s v="Wednesday"/>
    <x v="0"/>
    <x v="1"/>
    <s v="Regular"/>
  </r>
  <r>
    <n v="2560"/>
    <s v="Corner Grocery"/>
    <d v="2023-11-20T00:00:00"/>
    <s v="Meat &amp; Seafood"/>
    <s v="Cheese"/>
    <n v="2"/>
    <n v="6.05"/>
    <n v="12.1"/>
    <s v="No Discount"/>
    <n v="0"/>
    <n v="12.1"/>
    <x v="0"/>
    <n v="2023"/>
    <n v="265"/>
    <x v="0"/>
    <s v="Monday"/>
    <x v="0"/>
    <x v="1"/>
    <s v="Regular"/>
  </r>
  <r>
    <n v="8916"/>
    <s v="ValuePlus Market"/>
    <d v="2023-10-28T00:00:00"/>
    <s v="Beverages"/>
    <s v="Salmon"/>
    <n v="1"/>
    <n v="12.04"/>
    <n v="12.04"/>
    <s v="No Discount"/>
    <n v="0"/>
    <n v="12.04"/>
    <x v="7"/>
    <n v="2023"/>
    <n v="146"/>
    <x v="2"/>
    <s v="Saturday"/>
    <x v="0"/>
    <x v="0"/>
    <s v="Regular"/>
  </r>
  <r>
    <n v="6213"/>
    <s v="City Fresh Store"/>
    <d v="2025-03-07T00:00:00"/>
    <s v="Produce"/>
    <s v="Milk"/>
    <n v="3"/>
    <n v="3.98"/>
    <n v="11.94"/>
    <s v="No Discount"/>
    <n v="0"/>
    <n v="11.94"/>
    <x v="6"/>
    <n v="2025"/>
    <n v="495"/>
    <x v="0"/>
    <s v="Friday"/>
    <x v="1"/>
    <x v="1"/>
    <s v="Regular"/>
  </r>
  <r>
    <n v="3594"/>
    <s v="ValuePlus Market"/>
    <d v="2024-04-04T00:00:00"/>
    <s v="Personal Care"/>
    <s v="Tomatoes"/>
    <n v="1"/>
    <n v="11.12"/>
    <n v="11.12"/>
    <s v="No Discount"/>
    <n v="0"/>
    <n v="11.12"/>
    <x v="9"/>
    <n v="2024"/>
    <n v="452"/>
    <x v="0"/>
    <s v="Thursday"/>
    <x v="0"/>
    <x v="1"/>
    <s v="Regular"/>
  </r>
  <r>
    <n v="6143"/>
    <s v="QuickStop Market"/>
    <d v="2025-01-03T00:00:00"/>
    <s v="Produce"/>
    <s v="Rice"/>
    <n v="1"/>
    <n v="11.03"/>
    <n v="11.03"/>
    <s v="No Discount"/>
    <n v="0"/>
    <n v="11.03"/>
    <x v="8"/>
    <n v="2025"/>
    <n v="226"/>
    <x v="0"/>
    <s v="Friday"/>
    <x v="0"/>
    <x v="1"/>
    <s v="Regular"/>
  </r>
  <r>
    <n v="8430"/>
    <s v="City Fresh Store"/>
    <d v="2023-10-02T00:00:00"/>
    <s v="Beverages"/>
    <s v="Salmon"/>
    <n v="5"/>
    <n v="2.12"/>
    <n v="10.6"/>
    <s v="No Discount"/>
    <n v="0"/>
    <n v="10.6"/>
    <x v="7"/>
    <n v="2023"/>
    <n v="46"/>
    <x v="1"/>
    <s v="Monday"/>
    <x v="1"/>
    <x v="1"/>
    <s v="Regular"/>
  </r>
  <r>
    <n v="8546"/>
    <s v="Corner Grocery"/>
    <d v="2024-05-01T00:00:00"/>
    <s v="Frozen Foods"/>
    <s v="Milk"/>
    <n v="3"/>
    <n v="3.4"/>
    <n v="10.199999999999999"/>
    <s v="No Discount"/>
    <n v="0"/>
    <n v="10.199999999999999"/>
    <x v="3"/>
    <n v="2024"/>
    <n v="73"/>
    <x v="3"/>
    <s v="Wednesday"/>
    <x v="1"/>
    <x v="1"/>
    <s v="Regular"/>
  </r>
  <r>
    <n v="2063"/>
    <s v="FreshMart Downtown"/>
    <d v="2024-10-07T00:00:00"/>
    <s v="Snacks &amp; Candy"/>
    <s v="Yogurt"/>
    <n v="3"/>
    <n v="3.36"/>
    <n v="10.08"/>
    <s v="No Discount"/>
    <n v="0"/>
    <n v="10.08"/>
    <x v="7"/>
    <n v="2024"/>
    <n v="292"/>
    <x v="0"/>
    <s v="Monday"/>
    <x v="1"/>
    <x v="1"/>
    <s v="Regular"/>
  </r>
  <r>
    <n v="9022"/>
    <s v="MegaMart Westside"/>
    <d v="2025-06-09T00:00:00"/>
    <s v="Snacks &amp; Candy"/>
    <s v="Apples"/>
    <n v="1"/>
    <n v="10.07"/>
    <n v="10.07"/>
    <s v="No Discount"/>
    <n v="0"/>
    <n v="10.07"/>
    <x v="10"/>
    <n v="2025"/>
    <n v="402"/>
    <x v="0"/>
    <s v="Monday"/>
    <x v="0"/>
    <x v="1"/>
    <s v="Regular"/>
  </r>
  <r>
    <n v="7658"/>
    <s v="Unknown Store"/>
    <d v="2024-08-20T00:00:00"/>
    <s v="Dairy"/>
    <s v="Milk"/>
    <n v="4"/>
    <n v="2.46"/>
    <n v="9.84"/>
    <s v="No Discount"/>
    <n v="0"/>
    <n v="9.84"/>
    <x v="5"/>
    <n v="2024"/>
    <n v="473"/>
    <x v="0"/>
    <s v="Tuesday"/>
    <x v="1"/>
    <x v="1"/>
    <s v="Regular"/>
  </r>
  <r>
    <n v="7887"/>
    <s v="Unknown Store"/>
    <d v="2024-05-23T00:00:00"/>
    <s v="Canned Goods"/>
    <s v="Orange Juice"/>
    <n v="1"/>
    <n v="9.75"/>
    <n v="9.75"/>
    <s v="No Discount"/>
    <n v="0"/>
    <n v="9.75"/>
    <x v="3"/>
    <n v="2024"/>
    <n v="157"/>
    <x v="2"/>
    <s v="Thursday"/>
    <x v="0"/>
    <x v="1"/>
    <s v="Regular"/>
  </r>
  <r>
    <n v="6724"/>
    <s v="GreenGrocer Plaza"/>
    <d v="2024-05-05T00:00:00"/>
    <s v="Snacks &amp; Candy"/>
    <s v="Cereal"/>
    <n v="5"/>
    <n v="1.94"/>
    <n v="9.6999999999999993"/>
    <s v="No Discount"/>
    <n v="0"/>
    <n v="9.6999999999999993"/>
    <x v="3"/>
    <n v="2024"/>
    <n v="218"/>
    <x v="0"/>
    <s v="Sunday"/>
    <x v="1"/>
    <x v="0"/>
    <s v="Regular"/>
  </r>
  <r>
    <n v="7825"/>
    <s v="QuickStop Market"/>
    <d v="2023-12-30T00:00:00"/>
    <s v="Health &amp; Wellness"/>
    <s v="Eggs"/>
    <n v="1"/>
    <n v="9.65"/>
    <n v="9.65"/>
    <s v="No Discount"/>
    <n v="0"/>
    <n v="9.65"/>
    <x v="11"/>
    <n v="2023"/>
    <n v="410"/>
    <x v="0"/>
    <s v="Saturday"/>
    <x v="0"/>
    <x v="0"/>
    <s v="Regular"/>
  </r>
  <r>
    <n v="3463"/>
    <s v="FamilyFood Express"/>
    <d v="2024-04-21T00:00:00"/>
    <s v="Frozen Foods"/>
    <s v="Eggs"/>
    <n v="2"/>
    <n v="4.7699999999999996"/>
    <n v="9.5399999999999991"/>
    <s v="No Discount"/>
    <n v="0"/>
    <n v="9.5399999999999991"/>
    <x v="9"/>
    <n v="2024"/>
    <n v="40"/>
    <x v="1"/>
    <s v="Sunday"/>
    <x v="0"/>
    <x v="0"/>
    <s v="Regular"/>
  </r>
  <r>
    <n v="5128"/>
    <s v="QuickStop Market"/>
    <d v="2025-02-19T00:00:00"/>
    <s v="Produce"/>
    <s v="Chicken Breast"/>
    <n v="2"/>
    <n v="4.72"/>
    <n v="9.44"/>
    <s v="No Discount"/>
    <n v="0"/>
    <n v="9.44"/>
    <x v="4"/>
    <n v="2025"/>
    <n v="355"/>
    <x v="0"/>
    <s v="Wednesday"/>
    <x v="0"/>
    <x v="1"/>
    <s v="Regular"/>
  </r>
  <r>
    <n v="7121"/>
    <s v="Corner Grocery"/>
    <d v="2024-06-24T00:00:00"/>
    <s v="Canned Goods"/>
    <s v="Salmon"/>
    <n v="1"/>
    <n v="9.31"/>
    <n v="9.31"/>
    <s v="No Discount"/>
    <n v="0"/>
    <n v="9.31"/>
    <x v="10"/>
    <n v="2024"/>
    <n v="79"/>
    <x v="3"/>
    <s v="Monday"/>
    <x v="0"/>
    <x v="1"/>
    <s v="Regular"/>
  </r>
  <r>
    <n v="2988"/>
    <s v="FamilyFood Express"/>
    <d v="2024-07-26T00:00:00"/>
    <s v="Canned Goods"/>
    <s v="Cereal"/>
    <n v="4"/>
    <n v="2.3199999999999998"/>
    <n v="9.2799999999999994"/>
    <s v="No Discount"/>
    <n v="0"/>
    <n v="9.2799999999999994"/>
    <x v="2"/>
    <n v="2024"/>
    <n v="442"/>
    <x v="0"/>
    <s v="Friday"/>
    <x v="1"/>
    <x v="1"/>
    <s v="Regular"/>
  </r>
  <r>
    <n v="7703"/>
    <s v="QuickStop Market"/>
    <d v="2025-01-10T00:00:00"/>
    <s v="Dairy"/>
    <s v="Apples"/>
    <n v="4"/>
    <n v="2.2799999999999998"/>
    <n v="9.1199999999999992"/>
    <s v="No Discount"/>
    <n v="0"/>
    <n v="9.1199999999999992"/>
    <x v="8"/>
    <n v="2025"/>
    <n v="311"/>
    <x v="0"/>
    <s v="Friday"/>
    <x v="1"/>
    <x v="1"/>
    <s v="Regular"/>
  </r>
  <r>
    <n v="1901"/>
    <s v="MegaMart Westside"/>
    <d v="2024-04-03T00:00:00"/>
    <s v="Canned Goods"/>
    <s v="Bread"/>
    <n v="3"/>
    <n v="2.99"/>
    <n v="8.9700000000000006"/>
    <s v="No Discount"/>
    <n v="0"/>
    <n v="8.9700000000000006"/>
    <x v="9"/>
    <n v="2024"/>
    <n v="69"/>
    <x v="3"/>
    <s v="Wednesday"/>
    <x v="1"/>
    <x v="1"/>
    <s v="Regular"/>
  </r>
  <r>
    <n v="3267"/>
    <s v="QuickStop Market"/>
    <d v="2023-12-02T00:00:00"/>
    <s v="Bakery"/>
    <s v="Bread"/>
    <n v="1"/>
    <n v="8.76"/>
    <n v="8.76"/>
    <s v="No Discount"/>
    <n v="0"/>
    <n v="8.76"/>
    <x v="11"/>
    <n v="2023"/>
    <n v="194"/>
    <x v="2"/>
    <s v="Saturday"/>
    <x v="0"/>
    <x v="0"/>
    <s v="Regular"/>
  </r>
  <r>
    <n v="2622"/>
    <s v="ValuePlus Market"/>
    <d v="2025-05-15T00:00:00"/>
    <s v="Bakery"/>
    <s v="Ground Beef"/>
    <n v="1"/>
    <n v="8.7100000000000009"/>
    <n v="8.7100000000000009"/>
    <s v="No Discount"/>
    <n v="0"/>
    <n v="8.7100000000000009"/>
    <x v="3"/>
    <n v="2025"/>
    <n v="220"/>
    <x v="0"/>
    <s v="Thursday"/>
    <x v="0"/>
    <x v="1"/>
    <s v="Regular"/>
  </r>
  <r>
    <n v="1132"/>
    <s v="Corner Grocery"/>
    <d v="2024-10-19T00:00:00"/>
    <s v="Personal Care"/>
    <s v="Bread"/>
    <n v="1"/>
    <n v="8.6"/>
    <n v="8.6"/>
    <s v="No Discount"/>
    <n v="0"/>
    <n v="8.6"/>
    <x v="7"/>
    <n v="2024"/>
    <n v="79"/>
    <x v="3"/>
    <s v="Saturday"/>
    <x v="0"/>
    <x v="0"/>
    <s v="Regular"/>
  </r>
  <r>
    <n v="4361"/>
    <s v="ValuePlus Market"/>
    <d v="2024-09-21T00:00:00"/>
    <s v="Snacks &amp; Candy"/>
    <s v="Yogurt"/>
    <n v="2"/>
    <n v="4.26"/>
    <n v="8.52"/>
    <s v="No Discount"/>
    <n v="0"/>
    <n v="8.52"/>
    <x v="1"/>
    <n v="2024"/>
    <n v="198"/>
    <x v="2"/>
    <s v="Saturday"/>
    <x v="0"/>
    <x v="0"/>
    <s v="Regular"/>
  </r>
  <r>
    <n v="6658"/>
    <s v="Unknown Store"/>
    <d v="2024-06-11T00:00:00"/>
    <s v="Snacks &amp; Candy"/>
    <s v="Yogurt"/>
    <n v="4"/>
    <n v="2.09"/>
    <n v="8.36"/>
    <s v="No Discount"/>
    <n v="0"/>
    <n v="8.36"/>
    <x v="10"/>
    <n v="2024"/>
    <n v="128"/>
    <x v="2"/>
    <s v="Tuesday"/>
    <x v="1"/>
    <x v="1"/>
    <s v="Regular"/>
  </r>
  <r>
    <n v="8511"/>
    <s v="ValuePlus Market"/>
    <d v="2024-12-12T00:00:00"/>
    <s v="Meat &amp; Seafood"/>
    <s v="Orange Juice"/>
    <n v="2"/>
    <n v="3.89"/>
    <n v="7.78"/>
    <s v="No Discount"/>
    <n v="0"/>
    <n v="7.78"/>
    <x v="11"/>
    <n v="2024"/>
    <n v="84"/>
    <x v="3"/>
    <s v="Thursday"/>
    <x v="0"/>
    <x v="1"/>
    <s v="Regular"/>
  </r>
  <r>
    <n v="3948"/>
    <s v="City Fresh Store"/>
    <d v="2025-03-26T00:00:00"/>
    <s v="Health &amp; Wellness"/>
    <s v="Chicken Breast"/>
    <n v="1"/>
    <n v="7.33"/>
    <n v="7.33"/>
    <s v="No Discount"/>
    <n v="0"/>
    <n v="7.33"/>
    <x v="6"/>
    <n v="2025"/>
    <n v="96"/>
    <x v="3"/>
    <s v="Wednesday"/>
    <x v="0"/>
    <x v="1"/>
    <s v="Regular"/>
  </r>
  <r>
    <n v="9047"/>
    <s v="FreshMart Downtown"/>
    <d v="2024-01-09T00:00:00"/>
    <s v="Frozen Foods"/>
    <s v="Orange Juice"/>
    <n v="2"/>
    <n v="3.6"/>
    <n v="7.2"/>
    <s v="No Discount"/>
    <n v="0"/>
    <n v="7.2"/>
    <x v="8"/>
    <n v="2024"/>
    <n v="314"/>
    <x v="0"/>
    <s v="Tuesday"/>
    <x v="0"/>
    <x v="1"/>
    <s v="Regular"/>
  </r>
  <r>
    <n v="6447"/>
    <s v="GreenGrocer Plaza"/>
    <d v="2023-11-18T00:00:00"/>
    <s v="Produce"/>
    <s v="Yogurt"/>
    <n v="1"/>
    <n v="7.06"/>
    <n v="7.06"/>
    <s v="No Discount"/>
    <n v="0"/>
    <n v="7.06"/>
    <x v="0"/>
    <n v="2023"/>
    <n v="332"/>
    <x v="0"/>
    <s v="Saturday"/>
    <x v="0"/>
    <x v="0"/>
    <s v="Regular"/>
  </r>
  <r>
    <n v="2133"/>
    <s v="Corner Grocery"/>
    <d v="2025-05-04T00:00:00"/>
    <s v="Snacks &amp; Candy"/>
    <s v="Milk"/>
    <n v="1"/>
    <n v="6.59"/>
    <n v="6.59"/>
    <s v="No Discount"/>
    <n v="0"/>
    <n v="6.59"/>
    <x v="3"/>
    <n v="2025"/>
    <n v="389"/>
    <x v="0"/>
    <s v="Sunday"/>
    <x v="0"/>
    <x v="0"/>
    <s v="Regular"/>
  </r>
  <r>
    <n v="6411"/>
    <s v="FamilyFood Express"/>
    <d v="2025-02-14T00:00:00"/>
    <s v="Dairy"/>
    <s v="Yogurt"/>
    <n v="3"/>
    <n v="2.16"/>
    <n v="6.48"/>
    <s v="No Discount"/>
    <n v="0"/>
    <n v="6.48"/>
    <x v="4"/>
    <n v="2025"/>
    <n v="202"/>
    <x v="0"/>
    <s v="Friday"/>
    <x v="1"/>
    <x v="1"/>
    <s v="Regular"/>
  </r>
  <r>
    <n v="3880"/>
    <s v="Corner Grocery"/>
    <d v="2025-08-01T00:00:00"/>
    <s v="Bakery"/>
    <s v="Cereal"/>
    <n v="1"/>
    <n v="6.26"/>
    <n v="6.26"/>
    <s v="No Discount"/>
    <n v="0"/>
    <n v="6.26"/>
    <x v="5"/>
    <n v="2025"/>
    <n v="0"/>
    <x v="1"/>
    <s v="Friday"/>
    <x v="0"/>
    <x v="1"/>
    <s v="Regular"/>
  </r>
  <r>
    <n v="5890"/>
    <s v="Unknown Store"/>
    <d v="2024-01-28T00:00:00"/>
    <s v="Meat &amp; Seafood"/>
    <s v="Onions"/>
    <n v="2"/>
    <n v="3.04"/>
    <n v="6.08"/>
    <s v="No Discount"/>
    <n v="0"/>
    <n v="6.08"/>
    <x v="8"/>
    <n v="2024"/>
    <n v="375"/>
    <x v="0"/>
    <s v="Sunday"/>
    <x v="0"/>
    <x v="0"/>
    <s v="Regular"/>
  </r>
  <r>
    <n v="3293"/>
    <s v="ValuePlus Market"/>
    <d v="2025-02-16T00:00:00"/>
    <s v="Snacks &amp; Candy"/>
    <s v="Carrots"/>
    <n v="1"/>
    <n v="6.05"/>
    <n v="6.05"/>
    <s v="No Discount"/>
    <n v="0"/>
    <n v="6.05"/>
    <x v="4"/>
    <n v="2025"/>
    <n v="77"/>
    <x v="3"/>
    <s v="Sunday"/>
    <x v="0"/>
    <x v="0"/>
    <s v="Regular"/>
  </r>
  <r>
    <n v="7930"/>
    <s v="FamilyFood Express"/>
    <d v="2025-01-29T00:00:00"/>
    <s v="Household Items"/>
    <s v="Cereal"/>
    <n v="1"/>
    <n v="6.04"/>
    <n v="6.04"/>
    <s v="No Discount"/>
    <n v="0"/>
    <n v="6.04"/>
    <x v="8"/>
    <n v="2025"/>
    <n v="26"/>
    <x v="1"/>
    <s v="Wednesday"/>
    <x v="0"/>
    <x v="1"/>
    <s v="Regular"/>
  </r>
  <r>
    <n v="5794"/>
    <s v="GreenGrocer Plaza"/>
    <d v="2024-03-18T00:00:00"/>
    <s v="Health &amp; Wellness"/>
    <s v="Tomatoes"/>
    <n v="4"/>
    <n v="1.45"/>
    <n v="5.8"/>
    <s v="No Discount"/>
    <n v="0"/>
    <n v="5.8"/>
    <x v="6"/>
    <n v="2024"/>
    <n v="493"/>
    <x v="0"/>
    <s v="Monday"/>
    <x v="1"/>
    <x v="1"/>
    <s v="Regular"/>
  </r>
  <r>
    <n v="3165"/>
    <s v="FreshMart Downtown"/>
    <d v="2024-08-12T00:00:00"/>
    <s v="Canned Goods"/>
    <s v="Potatoes"/>
    <n v="2"/>
    <n v="2.84"/>
    <n v="5.68"/>
    <s v="No Discount"/>
    <n v="0"/>
    <n v="5.68"/>
    <x v="5"/>
    <n v="2024"/>
    <n v="181"/>
    <x v="2"/>
    <s v="Monday"/>
    <x v="0"/>
    <x v="1"/>
    <s v="Regular"/>
  </r>
  <r>
    <n v="4570"/>
    <s v="MegaMart Westside"/>
    <d v="2024-10-29T00:00:00"/>
    <s v="Snacks &amp; Candy"/>
    <s v="Potatoes"/>
    <n v="2"/>
    <n v="2.56"/>
    <n v="5.12"/>
    <s v="No Discount"/>
    <n v="0"/>
    <n v="5.12"/>
    <x v="7"/>
    <n v="2024"/>
    <n v="444"/>
    <x v="0"/>
    <s v="Tuesday"/>
    <x v="0"/>
    <x v="1"/>
    <s v="Regular"/>
  </r>
  <r>
    <n v="9083"/>
    <s v="SuperSave Central"/>
    <d v="2025-03-29T00:00:00"/>
    <s v="Beverages"/>
    <s v="Bread"/>
    <n v="1"/>
    <n v="5.05"/>
    <n v="5.05"/>
    <s v="No Discount"/>
    <n v="0"/>
    <n v="5.05"/>
    <x v="6"/>
    <n v="2025"/>
    <n v="52"/>
    <x v="3"/>
    <s v="Saturday"/>
    <x v="0"/>
    <x v="0"/>
    <s v="Regular"/>
  </r>
  <r>
    <n v="2876"/>
    <s v="QuickStop Market"/>
    <d v="2025-04-02T00:00:00"/>
    <s v="Dairy"/>
    <s v="Orange Juice"/>
    <n v="2"/>
    <n v="2.4900000000000002"/>
    <n v="4.9800000000000004"/>
    <s v="No Discount"/>
    <n v="0"/>
    <n v="4.9800000000000004"/>
    <x v="9"/>
    <n v="2025"/>
    <n v="320"/>
    <x v="0"/>
    <s v="Wednesday"/>
    <x v="0"/>
    <x v="1"/>
    <s v="Regular"/>
  </r>
  <r>
    <n v="5920"/>
    <s v="GreenGrocer Plaza"/>
    <d v="2024-09-03T00:00:00"/>
    <s v="Household Items"/>
    <s v="Ground Beef"/>
    <n v="2"/>
    <n v="2.46"/>
    <n v="4.92"/>
    <s v="No Discount"/>
    <n v="0"/>
    <n v="4.92"/>
    <x v="1"/>
    <n v="2024"/>
    <n v="463"/>
    <x v="0"/>
    <s v="Tuesday"/>
    <x v="0"/>
    <x v="1"/>
    <s v="Regular"/>
  </r>
  <r>
    <n v="9543"/>
    <s v="ValuePlus Market"/>
    <d v="2024-03-28T00:00:00"/>
    <s v="Frozen Foods"/>
    <s v="Onions"/>
    <n v="2"/>
    <n v="2.41"/>
    <n v="4.82"/>
    <s v="No Discount"/>
    <n v="0"/>
    <n v="4.82"/>
    <x v="6"/>
    <n v="2024"/>
    <n v="75"/>
    <x v="3"/>
    <s v="Thursday"/>
    <x v="0"/>
    <x v="1"/>
    <s v="Regular"/>
  </r>
  <r>
    <n v="7229"/>
    <s v="FamilyFood Express"/>
    <d v="2023-11-29T00:00:00"/>
    <s v="Personal Care"/>
    <s v="Tomatoes"/>
    <n v="1"/>
    <n v="4.79"/>
    <n v="4.79"/>
    <s v="No Discount"/>
    <n v="0"/>
    <n v="4.79"/>
    <x v="0"/>
    <n v="2023"/>
    <n v="385"/>
    <x v="0"/>
    <s v="Wednesday"/>
    <x v="0"/>
    <x v="1"/>
    <s v="Regular"/>
  </r>
  <r>
    <n v="5949"/>
    <s v="ValuePlus Market"/>
    <d v="2024-01-08T00:00:00"/>
    <s v="Personal Care"/>
    <s v="Pasta"/>
    <n v="3"/>
    <n v="1.57"/>
    <n v="4.71"/>
    <s v="No Discount"/>
    <n v="0"/>
    <n v="4.71"/>
    <x v="8"/>
    <n v="2024"/>
    <n v="62"/>
    <x v="3"/>
    <s v="Monday"/>
    <x v="1"/>
    <x v="1"/>
    <s v="Regular"/>
  </r>
  <r>
    <n v="2232"/>
    <s v="GreenGrocer Plaza"/>
    <d v="2025-06-22T00:00:00"/>
    <s v="Household Items"/>
    <s v="Cereal"/>
    <n v="2"/>
    <n v="2.2799999999999998"/>
    <n v="4.5599999999999996"/>
    <s v="No Discount"/>
    <n v="0"/>
    <n v="4.5599999999999996"/>
    <x v="10"/>
    <n v="2025"/>
    <n v="279"/>
    <x v="0"/>
    <s v="Sunday"/>
    <x v="0"/>
    <x v="0"/>
    <s v="Regular"/>
  </r>
  <r>
    <n v="5961"/>
    <s v="GreenGrocer Plaza"/>
    <d v="2024-02-10T00:00:00"/>
    <s v="Household Items"/>
    <s v="Salmon"/>
    <n v="1"/>
    <n v="4.3600000000000003"/>
    <n v="4.3600000000000003"/>
    <s v="No Discount"/>
    <n v="0"/>
    <n v="4.3600000000000003"/>
    <x v="4"/>
    <n v="2024"/>
    <n v="46"/>
    <x v="1"/>
    <s v="Saturday"/>
    <x v="0"/>
    <x v="0"/>
    <s v="Regular"/>
  </r>
  <r>
    <n v="5386"/>
    <s v="QuickStop Market"/>
    <d v="2023-09-27T00:00:00"/>
    <s v="Meat &amp; Seafood"/>
    <s v="Pasta"/>
    <n v="1"/>
    <n v="4.13"/>
    <n v="4.13"/>
    <s v="No Discount"/>
    <n v="0"/>
    <n v="4.13"/>
    <x v="1"/>
    <n v="2023"/>
    <n v="222"/>
    <x v="0"/>
    <s v="Wednesday"/>
    <x v="0"/>
    <x v="1"/>
    <s v="Regular"/>
  </r>
  <r>
    <n v="8245"/>
    <s v="FreshMart Downtown"/>
    <d v="2025-07-18T00:00:00"/>
    <s v="Dairy"/>
    <s v="Pasta"/>
    <n v="3"/>
    <n v="1.35"/>
    <n v="4.05"/>
    <s v="No Discount"/>
    <n v="0"/>
    <n v="4.05"/>
    <x v="2"/>
    <n v="2025"/>
    <n v="444"/>
    <x v="0"/>
    <s v="Friday"/>
    <x v="1"/>
    <x v="1"/>
    <s v="Regular"/>
  </r>
  <r>
    <n v="7511"/>
    <s v="QuickStop Market"/>
    <d v="2025-05-24T00:00:00"/>
    <s v="Personal Care"/>
    <s v="Orange Juice"/>
    <n v="4"/>
    <n v="1.01"/>
    <n v="4.04"/>
    <s v="No Discount"/>
    <n v="0"/>
    <n v="4.04"/>
    <x v="3"/>
    <n v="2025"/>
    <n v="326"/>
    <x v="0"/>
    <s v="Saturday"/>
    <x v="1"/>
    <x v="0"/>
    <s v="Regular"/>
  </r>
  <r>
    <n v="3324"/>
    <s v="MegaMart Westside"/>
    <d v="2025-03-04T00:00:00"/>
    <s v="Frozen Foods"/>
    <s v="Rice"/>
    <n v="2"/>
    <n v="2.0099999999999998"/>
    <n v="4.0199999999999996"/>
    <s v="No Discount"/>
    <n v="0"/>
    <n v="4.0199999999999996"/>
    <x v="6"/>
    <n v="2025"/>
    <n v="472"/>
    <x v="0"/>
    <s v="Tuesday"/>
    <x v="0"/>
    <x v="1"/>
    <s v="Regular"/>
  </r>
  <r>
    <n v="7118"/>
    <s v="MegaMart Westside"/>
    <d v="2024-07-12T00:00:00"/>
    <s v="Household Items"/>
    <s v="Pasta"/>
    <n v="1"/>
    <n v="3.64"/>
    <n v="3.64"/>
    <s v="No Discount"/>
    <n v="0"/>
    <n v="3.64"/>
    <x v="2"/>
    <n v="2024"/>
    <n v="492"/>
    <x v="0"/>
    <s v="Friday"/>
    <x v="0"/>
    <x v="1"/>
    <s v="Regular"/>
  </r>
  <r>
    <n v="7018"/>
    <s v="QuickStop Market"/>
    <d v="2024-10-02T00:00:00"/>
    <s v="Produce"/>
    <s v="Salmon"/>
    <n v="1"/>
    <n v="2.92"/>
    <n v="2.92"/>
    <s v="No Discount"/>
    <n v="0"/>
    <n v="2.92"/>
    <x v="7"/>
    <n v="2024"/>
    <n v="338"/>
    <x v="0"/>
    <s v="Wednesday"/>
    <x v="0"/>
    <x v="1"/>
    <s v="Regular"/>
  </r>
  <r>
    <n v="3577"/>
    <s v="QuickStop Market"/>
    <d v="2024-02-21T00:00:00"/>
    <s v="Frozen Foods"/>
    <s v="Apples"/>
    <n v="1"/>
    <n v="2.78"/>
    <n v="2.78"/>
    <s v="No Discount"/>
    <n v="0"/>
    <n v="2.78"/>
    <x v="4"/>
    <n v="2024"/>
    <n v="252"/>
    <x v="0"/>
    <s v="Wednesday"/>
    <x v="0"/>
    <x v="1"/>
    <s v="Regular"/>
  </r>
  <r>
    <n v="5835"/>
    <s v="Unknown Store"/>
    <d v="2025-03-08T00:00:00"/>
    <s v="Health &amp; Wellness"/>
    <s v="Cereal"/>
    <n v="1"/>
    <n v="2.72"/>
    <n v="2.72"/>
    <s v="No Discount"/>
    <n v="0"/>
    <n v="2.72"/>
    <x v="6"/>
    <n v="2025"/>
    <n v="330"/>
    <x v="0"/>
    <s v="Saturday"/>
    <x v="0"/>
    <x v="0"/>
    <s v="Regular"/>
  </r>
  <r>
    <n v="7112"/>
    <s v="MegaMart Westside"/>
    <d v="2024-06-17T00:00:00"/>
    <s v="Personal Care"/>
    <s v="Carrots"/>
    <n v="1"/>
    <n v="2.56"/>
    <n v="2.56"/>
    <s v="No Discount"/>
    <n v="0"/>
    <n v="2.56"/>
    <x v="10"/>
    <n v="2024"/>
    <n v="461"/>
    <x v="0"/>
    <s v="Monday"/>
    <x v="0"/>
    <x v="1"/>
    <s v="Regular"/>
  </r>
  <r>
    <n v="3067"/>
    <s v="QuickStop Market"/>
    <d v="2024-03-07T00:00:00"/>
    <s v="Bakery"/>
    <s v="Bananas"/>
    <n v="1"/>
    <n v="1.69"/>
    <n v="1.69"/>
    <s v="No Discount"/>
    <n v="0"/>
    <n v="1.69"/>
    <x v="6"/>
    <n v="2024"/>
    <n v="320"/>
    <x v="0"/>
    <s v="Thursday"/>
    <x v="0"/>
    <x v="1"/>
    <s v="Regular"/>
  </r>
  <r>
    <n v="8259"/>
    <s v="ValuePlus Market"/>
    <d v="2025-01-02T00:00:00"/>
    <s v="Produce"/>
    <s v="Bananas"/>
    <n v="1"/>
    <n v="1.34"/>
    <n v="1.34"/>
    <s v="No Discount"/>
    <n v="0"/>
    <n v="1.34"/>
    <x v="8"/>
    <n v="2025"/>
    <n v="50"/>
    <x v="3"/>
    <s v="Thursday"/>
    <x v="0"/>
    <x v="1"/>
    <s v="Regular"/>
  </r>
  <r>
    <m/>
    <m/>
    <m/>
    <m/>
    <m/>
    <m/>
    <m/>
    <m/>
    <m/>
    <m/>
    <m/>
    <x v="12"/>
    <m/>
    <m/>
    <x v="4"/>
    <m/>
    <x v="2"/>
    <x v="2"/>
    <s v="Regular"/>
  </r>
  <r>
    <m/>
    <m/>
    <m/>
    <m/>
    <m/>
    <m/>
    <m/>
    <m/>
    <m/>
    <m/>
    <m/>
    <x v="12"/>
    <m/>
    <m/>
    <x v="4"/>
    <m/>
    <x v="2"/>
    <x v="2"/>
    <s v="Regul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1C48F-CF68-4603-B0EC-BF0EF02AC23A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Final_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6D393-F8CB-4A98-B19F-0872ADF6CFDF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9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inal_Amount" fld="10" baseField="0" baseItem="0"/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30BAD-FECC-42FE-AD5A-77AE83BA53AE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9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inal_Amount" fld="10" baseField="0" baseItem="0"/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92093-4734-456A-AE0E-A6B633A4C172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4">
        <item x="8"/>
        <item x="4"/>
        <item x="6"/>
        <item x="9"/>
        <item x="3"/>
        <item x="10"/>
        <item x="2"/>
        <item x="5"/>
        <item x="1"/>
        <item x="7"/>
        <item x="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Final_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C4DF00-0981-4586-852C-9A106409E253}" name="Table1" displayName="Table1" ref="A1:S1983" totalsRowShown="0">
  <autoFilter ref="A1:S1983" xr:uid="{F5C4DF00-0981-4586-852C-9A106409E253}">
    <filterColumn colId="4">
      <customFilters>
        <customFilter operator="notEqual" val=" "/>
      </customFilters>
    </filterColumn>
  </autoFilter>
  <tableColumns count="19">
    <tableColumn id="1" xr3:uid="{1D84EF0E-F7C2-4DA7-9D55-A02A7ECA636C}" name="Customer_ID"/>
    <tableColumn id="2" xr3:uid="{40F03747-5B10-4291-A650-F2F3123B9933}" name="Store_Name"/>
    <tableColumn id="3" xr3:uid="{C7757042-EC61-4B55-A0A1-D2C186EE4BF1}" name="Transaction_Date" dataDxfId="8"/>
    <tableColumn id="4" xr3:uid="{24D09EDB-89C8-4510-BA8E-35C9E46FD0EB}" name="Aisle"/>
    <tableColumn id="5" xr3:uid="{3EAFE0E9-1872-47A1-96AE-9B9C2BF333C7}" name="Product_Name"/>
    <tableColumn id="6" xr3:uid="{948EBF20-304C-4654-873B-C35DB45C4A79}" name="Quantity"/>
    <tableColumn id="7" xr3:uid="{50B016F8-C51B-4309-A4DA-414EFA9796EB}" name="Unit_Price"/>
    <tableColumn id="8" xr3:uid="{2935FD74-5D19-43D0-9A7E-34B039FA8969}" name="Total_Amount"/>
    <tableColumn id="21" xr3:uid="{19E9A2C9-B223-4D19-AE9D-1F172436AE43}" name="Discount Category" dataDxfId="2">
      <calculatedColumnFormula>IF(J2=0,"No Discount",IF(J2&lt;=5,"Low",IF(J2&lt;=10,"Medium",IF(J2&lt;=20,"High","Very High"))))</calculatedColumnFormula>
    </tableColumn>
    <tableColumn id="9" xr3:uid="{91992066-F743-4BC2-B42F-B19A517402C9}" name="Discount_Amount"/>
    <tableColumn id="10" xr3:uid="{E39607FC-E796-43CD-B441-EA99238C91FC}" name="Final_Amount">
      <calculatedColumnFormula>MAX(0,H2-J2)</calculatedColumnFormula>
    </tableColumn>
    <tableColumn id="22" xr3:uid="{3CE93E22-332B-4B84-975F-49938998C930}" name="Sales Month" dataDxfId="1">
      <calculatedColumnFormula>MONTH(C2)</calculatedColumnFormula>
    </tableColumn>
    <tableColumn id="14" xr3:uid="{42962B94-BACE-4751-9EAF-4A0784415C50}" name="Sales Year" dataDxfId="7">
      <calculatedColumnFormula>YEAR(C2)</calculatedColumnFormula>
    </tableColumn>
    <tableColumn id="11" xr3:uid="{82B68293-1024-4945-B0FE-2135479F7E3F}" name="Loyalty_Points"/>
    <tableColumn id="17" xr3:uid="{514EEB79-673C-49DC-B4FA-7593814CC93A}" name="Customer Type" dataDxfId="6">
      <calculatedColumnFormula>IF(N2&gt;=200,"Platinum",IF(N2&gt;=100,"Gold",IF(N2&gt;=50,"Silver","Regular")))</calculatedColumnFormula>
    </tableColumn>
    <tableColumn id="18" xr3:uid="{155BE360-E7F3-4A2B-B03E-C8289E9477A6}" name="Weekday" dataDxfId="5">
      <calculatedColumnFormula>TEXT(C2,"dddd")</calculatedColumnFormula>
    </tableColumn>
    <tableColumn id="19" xr3:uid="{5D459154-4420-4B40-9B64-087EB363838A}" name="Order Type" dataDxfId="4">
      <calculatedColumnFormula>IF(F2&lt;=2,"Small Order",IF(F2&lt;=5,"Medium Order",IF(F2&lt;=10,"Large Order","Bulk Order")))</calculatedColumnFormula>
    </tableColumn>
    <tableColumn id="20" xr3:uid="{9DD579D2-9861-4DAE-B965-C1C9BE449FEE}" name="Weekend/Weekday" dataDxfId="3">
      <calculatedColumnFormula>IF(WEEKDAY(C2,2)&gt;5,"Weekend","Weekday")</calculatedColumnFormula>
    </tableColumn>
    <tableColumn id="23" xr3:uid="{54FF4C7C-243B-4103-B523-3B9994F5767A}" name="High Value Order" dataDxfId="0">
      <calculatedColumnFormula>IF(K2&gt;=100,"High Value","Regular")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91E1-CF68-4D68-B7A6-43E14AABFDA9}">
  <dimension ref="A1:T1983"/>
  <sheetViews>
    <sheetView tabSelected="1" topLeftCell="B1" zoomScaleNormal="100" workbookViewId="0">
      <selection activeCell="D20" sqref="D20"/>
    </sheetView>
  </sheetViews>
  <sheetFormatPr defaultRowHeight="14.4" x14ac:dyDescent="0.3"/>
  <cols>
    <col min="1" max="1" width="15.44140625" customWidth="1"/>
    <col min="2" max="2" width="19.5546875" customWidth="1"/>
    <col min="3" max="3" width="19.77734375" customWidth="1"/>
    <col min="4" max="4" width="15.33203125" customWidth="1"/>
    <col min="5" max="5" width="17.21875" customWidth="1"/>
    <col min="6" max="6" width="9.77734375" customWidth="1"/>
    <col min="7" max="7" width="14.109375" customWidth="1"/>
    <col min="8" max="8" width="17.77734375" customWidth="1"/>
    <col min="9" max="9" width="17.44140625" customWidth="1"/>
    <col min="10" max="10" width="17.88671875" customWidth="1"/>
    <col min="11" max="11" width="17.109375" customWidth="1"/>
    <col min="12" max="12" width="15.21875" customWidth="1"/>
    <col min="13" max="13" width="20.77734375" customWidth="1"/>
    <col min="14" max="14" width="17.21875" customWidth="1"/>
    <col min="15" max="15" width="15.5546875" customWidth="1"/>
    <col min="16" max="16" width="20.109375" customWidth="1"/>
    <col min="17" max="17" width="23.109375" customWidth="1"/>
    <col min="18" max="18" width="19" customWidth="1"/>
    <col min="19" max="19" width="19.21875" customWidth="1"/>
  </cols>
  <sheetData>
    <row r="1" spans="1:20" x14ac:dyDescent="0.3">
      <c r="A1" s="2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51</v>
      </c>
      <c r="J1" t="s">
        <v>46</v>
      </c>
      <c r="K1" t="s">
        <v>47</v>
      </c>
      <c r="L1" t="s">
        <v>56</v>
      </c>
      <c r="M1" t="s">
        <v>50</v>
      </c>
      <c r="N1" t="s">
        <v>48</v>
      </c>
      <c r="O1" t="s">
        <v>52</v>
      </c>
      <c r="P1" t="s">
        <v>53</v>
      </c>
      <c r="Q1" t="s">
        <v>54</v>
      </c>
      <c r="R1" t="s">
        <v>55</v>
      </c>
      <c r="S1" t="s">
        <v>57</v>
      </c>
      <c r="T1" s="3"/>
    </row>
    <row r="2" spans="1:20" x14ac:dyDescent="0.3">
      <c r="A2">
        <v>7022</v>
      </c>
      <c r="B2" t="s">
        <v>20</v>
      </c>
      <c r="C2" s="1">
        <v>45234</v>
      </c>
      <c r="D2" t="s">
        <v>11</v>
      </c>
      <c r="E2" t="s">
        <v>7</v>
      </c>
      <c r="F2">
        <v>1</v>
      </c>
      <c r="G2">
        <v>1.01</v>
      </c>
      <c r="H2">
        <v>1.01</v>
      </c>
      <c r="I2" t="str">
        <f t="shared" ref="I2:I65" si="0">IF(J2=0,"No Discount",IF(J2&lt;=5,"Low",IF(J2&lt;=10,"Medium",IF(J2&lt;=20,"High","Very High"))))</f>
        <v>Low</v>
      </c>
      <c r="J2">
        <v>4.4400000000000004</v>
      </c>
      <c r="K2">
        <f>MAX(0,H2-J2)</f>
        <v>0</v>
      </c>
      <c r="L2" t="str">
        <f>TEXT(C2,"mmmm")</f>
        <v>November</v>
      </c>
      <c r="M2">
        <f>YEAR(C2)</f>
        <v>2023</v>
      </c>
      <c r="N2">
        <v>286</v>
      </c>
      <c r="O2" t="str">
        <f>IF(N2&gt;=200,"Platinum",IF(N2&gt;=100,"Gold",IF(N2&gt;=50,"Silver","Regular")))</f>
        <v>Platinum</v>
      </c>
      <c r="P2" s="4" t="str">
        <f t="shared" ref="P2:P65" si="1">TEXT(C2,"dddd")</f>
        <v>Saturday</v>
      </c>
      <c r="Q2" s="4" t="str">
        <f t="shared" ref="Q2:Q65" si="2">IF(F2&lt;=2,"Small Order",IF(F2&lt;=5,"Medium Order",IF(F2&lt;=10,"Large Order","Bulk Order")))</f>
        <v>Small Order</v>
      </c>
      <c r="R2" s="4" t="str">
        <f t="shared" ref="R2:R65" si="3">IF(WEEKDAY(C2,2)&gt;5,"Weekend","Weekday")</f>
        <v>Weekend</v>
      </c>
      <c r="S2" s="4" t="str">
        <f t="shared" ref="S2:S65" si="4">IF(K2&gt;=100,"High Value","Regular")</f>
        <v>Regular</v>
      </c>
    </row>
    <row r="3" spans="1:20" x14ac:dyDescent="0.3">
      <c r="A3">
        <v>8205</v>
      </c>
      <c r="B3" t="s">
        <v>20</v>
      </c>
      <c r="C3" s="1">
        <v>45198</v>
      </c>
      <c r="D3" t="s">
        <v>24</v>
      </c>
      <c r="E3" t="s">
        <v>33</v>
      </c>
      <c r="F3">
        <v>1</v>
      </c>
      <c r="G3">
        <v>1.63</v>
      </c>
      <c r="H3">
        <v>1.63</v>
      </c>
      <c r="I3" t="str">
        <f t="shared" si="0"/>
        <v>Low</v>
      </c>
      <c r="J3">
        <v>3.58</v>
      </c>
      <c r="K3">
        <f t="shared" ref="K3:K66" si="5">MAX(0,H3-J3)</f>
        <v>0</v>
      </c>
      <c r="L3" t="str">
        <f t="shared" ref="L3:L66" si="6">TEXT(C3,"mmmm")</f>
        <v>September</v>
      </c>
      <c r="M3">
        <f>YEAR(C3)</f>
        <v>2023</v>
      </c>
      <c r="N3">
        <v>410</v>
      </c>
      <c r="O3" t="str">
        <f>IF(N3&gt;=200,"Platinum",IF(N3&gt;=100,"Gold",IF(N3&gt;=50,"Silver","Regular")))</f>
        <v>Platinum</v>
      </c>
      <c r="P3" s="4" t="str">
        <f t="shared" si="1"/>
        <v>Friday</v>
      </c>
      <c r="Q3" s="4" t="str">
        <f t="shared" si="2"/>
        <v>Small Order</v>
      </c>
      <c r="R3" s="4" t="str">
        <f t="shared" si="3"/>
        <v>Weekday</v>
      </c>
      <c r="S3" s="4" t="str">
        <f t="shared" si="4"/>
        <v>Regular</v>
      </c>
    </row>
    <row r="4" spans="1:20" x14ac:dyDescent="0.3">
      <c r="A4">
        <v>9920</v>
      </c>
      <c r="B4" t="s">
        <v>25</v>
      </c>
      <c r="C4" s="1">
        <v>45474</v>
      </c>
      <c r="D4" t="s">
        <v>6</v>
      </c>
      <c r="E4" t="s">
        <v>32</v>
      </c>
      <c r="F4">
        <v>1</v>
      </c>
      <c r="G4">
        <v>1.73</v>
      </c>
      <c r="H4">
        <v>1.73</v>
      </c>
      <c r="I4" t="str">
        <f t="shared" si="0"/>
        <v>Low</v>
      </c>
      <c r="J4">
        <v>3.47</v>
      </c>
      <c r="K4">
        <f t="shared" si="5"/>
        <v>0</v>
      </c>
      <c r="L4" t="str">
        <f t="shared" si="6"/>
        <v>July</v>
      </c>
      <c r="M4">
        <f>YEAR(C4)</f>
        <v>2024</v>
      </c>
      <c r="N4">
        <v>5</v>
      </c>
      <c r="O4" t="str">
        <f>IF(N4&gt;=200,"Platinum",IF(N4&gt;=100,"Gold",IF(N4&gt;=50,"Silver","Regular")))</f>
        <v>Regular</v>
      </c>
      <c r="P4" s="4" t="str">
        <f t="shared" si="1"/>
        <v>Monday</v>
      </c>
      <c r="Q4" s="4" t="str">
        <f t="shared" si="2"/>
        <v>Small Order</v>
      </c>
      <c r="R4" s="4" t="str">
        <f t="shared" si="3"/>
        <v>Weekday</v>
      </c>
      <c r="S4" s="4" t="str">
        <f t="shared" si="4"/>
        <v>Regular</v>
      </c>
    </row>
    <row r="5" spans="1:20" x14ac:dyDescent="0.3">
      <c r="A5">
        <v>5803</v>
      </c>
      <c r="B5" t="s">
        <v>0</v>
      </c>
      <c r="C5" s="1">
        <v>45789</v>
      </c>
      <c r="D5" t="s">
        <v>34</v>
      </c>
      <c r="E5" t="s">
        <v>7</v>
      </c>
      <c r="F5">
        <v>1</v>
      </c>
      <c r="G5">
        <v>2.46</v>
      </c>
      <c r="H5">
        <v>2.46</v>
      </c>
      <c r="I5" t="str">
        <f t="shared" si="0"/>
        <v>Low</v>
      </c>
      <c r="J5">
        <v>4.71</v>
      </c>
      <c r="K5">
        <f t="shared" si="5"/>
        <v>0</v>
      </c>
      <c r="L5" t="str">
        <f t="shared" si="6"/>
        <v>May</v>
      </c>
      <c r="M5">
        <f>YEAR(C5)</f>
        <v>2025</v>
      </c>
      <c r="N5">
        <v>276</v>
      </c>
      <c r="O5" t="str">
        <f>IF(N5&gt;=200,"Platinum",IF(N5&gt;=100,"Gold",IF(N5&gt;=50,"Silver","Regular")))</f>
        <v>Platinum</v>
      </c>
      <c r="P5" s="4" t="str">
        <f t="shared" si="1"/>
        <v>Monday</v>
      </c>
      <c r="Q5" s="4" t="str">
        <f t="shared" si="2"/>
        <v>Small Order</v>
      </c>
      <c r="R5" s="4" t="str">
        <f t="shared" si="3"/>
        <v>Weekday</v>
      </c>
      <c r="S5" s="4" t="str">
        <f t="shared" si="4"/>
        <v>Regular</v>
      </c>
    </row>
    <row r="6" spans="1:20" x14ac:dyDescent="0.3">
      <c r="A6">
        <v>5506</v>
      </c>
      <c r="B6" t="s">
        <v>3</v>
      </c>
      <c r="C6" s="1">
        <v>45335</v>
      </c>
      <c r="D6" t="s">
        <v>4</v>
      </c>
      <c r="E6" t="s">
        <v>5</v>
      </c>
      <c r="F6">
        <v>1</v>
      </c>
      <c r="G6">
        <v>1.85</v>
      </c>
      <c r="H6">
        <v>1.85</v>
      </c>
      <c r="I6" t="str">
        <f t="shared" si="0"/>
        <v>Low</v>
      </c>
      <c r="J6">
        <v>3.41</v>
      </c>
      <c r="K6">
        <f t="shared" si="5"/>
        <v>0</v>
      </c>
      <c r="L6" t="str">
        <f t="shared" si="6"/>
        <v>February</v>
      </c>
      <c r="M6">
        <f>YEAR(C6)</f>
        <v>2024</v>
      </c>
      <c r="N6">
        <v>111</v>
      </c>
      <c r="O6" t="str">
        <f>IF(N6&gt;=200,"Platinum",IF(N6&gt;=100,"Gold",IF(N6&gt;=50,"Silver","Regular")))</f>
        <v>Gold</v>
      </c>
      <c r="P6" s="4" t="str">
        <f t="shared" si="1"/>
        <v>Tuesday</v>
      </c>
      <c r="Q6" s="4" t="str">
        <f t="shared" si="2"/>
        <v>Small Order</v>
      </c>
      <c r="R6" s="4" t="str">
        <f t="shared" si="3"/>
        <v>Weekday</v>
      </c>
      <c r="S6" s="4" t="str">
        <f t="shared" si="4"/>
        <v>Regular</v>
      </c>
    </row>
    <row r="7" spans="1:20" x14ac:dyDescent="0.3">
      <c r="A7">
        <v>2217</v>
      </c>
      <c r="B7" t="s">
        <v>8</v>
      </c>
      <c r="C7" s="1">
        <v>45780</v>
      </c>
      <c r="D7" t="s">
        <v>9</v>
      </c>
      <c r="E7" t="s">
        <v>5</v>
      </c>
      <c r="F7">
        <v>1</v>
      </c>
      <c r="G7">
        <v>2.79</v>
      </c>
      <c r="H7">
        <v>2.79</v>
      </c>
      <c r="I7" t="str">
        <f t="shared" si="0"/>
        <v>Low</v>
      </c>
      <c r="J7">
        <v>4.3899999999999997</v>
      </c>
      <c r="K7">
        <f t="shared" si="5"/>
        <v>0</v>
      </c>
      <c r="L7" t="str">
        <f t="shared" si="6"/>
        <v>May</v>
      </c>
      <c r="M7">
        <f>YEAR(C7)</f>
        <v>2025</v>
      </c>
      <c r="N7">
        <v>128</v>
      </c>
      <c r="O7" t="str">
        <f>IF(N7&gt;=200,"Platinum",IF(N7&gt;=100,"Gold",IF(N7&gt;=50,"Silver","Regular")))</f>
        <v>Gold</v>
      </c>
      <c r="P7" s="4" t="str">
        <f t="shared" si="1"/>
        <v>Saturday</v>
      </c>
      <c r="Q7" s="4" t="str">
        <f t="shared" si="2"/>
        <v>Small Order</v>
      </c>
      <c r="R7" s="4" t="str">
        <f t="shared" si="3"/>
        <v>Weekend</v>
      </c>
      <c r="S7" s="4" t="str">
        <f t="shared" si="4"/>
        <v>Regular</v>
      </c>
    </row>
    <row r="8" spans="1:20" x14ac:dyDescent="0.3">
      <c r="A8">
        <v>7543</v>
      </c>
      <c r="B8" t="s">
        <v>19</v>
      </c>
      <c r="C8" s="1">
        <v>45426</v>
      </c>
      <c r="D8" t="s">
        <v>6</v>
      </c>
      <c r="E8" t="s">
        <v>33</v>
      </c>
      <c r="F8">
        <v>2</v>
      </c>
      <c r="G8">
        <v>1.7</v>
      </c>
      <c r="H8">
        <v>3.4</v>
      </c>
      <c r="I8" t="str">
        <f t="shared" si="0"/>
        <v>Low</v>
      </c>
      <c r="J8">
        <v>4.4000000000000004</v>
      </c>
      <c r="K8">
        <f t="shared" si="5"/>
        <v>0</v>
      </c>
      <c r="L8" t="str">
        <f t="shared" si="6"/>
        <v>May</v>
      </c>
      <c r="M8">
        <f>YEAR(C8)</f>
        <v>2024</v>
      </c>
      <c r="N8">
        <v>125</v>
      </c>
      <c r="O8" t="str">
        <f>IF(N8&gt;=200,"Platinum",IF(N8&gt;=100,"Gold",IF(N8&gt;=50,"Silver","Regular")))</f>
        <v>Gold</v>
      </c>
      <c r="P8" s="4" t="str">
        <f t="shared" si="1"/>
        <v>Tuesday</v>
      </c>
      <c r="Q8" s="4" t="str">
        <f t="shared" si="2"/>
        <v>Small Order</v>
      </c>
      <c r="R8" s="4" t="str">
        <f t="shared" si="3"/>
        <v>Weekday</v>
      </c>
      <c r="S8" s="4" t="str">
        <f t="shared" si="4"/>
        <v>Regular</v>
      </c>
    </row>
    <row r="9" spans="1:20" x14ac:dyDescent="0.3">
      <c r="A9">
        <v>5332</v>
      </c>
      <c r="B9" t="s">
        <v>13</v>
      </c>
      <c r="C9" s="1">
        <v>45561</v>
      </c>
      <c r="D9" t="s">
        <v>16</v>
      </c>
      <c r="E9" t="s">
        <v>10</v>
      </c>
      <c r="F9">
        <v>1</v>
      </c>
      <c r="G9">
        <v>3.78</v>
      </c>
      <c r="H9">
        <v>3.78</v>
      </c>
      <c r="I9" t="str">
        <f t="shared" si="0"/>
        <v>Low</v>
      </c>
      <c r="J9">
        <v>4.34</v>
      </c>
      <c r="K9">
        <f t="shared" si="5"/>
        <v>0</v>
      </c>
      <c r="L9" t="str">
        <f t="shared" si="6"/>
        <v>September</v>
      </c>
      <c r="M9">
        <f>YEAR(C9)</f>
        <v>2024</v>
      </c>
      <c r="N9">
        <v>337</v>
      </c>
      <c r="O9" t="str">
        <f>IF(N9&gt;=200,"Platinum",IF(N9&gt;=100,"Gold",IF(N9&gt;=50,"Silver","Regular")))</f>
        <v>Platinum</v>
      </c>
      <c r="P9" s="4" t="str">
        <f t="shared" si="1"/>
        <v>Thursday</v>
      </c>
      <c r="Q9" s="4" t="str">
        <f t="shared" si="2"/>
        <v>Small Order</v>
      </c>
      <c r="R9" s="4" t="str">
        <f t="shared" si="3"/>
        <v>Weekday</v>
      </c>
      <c r="S9" s="4" t="str">
        <f t="shared" si="4"/>
        <v>Regular</v>
      </c>
    </row>
    <row r="10" spans="1:20" x14ac:dyDescent="0.3">
      <c r="A10">
        <v>3303</v>
      </c>
      <c r="B10" t="s">
        <v>3</v>
      </c>
      <c r="C10" s="1">
        <v>45515</v>
      </c>
      <c r="D10" t="s">
        <v>4</v>
      </c>
      <c r="E10" t="s">
        <v>28</v>
      </c>
      <c r="F10">
        <v>1</v>
      </c>
      <c r="G10">
        <v>3.97</v>
      </c>
      <c r="H10">
        <v>3.97</v>
      </c>
      <c r="I10" t="str">
        <f t="shared" si="0"/>
        <v>Low</v>
      </c>
      <c r="J10">
        <v>4.55</v>
      </c>
      <c r="K10">
        <f t="shared" si="5"/>
        <v>0</v>
      </c>
      <c r="L10" t="str">
        <f t="shared" si="6"/>
        <v>August</v>
      </c>
      <c r="M10">
        <f>YEAR(C10)</f>
        <v>2024</v>
      </c>
      <c r="N10">
        <v>151</v>
      </c>
      <c r="O10" t="str">
        <f>IF(N10&gt;=200,"Platinum",IF(N10&gt;=100,"Gold",IF(N10&gt;=50,"Silver","Regular")))</f>
        <v>Gold</v>
      </c>
      <c r="P10" s="4" t="str">
        <f t="shared" si="1"/>
        <v>Sunday</v>
      </c>
      <c r="Q10" s="4" t="str">
        <f t="shared" si="2"/>
        <v>Small Order</v>
      </c>
      <c r="R10" s="4" t="str">
        <f t="shared" si="3"/>
        <v>Weekend</v>
      </c>
      <c r="S10" s="4" t="str">
        <f t="shared" si="4"/>
        <v>Regular</v>
      </c>
    </row>
    <row r="11" spans="1:20" x14ac:dyDescent="0.3">
      <c r="A11">
        <v>8538</v>
      </c>
      <c r="B11" t="s">
        <v>20</v>
      </c>
      <c r="C11" s="1">
        <v>45791</v>
      </c>
      <c r="D11" t="s">
        <v>34</v>
      </c>
      <c r="E11" t="s">
        <v>35</v>
      </c>
      <c r="F11">
        <v>1</v>
      </c>
      <c r="G11">
        <v>3.04</v>
      </c>
      <c r="H11">
        <v>3.04</v>
      </c>
      <c r="I11" t="str">
        <f t="shared" si="0"/>
        <v>Low</v>
      </c>
      <c r="J11">
        <v>3.32</v>
      </c>
      <c r="K11">
        <f t="shared" si="5"/>
        <v>0</v>
      </c>
      <c r="L11" t="str">
        <f t="shared" si="6"/>
        <v>May</v>
      </c>
      <c r="M11">
        <f>YEAR(C11)</f>
        <v>2025</v>
      </c>
      <c r="N11">
        <v>120</v>
      </c>
      <c r="O11" t="str">
        <f>IF(N11&gt;=200,"Platinum",IF(N11&gt;=100,"Gold",IF(N11&gt;=50,"Silver","Regular")))</f>
        <v>Gold</v>
      </c>
      <c r="P11" s="4" t="str">
        <f t="shared" si="1"/>
        <v>Wednesday</v>
      </c>
      <c r="Q11" s="4" t="str">
        <f t="shared" si="2"/>
        <v>Small Order</v>
      </c>
      <c r="R11" s="4" t="str">
        <f t="shared" si="3"/>
        <v>Weekday</v>
      </c>
      <c r="S11" s="4" t="str">
        <f t="shared" si="4"/>
        <v>Regular</v>
      </c>
    </row>
    <row r="12" spans="1:20" x14ac:dyDescent="0.3">
      <c r="A12">
        <v>4496</v>
      </c>
      <c r="B12" t="s">
        <v>31</v>
      </c>
      <c r="C12" s="1">
        <v>45515</v>
      </c>
      <c r="D12" t="s">
        <v>34</v>
      </c>
      <c r="E12" t="s">
        <v>33</v>
      </c>
      <c r="F12">
        <v>2</v>
      </c>
      <c r="G12">
        <v>1.35</v>
      </c>
      <c r="H12">
        <v>2.7</v>
      </c>
      <c r="I12" t="str">
        <f t="shared" si="0"/>
        <v>Low</v>
      </c>
      <c r="J12">
        <v>2.93</v>
      </c>
      <c r="K12">
        <f t="shared" si="5"/>
        <v>0</v>
      </c>
      <c r="L12" t="str">
        <f t="shared" si="6"/>
        <v>August</v>
      </c>
      <c r="M12">
        <f>YEAR(C12)</f>
        <v>2024</v>
      </c>
      <c r="N12">
        <v>124</v>
      </c>
      <c r="O12" t="str">
        <f>IF(N12&gt;=200,"Platinum",IF(N12&gt;=100,"Gold",IF(N12&gt;=50,"Silver","Regular")))</f>
        <v>Gold</v>
      </c>
      <c r="P12" s="4" t="str">
        <f t="shared" si="1"/>
        <v>Sunday</v>
      </c>
      <c r="Q12" s="4" t="str">
        <f t="shared" si="2"/>
        <v>Small Order</v>
      </c>
      <c r="R12" s="4" t="str">
        <f t="shared" si="3"/>
        <v>Weekend</v>
      </c>
      <c r="S12" s="4" t="str">
        <f t="shared" si="4"/>
        <v>Regular</v>
      </c>
    </row>
    <row r="13" spans="1:20" x14ac:dyDescent="0.3">
      <c r="A13">
        <v>4613</v>
      </c>
      <c r="B13" t="s">
        <v>19</v>
      </c>
      <c r="C13" s="1">
        <v>45371</v>
      </c>
      <c r="D13" t="s">
        <v>9</v>
      </c>
      <c r="E13" t="s">
        <v>21</v>
      </c>
      <c r="F13">
        <v>4</v>
      </c>
      <c r="G13">
        <v>1.1499999999999999</v>
      </c>
      <c r="H13">
        <v>4.5999999999999996</v>
      </c>
      <c r="I13" t="str">
        <f t="shared" si="0"/>
        <v>Low</v>
      </c>
      <c r="J13">
        <v>4.87</v>
      </c>
      <c r="K13">
        <f t="shared" si="5"/>
        <v>0</v>
      </c>
      <c r="L13" t="str">
        <f t="shared" si="6"/>
        <v>March</v>
      </c>
      <c r="M13">
        <f>YEAR(C13)</f>
        <v>2024</v>
      </c>
      <c r="N13">
        <v>481</v>
      </c>
      <c r="O13" t="str">
        <f>IF(N13&gt;=200,"Platinum",IF(N13&gt;=100,"Gold",IF(N13&gt;=50,"Silver","Regular")))</f>
        <v>Platinum</v>
      </c>
      <c r="P13" s="4" t="str">
        <f t="shared" si="1"/>
        <v>Wednesday</v>
      </c>
      <c r="Q13" s="4" t="str">
        <f t="shared" si="2"/>
        <v>Medium Order</v>
      </c>
      <c r="R13" s="4" t="str">
        <f t="shared" si="3"/>
        <v>Weekday</v>
      </c>
      <c r="S13" s="4" t="str">
        <f t="shared" si="4"/>
        <v>Regular</v>
      </c>
    </row>
    <row r="14" spans="1:20" x14ac:dyDescent="0.3">
      <c r="A14">
        <v>6912</v>
      </c>
      <c r="B14" t="s">
        <v>3</v>
      </c>
      <c r="C14" s="1">
        <v>45575</v>
      </c>
      <c r="D14" t="s">
        <v>11</v>
      </c>
      <c r="E14" t="s">
        <v>33</v>
      </c>
      <c r="F14">
        <v>1</v>
      </c>
      <c r="G14">
        <v>3.97</v>
      </c>
      <c r="H14">
        <v>3.97</v>
      </c>
      <c r="I14" t="str">
        <f t="shared" si="0"/>
        <v>Low</v>
      </c>
      <c r="J14">
        <v>4.16</v>
      </c>
      <c r="K14">
        <f t="shared" si="5"/>
        <v>0</v>
      </c>
      <c r="L14" t="str">
        <f t="shared" si="6"/>
        <v>October</v>
      </c>
      <c r="M14">
        <f>YEAR(C14)</f>
        <v>2024</v>
      </c>
      <c r="N14">
        <v>304</v>
      </c>
      <c r="O14" t="str">
        <f>IF(N14&gt;=200,"Platinum",IF(N14&gt;=100,"Gold",IF(N14&gt;=50,"Silver","Regular")))</f>
        <v>Platinum</v>
      </c>
      <c r="P14" s="4" t="str">
        <f t="shared" si="1"/>
        <v>Thursday</v>
      </c>
      <c r="Q14" s="4" t="str">
        <f t="shared" si="2"/>
        <v>Small Order</v>
      </c>
      <c r="R14" s="4" t="str">
        <f t="shared" si="3"/>
        <v>Weekday</v>
      </c>
      <c r="S14" s="4" t="str">
        <f t="shared" si="4"/>
        <v>Regular</v>
      </c>
    </row>
    <row r="15" spans="1:20" x14ac:dyDescent="0.3">
      <c r="A15">
        <v>4770</v>
      </c>
      <c r="B15" t="s">
        <v>8</v>
      </c>
      <c r="C15" s="1">
        <v>45533</v>
      </c>
      <c r="D15" t="s">
        <v>17</v>
      </c>
      <c r="E15" t="s">
        <v>32</v>
      </c>
      <c r="F15">
        <v>1</v>
      </c>
      <c r="G15">
        <v>4.3</v>
      </c>
      <c r="H15">
        <v>4.3</v>
      </c>
      <c r="I15" t="str">
        <f t="shared" si="0"/>
        <v>Low</v>
      </c>
      <c r="J15">
        <v>4.22</v>
      </c>
      <c r="K15">
        <f t="shared" si="5"/>
        <v>8.0000000000000071E-2</v>
      </c>
      <c r="L15" t="str">
        <f t="shared" si="6"/>
        <v>August</v>
      </c>
      <c r="M15">
        <f>YEAR(C15)</f>
        <v>2024</v>
      </c>
      <c r="N15">
        <v>304</v>
      </c>
      <c r="O15" t="str">
        <f>IF(N15&gt;=200,"Platinum",IF(N15&gt;=100,"Gold",IF(N15&gt;=50,"Silver","Regular")))</f>
        <v>Platinum</v>
      </c>
      <c r="P15" s="4" t="str">
        <f t="shared" si="1"/>
        <v>Thursday</v>
      </c>
      <c r="Q15" s="4" t="str">
        <f t="shared" si="2"/>
        <v>Small Order</v>
      </c>
      <c r="R15" s="4" t="str">
        <f t="shared" si="3"/>
        <v>Weekday</v>
      </c>
      <c r="S15" s="4" t="str">
        <f t="shared" si="4"/>
        <v>Regular</v>
      </c>
    </row>
    <row r="16" spans="1:20" x14ac:dyDescent="0.3">
      <c r="A16">
        <v>9976</v>
      </c>
      <c r="B16" t="s">
        <v>15</v>
      </c>
      <c r="C16" s="1">
        <v>45491</v>
      </c>
      <c r="D16" t="s">
        <v>16</v>
      </c>
      <c r="E16" t="s">
        <v>36</v>
      </c>
      <c r="F16">
        <v>1</v>
      </c>
      <c r="G16">
        <v>1.18</v>
      </c>
      <c r="H16">
        <v>1.18</v>
      </c>
      <c r="I16" t="str">
        <f t="shared" si="0"/>
        <v>Low</v>
      </c>
      <c r="J16">
        <v>1.07</v>
      </c>
      <c r="K16">
        <f t="shared" si="5"/>
        <v>0.10999999999999988</v>
      </c>
      <c r="L16" t="str">
        <f t="shared" si="6"/>
        <v>July</v>
      </c>
      <c r="M16">
        <f>YEAR(C16)</f>
        <v>2024</v>
      </c>
      <c r="N16">
        <v>282</v>
      </c>
      <c r="O16" t="str">
        <f>IF(N16&gt;=200,"Platinum",IF(N16&gt;=100,"Gold",IF(N16&gt;=50,"Silver","Regular")))</f>
        <v>Platinum</v>
      </c>
      <c r="P16" s="4" t="str">
        <f t="shared" si="1"/>
        <v>Thursday</v>
      </c>
      <c r="Q16" s="4" t="str">
        <f t="shared" si="2"/>
        <v>Small Order</v>
      </c>
      <c r="R16" s="4" t="str">
        <f t="shared" si="3"/>
        <v>Weekday</v>
      </c>
      <c r="S16" s="4" t="str">
        <f t="shared" si="4"/>
        <v>Regular</v>
      </c>
    </row>
    <row r="17" spans="1:19" x14ac:dyDescent="0.3">
      <c r="A17">
        <v>1172</v>
      </c>
      <c r="B17" t="s">
        <v>8</v>
      </c>
      <c r="C17" s="1">
        <v>45221</v>
      </c>
      <c r="D17" t="s">
        <v>16</v>
      </c>
      <c r="E17" t="s">
        <v>7</v>
      </c>
      <c r="F17">
        <v>3</v>
      </c>
      <c r="G17">
        <v>1.1299999999999999</v>
      </c>
      <c r="H17">
        <v>3.39</v>
      </c>
      <c r="I17" t="str">
        <f t="shared" si="0"/>
        <v>Low</v>
      </c>
      <c r="J17">
        <v>2.88</v>
      </c>
      <c r="K17">
        <f t="shared" si="5"/>
        <v>0.51000000000000023</v>
      </c>
      <c r="L17" t="str">
        <f t="shared" si="6"/>
        <v>October</v>
      </c>
      <c r="M17">
        <f>YEAR(C17)</f>
        <v>2023</v>
      </c>
      <c r="N17">
        <v>81</v>
      </c>
      <c r="O17" t="str">
        <f>IF(N17&gt;=200,"Platinum",IF(N17&gt;=100,"Gold",IF(N17&gt;=50,"Silver","Regular")))</f>
        <v>Silver</v>
      </c>
      <c r="P17" s="4" t="str">
        <f t="shared" si="1"/>
        <v>Sunday</v>
      </c>
      <c r="Q17" s="4" t="str">
        <f t="shared" si="2"/>
        <v>Medium Order</v>
      </c>
      <c r="R17" s="4" t="str">
        <f t="shared" si="3"/>
        <v>Weekend</v>
      </c>
      <c r="S17" s="4" t="str">
        <f t="shared" si="4"/>
        <v>Regular</v>
      </c>
    </row>
    <row r="18" spans="1:19" x14ac:dyDescent="0.3">
      <c r="A18">
        <v>3828</v>
      </c>
      <c r="B18" t="s">
        <v>8</v>
      </c>
      <c r="C18" s="1">
        <v>45843</v>
      </c>
      <c r="D18" t="s">
        <v>4</v>
      </c>
      <c r="E18" t="s">
        <v>30</v>
      </c>
      <c r="F18">
        <v>1</v>
      </c>
      <c r="G18">
        <v>4.6900000000000004</v>
      </c>
      <c r="H18">
        <v>4.6900000000000004</v>
      </c>
      <c r="I18" t="str">
        <f t="shared" si="0"/>
        <v>Low</v>
      </c>
      <c r="J18">
        <v>3.92</v>
      </c>
      <c r="K18">
        <f t="shared" si="5"/>
        <v>0.77000000000000046</v>
      </c>
      <c r="L18" t="str">
        <f t="shared" si="6"/>
        <v>July</v>
      </c>
      <c r="M18">
        <f>YEAR(C18)</f>
        <v>2025</v>
      </c>
      <c r="N18">
        <v>477</v>
      </c>
      <c r="O18" t="str">
        <f>IF(N18&gt;=200,"Platinum",IF(N18&gt;=100,"Gold",IF(N18&gt;=50,"Silver","Regular")))</f>
        <v>Platinum</v>
      </c>
      <c r="P18" s="4" t="str">
        <f t="shared" si="1"/>
        <v>Saturday</v>
      </c>
      <c r="Q18" s="4" t="str">
        <f t="shared" si="2"/>
        <v>Small Order</v>
      </c>
      <c r="R18" s="4" t="str">
        <f t="shared" si="3"/>
        <v>Weekend</v>
      </c>
      <c r="S18" s="4" t="str">
        <f t="shared" si="4"/>
        <v>Regular</v>
      </c>
    </row>
    <row r="19" spans="1:19" x14ac:dyDescent="0.3">
      <c r="A19">
        <v>1831</v>
      </c>
      <c r="B19" t="s">
        <v>8</v>
      </c>
      <c r="C19" s="1">
        <v>45665</v>
      </c>
      <c r="D19" t="s">
        <v>9</v>
      </c>
      <c r="E19" t="s">
        <v>12</v>
      </c>
      <c r="F19">
        <v>1</v>
      </c>
      <c r="G19">
        <v>3.93</v>
      </c>
      <c r="H19">
        <v>3.93</v>
      </c>
      <c r="I19" t="str">
        <f t="shared" si="0"/>
        <v>Low</v>
      </c>
      <c r="J19">
        <v>3.12</v>
      </c>
      <c r="K19">
        <f t="shared" si="5"/>
        <v>0.81</v>
      </c>
      <c r="L19" t="str">
        <f t="shared" si="6"/>
        <v>January</v>
      </c>
      <c r="M19">
        <f>YEAR(C19)</f>
        <v>2025</v>
      </c>
      <c r="N19">
        <v>251</v>
      </c>
      <c r="O19" t="str">
        <f>IF(N19&gt;=200,"Platinum",IF(N19&gt;=100,"Gold",IF(N19&gt;=50,"Silver","Regular")))</f>
        <v>Platinum</v>
      </c>
      <c r="P19" s="4" t="str">
        <f t="shared" si="1"/>
        <v>Wednesday</v>
      </c>
      <c r="Q19" s="4" t="str">
        <f t="shared" si="2"/>
        <v>Small Order</v>
      </c>
      <c r="R19" s="4" t="str">
        <f t="shared" si="3"/>
        <v>Weekday</v>
      </c>
      <c r="S19" s="4" t="str">
        <f t="shared" si="4"/>
        <v>Regular</v>
      </c>
    </row>
    <row r="20" spans="1:19" x14ac:dyDescent="0.3">
      <c r="A20">
        <v>5050</v>
      </c>
      <c r="B20" t="s">
        <v>31</v>
      </c>
      <c r="C20" s="1">
        <v>45797</v>
      </c>
      <c r="D20" t="s">
        <v>24</v>
      </c>
      <c r="E20" t="s">
        <v>32</v>
      </c>
      <c r="F20">
        <v>1</v>
      </c>
      <c r="G20">
        <v>3.7</v>
      </c>
      <c r="H20">
        <v>3.7</v>
      </c>
      <c r="I20" t="str">
        <f t="shared" si="0"/>
        <v>Low</v>
      </c>
      <c r="J20">
        <v>2.9</v>
      </c>
      <c r="K20">
        <f t="shared" si="5"/>
        <v>0.80000000000000027</v>
      </c>
      <c r="L20" t="str">
        <f t="shared" si="6"/>
        <v>May</v>
      </c>
      <c r="M20">
        <f>YEAR(C20)</f>
        <v>2025</v>
      </c>
      <c r="N20">
        <v>194</v>
      </c>
      <c r="O20" t="str">
        <f>IF(N20&gt;=200,"Platinum",IF(N20&gt;=100,"Gold",IF(N20&gt;=50,"Silver","Regular")))</f>
        <v>Gold</v>
      </c>
      <c r="P20" s="4" t="str">
        <f t="shared" si="1"/>
        <v>Tuesday</v>
      </c>
      <c r="Q20" s="4" t="str">
        <f t="shared" si="2"/>
        <v>Small Order</v>
      </c>
      <c r="R20" s="4" t="str">
        <f t="shared" si="3"/>
        <v>Weekday</v>
      </c>
      <c r="S20" s="4" t="str">
        <f t="shared" si="4"/>
        <v>Regular</v>
      </c>
    </row>
    <row r="21" spans="1:19" x14ac:dyDescent="0.3">
      <c r="A21">
        <v>7244</v>
      </c>
      <c r="B21" t="s">
        <v>13</v>
      </c>
      <c r="C21" s="1">
        <v>45755</v>
      </c>
      <c r="D21" t="s">
        <v>6</v>
      </c>
      <c r="E21" t="s">
        <v>18</v>
      </c>
      <c r="F21">
        <v>1</v>
      </c>
      <c r="G21">
        <v>6.53</v>
      </c>
      <c r="H21">
        <v>6.53</v>
      </c>
      <c r="I21" t="str">
        <f t="shared" si="0"/>
        <v>Low</v>
      </c>
      <c r="J21">
        <v>4.96</v>
      </c>
      <c r="K21">
        <f t="shared" si="5"/>
        <v>1.5700000000000003</v>
      </c>
      <c r="L21" t="str">
        <f t="shared" si="6"/>
        <v>April</v>
      </c>
      <c r="M21">
        <f>YEAR(C21)</f>
        <v>2025</v>
      </c>
      <c r="N21">
        <v>461</v>
      </c>
      <c r="O21" t="str">
        <f>IF(N21&gt;=200,"Platinum",IF(N21&gt;=100,"Gold",IF(N21&gt;=50,"Silver","Regular")))</f>
        <v>Platinum</v>
      </c>
      <c r="P21" s="4" t="str">
        <f t="shared" si="1"/>
        <v>Tuesday</v>
      </c>
      <c r="Q21" s="4" t="str">
        <f t="shared" si="2"/>
        <v>Small Order</v>
      </c>
      <c r="R21" s="4" t="str">
        <f t="shared" si="3"/>
        <v>Weekday</v>
      </c>
      <c r="S21" s="4" t="str">
        <f t="shared" si="4"/>
        <v>Regular</v>
      </c>
    </row>
    <row r="22" spans="1:19" x14ac:dyDescent="0.3">
      <c r="A22">
        <v>9221</v>
      </c>
      <c r="B22" t="s">
        <v>13</v>
      </c>
      <c r="C22" s="1">
        <v>45746</v>
      </c>
      <c r="D22" t="s">
        <v>24</v>
      </c>
      <c r="E22" t="s">
        <v>22</v>
      </c>
      <c r="F22">
        <v>3</v>
      </c>
      <c r="G22">
        <v>1.33</v>
      </c>
      <c r="H22">
        <v>3.99</v>
      </c>
      <c r="I22" t="str">
        <f t="shared" si="0"/>
        <v>Low</v>
      </c>
      <c r="J22">
        <v>2.96</v>
      </c>
      <c r="K22">
        <f t="shared" si="5"/>
        <v>1.0300000000000002</v>
      </c>
      <c r="L22" t="str">
        <f t="shared" si="6"/>
        <v>March</v>
      </c>
      <c r="M22">
        <f>YEAR(C22)</f>
        <v>2025</v>
      </c>
      <c r="N22">
        <v>59</v>
      </c>
      <c r="O22" t="str">
        <f>IF(N22&gt;=200,"Platinum",IF(N22&gt;=100,"Gold",IF(N22&gt;=50,"Silver","Regular")))</f>
        <v>Silver</v>
      </c>
      <c r="P22" s="4" t="str">
        <f t="shared" si="1"/>
        <v>Sunday</v>
      </c>
      <c r="Q22" s="4" t="str">
        <f t="shared" si="2"/>
        <v>Medium Order</v>
      </c>
      <c r="R22" s="4" t="str">
        <f t="shared" si="3"/>
        <v>Weekend</v>
      </c>
      <c r="S22" s="4" t="str">
        <f t="shared" si="4"/>
        <v>Regular</v>
      </c>
    </row>
    <row r="23" spans="1:19" x14ac:dyDescent="0.3">
      <c r="A23">
        <v>8155</v>
      </c>
      <c r="B23" t="s">
        <v>13</v>
      </c>
      <c r="C23" s="1">
        <v>45800</v>
      </c>
      <c r="D23" t="s">
        <v>6</v>
      </c>
      <c r="E23" t="s">
        <v>21</v>
      </c>
      <c r="F23">
        <v>2</v>
      </c>
      <c r="G23">
        <v>3.12</v>
      </c>
      <c r="H23">
        <v>6.24</v>
      </c>
      <c r="I23" t="str">
        <f t="shared" si="0"/>
        <v>Low</v>
      </c>
      <c r="J23">
        <v>4.5599999999999996</v>
      </c>
      <c r="K23">
        <f t="shared" si="5"/>
        <v>1.6800000000000006</v>
      </c>
      <c r="L23" t="str">
        <f t="shared" si="6"/>
        <v>May</v>
      </c>
      <c r="M23">
        <f>YEAR(C23)</f>
        <v>2025</v>
      </c>
      <c r="N23">
        <v>299</v>
      </c>
      <c r="O23" t="str">
        <f>IF(N23&gt;=200,"Platinum",IF(N23&gt;=100,"Gold",IF(N23&gt;=50,"Silver","Regular")))</f>
        <v>Platinum</v>
      </c>
      <c r="P23" s="4" t="str">
        <f t="shared" si="1"/>
        <v>Friday</v>
      </c>
      <c r="Q23" s="4" t="str">
        <f t="shared" si="2"/>
        <v>Small Order</v>
      </c>
      <c r="R23" s="4" t="str">
        <f t="shared" si="3"/>
        <v>Weekday</v>
      </c>
      <c r="S23" s="4" t="str">
        <f t="shared" si="4"/>
        <v>Regular</v>
      </c>
    </row>
    <row r="24" spans="1:19" x14ac:dyDescent="0.3">
      <c r="A24">
        <v>3045</v>
      </c>
      <c r="B24" t="s">
        <v>13</v>
      </c>
      <c r="C24" s="1">
        <v>45861</v>
      </c>
      <c r="D24" t="s">
        <v>34</v>
      </c>
      <c r="E24" t="s">
        <v>29</v>
      </c>
      <c r="F24">
        <v>1</v>
      </c>
      <c r="G24">
        <v>2.75</v>
      </c>
      <c r="H24">
        <v>2.75</v>
      </c>
      <c r="I24" t="str">
        <f t="shared" si="0"/>
        <v>Low</v>
      </c>
      <c r="J24">
        <v>1.99</v>
      </c>
      <c r="K24">
        <f t="shared" si="5"/>
        <v>0.76</v>
      </c>
      <c r="L24" t="str">
        <f t="shared" si="6"/>
        <v>July</v>
      </c>
      <c r="M24">
        <f>YEAR(C24)</f>
        <v>2025</v>
      </c>
      <c r="N24">
        <v>372</v>
      </c>
      <c r="O24" t="str">
        <f>IF(N24&gt;=200,"Platinum",IF(N24&gt;=100,"Gold",IF(N24&gt;=50,"Silver","Regular")))</f>
        <v>Platinum</v>
      </c>
      <c r="P24" s="4" t="str">
        <f t="shared" si="1"/>
        <v>Wednesday</v>
      </c>
      <c r="Q24" s="4" t="str">
        <f t="shared" si="2"/>
        <v>Small Order</v>
      </c>
      <c r="R24" s="4" t="str">
        <f t="shared" si="3"/>
        <v>Weekday</v>
      </c>
      <c r="S24" s="4" t="str">
        <f t="shared" si="4"/>
        <v>Regular</v>
      </c>
    </row>
    <row r="25" spans="1:19" x14ac:dyDescent="0.3">
      <c r="A25">
        <v>8272</v>
      </c>
      <c r="B25" t="s">
        <v>0</v>
      </c>
      <c r="C25" s="1">
        <v>45418</v>
      </c>
      <c r="D25" t="s">
        <v>17</v>
      </c>
      <c r="E25" t="s">
        <v>5</v>
      </c>
      <c r="F25">
        <v>1</v>
      </c>
      <c r="G25">
        <v>4.5</v>
      </c>
      <c r="H25">
        <v>4.5</v>
      </c>
      <c r="I25" t="str">
        <f t="shared" si="0"/>
        <v>Low</v>
      </c>
      <c r="J25">
        <v>3.09</v>
      </c>
      <c r="K25">
        <f t="shared" si="5"/>
        <v>1.4100000000000001</v>
      </c>
      <c r="L25" t="str">
        <f t="shared" si="6"/>
        <v>May</v>
      </c>
      <c r="M25">
        <f>YEAR(C25)</f>
        <v>2024</v>
      </c>
      <c r="N25">
        <v>292</v>
      </c>
      <c r="O25" t="str">
        <f>IF(N25&gt;=200,"Platinum",IF(N25&gt;=100,"Gold",IF(N25&gt;=50,"Silver","Regular")))</f>
        <v>Platinum</v>
      </c>
      <c r="P25" s="4" t="str">
        <f t="shared" si="1"/>
        <v>Monday</v>
      </c>
      <c r="Q25" s="4" t="str">
        <f t="shared" si="2"/>
        <v>Small Order</v>
      </c>
      <c r="R25" s="4" t="str">
        <f t="shared" si="3"/>
        <v>Weekday</v>
      </c>
      <c r="S25" s="4" t="str">
        <f t="shared" si="4"/>
        <v>Regular</v>
      </c>
    </row>
    <row r="26" spans="1:19" x14ac:dyDescent="0.3">
      <c r="A26">
        <v>2713</v>
      </c>
      <c r="B26" t="s">
        <v>13</v>
      </c>
      <c r="C26" s="1">
        <v>45811</v>
      </c>
      <c r="D26" t="s">
        <v>1</v>
      </c>
      <c r="E26" t="s">
        <v>7</v>
      </c>
      <c r="F26">
        <v>5</v>
      </c>
      <c r="G26">
        <v>0.99</v>
      </c>
      <c r="H26">
        <v>4.95</v>
      </c>
      <c r="I26" t="str">
        <f t="shared" si="0"/>
        <v>Low</v>
      </c>
      <c r="J26">
        <v>3.25</v>
      </c>
      <c r="K26">
        <f t="shared" si="5"/>
        <v>1.7000000000000002</v>
      </c>
      <c r="L26" t="str">
        <f t="shared" si="6"/>
        <v>June</v>
      </c>
      <c r="M26">
        <f>YEAR(C26)</f>
        <v>2025</v>
      </c>
      <c r="N26">
        <v>46</v>
      </c>
      <c r="O26" t="str">
        <f>IF(N26&gt;=200,"Platinum",IF(N26&gt;=100,"Gold",IF(N26&gt;=50,"Silver","Regular")))</f>
        <v>Regular</v>
      </c>
      <c r="P26" s="4" t="str">
        <f t="shared" si="1"/>
        <v>Tuesday</v>
      </c>
      <c r="Q26" s="4" t="str">
        <f t="shared" si="2"/>
        <v>Medium Order</v>
      </c>
      <c r="R26" s="4" t="str">
        <f t="shared" si="3"/>
        <v>Weekday</v>
      </c>
      <c r="S26" s="4" t="str">
        <f t="shared" si="4"/>
        <v>Regular</v>
      </c>
    </row>
    <row r="27" spans="1:19" x14ac:dyDescent="0.3">
      <c r="A27">
        <v>7624</v>
      </c>
      <c r="B27" t="s">
        <v>15</v>
      </c>
      <c r="C27" s="1">
        <v>45707</v>
      </c>
      <c r="D27" t="s">
        <v>11</v>
      </c>
      <c r="E27" t="s">
        <v>32</v>
      </c>
      <c r="F27">
        <v>3</v>
      </c>
      <c r="G27">
        <v>2.29</v>
      </c>
      <c r="H27">
        <v>6.87</v>
      </c>
      <c r="I27" t="str">
        <f t="shared" si="0"/>
        <v>Low</v>
      </c>
      <c r="J27">
        <v>4.4000000000000004</v>
      </c>
      <c r="K27">
        <f t="shared" si="5"/>
        <v>2.4699999999999998</v>
      </c>
      <c r="L27" t="str">
        <f t="shared" si="6"/>
        <v>February</v>
      </c>
      <c r="M27">
        <f>YEAR(C27)</f>
        <v>2025</v>
      </c>
      <c r="N27">
        <v>363</v>
      </c>
      <c r="O27" t="str">
        <f>IF(N27&gt;=200,"Platinum",IF(N27&gt;=100,"Gold",IF(N27&gt;=50,"Silver","Regular")))</f>
        <v>Platinum</v>
      </c>
      <c r="P27" s="4" t="str">
        <f t="shared" si="1"/>
        <v>Wednesday</v>
      </c>
      <c r="Q27" s="4" t="str">
        <f t="shared" si="2"/>
        <v>Medium Order</v>
      </c>
      <c r="R27" s="4" t="str">
        <f t="shared" si="3"/>
        <v>Weekday</v>
      </c>
      <c r="S27" s="4" t="str">
        <f t="shared" si="4"/>
        <v>Regular</v>
      </c>
    </row>
    <row r="28" spans="1:19" x14ac:dyDescent="0.3">
      <c r="A28">
        <v>6617</v>
      </c>
      <c r="B28" t="s">
        <v>8</v>
      </c>
      <c r="C28" s="1">
        <v>45303</v>
      </c>
      <c r="D28" t="s">
        <v>6</v>
      </c>
      <c r="E28" t="s">
        <v>30</v>
      </c>
      <c r="F28">
        <v>3</v>
      </c>
      <c r="G28">
        <v>2.5</v>
      </c>
      <c r="H28">
        <v>7.5</v>
      </c>
      <c r="I28" t="str">
        <f t="shared" si="0"/>
        <v>Low</v>
      </c>
      <c r="J28">
        <v>4.74</v>
      </c>
      <c r="K28">
        <f t="shared" si="5"/>
        <v>2.76</v>
      </c>
      <c r="L28" t="str">
        <f t="shared" si="6"/>
        <v>January</v>
      </c>
      <c r="M28">
        <f>YEAR(C28)</f>
        <v>2024</v>
      </c>
      <c r="N28">
        <v>246</v>
      </c>
      <c r="O28" t="str">
        <f>IF(N28&gt;=200,"Platinum",IF(N28&gt;=100,"Gold",IF(N28&gt;=50,"Silver","Regular")))</f>
        <v>Platinum</v>
      </c>
      <c r="P28" s="4" t="str">
        <f t="shared" si="1"/>
        <v>Friday</v>
      </c>
      <c r="Q28" s="4" t="str">
        <f t="shared" si="2"/>
        <v>Medium Order</v>
      </c>
      <c r="R28" s="4" t="str">
        <f t="shared" si="3"/>
        <v>Weekday</v>
      </c>
      <c r="S28" s="4" t="str">
        <f t="shared" si="4"/>
        <v>Regular</v>
      </c>
    </row>
    <row r="29" spans="1:19" x14ac:dyDescent="0.3">
      <c r="A29">
        <v>6692</v>
      </c>
      <c r="B29" t="s">
        <v>25</v>
      </c>
      <c r="C29" s="1">
        <v>45696</v>
      </c>
      <c r="D29" t="s">
        <v>27</v>
      </c>
      <c r="E29" t="s">
        <v>29</v>
      </c>
      <c r="F29">
        <v>2</v>
      </c>
      <c r="G29">
        <v>2.35</v>
      </c>
      <c r="H29">
        <v>4.7</v>
      </c>
      <c r="I29" t="str">
        <f t="shared" si="0"/>
        <v>Low</v>
      </c>
      <c r="J29">
        <v>2.8</v>
      </c>
      <c r="K29">
        <f t="shared" si="5"/>
        <v>1.9000000000000004</v>
      </c>
      <c r="L29" t="str">
        <f t="shared" si="6"/>
        <v>February</v>
      </c>
      <c r="M29">
        <f>YEAR(C29)</f>
        <v>2025</v>
      </c>
      <c r="N29">
        <v>470</v>
      </c>
      <c r="O29" t="str">
        <f>IF(N29&gt;=200,"Platinum",IF(N29&gt;=100,"Gold",IF(N29&gt;=50,"Silver","Regular")))</f>
        <v>Platinum</v>
      </c>
      <c r="P29" s="4" t="str">
        <f t="shared" si="1"/>
        <v>Saturday</v>
      </c>
      <c r="Q29" s="4" t="str">
        <f t="shared" si="2"/>
        <v>Small Order</v>
      </c>
      <c r="R29" s="4" t="str">
        <f t="shared" si="3"/>
        <v>Weekend</v>
      </c>
      <c r="S29" s="4" t="str">
        <f t="shared" si="4"/>
        <v>Regular</v>
      </c>
    </row>
    <row r="30" spans="1:19" x14ac:dyDescent="0.3">
      <c r="A30">
        <v>3527</v>
      </c>
      <c r="B30" t="s">
        <v>15</v>
      </c>
      <c r="C30" s="1">
        <v>45719</v>
      </c>
      <c r="D30" t="s">
        <v>27</v>
      </c>
      <c r="E30" t="s">
        <v>33</v>
      </c>
      <c r="F30">
        <v>2</v>
      </c>
      <c r="G30">
        <v>2.12</v>
      </c>
      <c r="H30">
        <v>4.24</v>
      </c>
      <c r="I30" t="str">
        <f t="shared" si="0"/>
        <v>Low</v>
      </c>
      <c r="J30">
        <v>2.52</v>
      </c>
      <c r="K30">
        <f t="shared" si="5"/>
        <v>1.7200000000000002</v>
      </c>
      <c r="L30" t="str">
        <f t="shared" si="6"/>
        <v>March</v>
      </c>
      <c r="M30">
        <f>YEAR(C30)</f>
        <v>2025</v>
      </c>
      <c r="N30">
        <v>352</v>
      </c>
      <c r="O30" t="str">
        <f>IF(N30&gt;=200,"Platinum",IF(N30&gt;=100,"Gold",IF(N30&gt;=50,"Silver","Regular")))</f>
        <v>Platinum</v>
      </c>
      <c r="P30" s="4" t="str">
        <f t="shared" si="1"/>
        <v>Monday</v>
      </c>
      <c r="Q30" s="4" t="str">
        <f t="shared" si="2"/>
        <v>Small Order</v>
      </c>
      <c r="R30" s="4" t="str">
        <f t="shared" si="3"/>
        <v>Weekday</v>
      </c>
      <c r="S30" s="4" t="str">
        <f t="shared" si="4"/>
        <v>Regular</v>
      </c>
    </row>
    <row r="31" spans="1:19" x14ac:dyDescent="0.3">
      <c r="A31">
        <v>8639</v>
      </c>
      <c r="B31" t="s">
        <v>0</v>
      </c>
      <c r="C31" s="1">
        <v>45559</v>
      </c>
      <c r="D31" t="s">
        <v>1</v>
      </c>
      <c r="E31" t="s">
        <v>36</v>
      </c>
      <c r="F31">
        <v>3</v>
      </c>
      <c r="G31">
        <v>1.1399999999999999</v>
      </c>
      <c r="H31">
        <v>3.42</v>
      </c>
      <c r="I31" t="str">
        <f t="shared" si="0"/>
        <v>Low</v>
      </c>
      <c r="J31">
        <v>2.0099999999999998</v>
      </c>
      <c r="K31">
        <f t="shared" si="5"/>
        <v>1.4100000000000001</v>
      </c>
      <c r="L31" t="str">
        <f t="shared" si="6"/>
        <v>September</v>
      </c>
      <c r="M31">
        <f>YEAR(C31)</f>
        <v>2024</v>
      </c>
      <c r="N31">
        <v>180</v>
      </c>
      <c r="O31" t="str">
        <f>IF(N31&gt;=200,"Platinum",IF(N31&gt;=100,"Gold",IF(N31&gt;=50,"Silver","Regular")))</f>
        <v>Gold</v>
      </c>
      <c r="P31" s="4" t="str">
        <f t="shared" si="1"/>
        <v>Tuesday</v>
      </c>
      <c r="Q31" s="4" t="str">
        <f t="shared" si="2"/>
        <v>Medium Order</v>
      </c>
      <c r="R31" s="4" t="str">
        <f t="shared" si="3"/>
        <v>Weekday</v>
      </c>
      <c r="S31" s="4" t="str">
        <f t="shared" si="4"/>
        <v>Regular</v>
      </c>
    </row>
    <row r="32" spans="1:19" x14ac:dyDescent="0.3">
      <c r="A32">
        <v>1878</v>
      </c>
      <c r="B32" t="s">
        <v>15</v>
      </c>
      <c r="C32" s="1">
        <v>45262</v>
      </c>
      <c r="D32" t="s">
        <v>17</v>
      </c>
      <c r="E32" t="s">
        <v>36</v>
      </c>
      <c r="F32">
        <v>1</v>
      </c>
      <c r="G32">
        <v>5.98</v>
      </c>
      <c r="H32">
        <v>5.98</v>
      </c>
      <c r="I32" t="str">
        <f t="shared" si="0"/>
        <v>Low</v>
      </c>
      <c r="J32">
        <v>3.43</v>
      </c>
      <c r="K32">
        <f t="shared" si="5"/>
        <v>2.5500000000000003</v>
      </c>
      <c r="L32" t="str">
        <f t="shared" si="6"/>
        <v>December</v>
      </c>
      <c r="M32">
        <f>YEAR(C32)</f>
        <v>2023</v>
      </c>
      <c r="N32">
        <v>206</v>
      </c>
      <c r="O32" t="str">
        <f>IF(N32&gt;=200,"Platinum",IF(N32&gt;=100,"Gold",IF(N32&gt;=50,"Silver","Regular")))</f>
        <v>Platinum</v>
      </c>
      <c r="P32" s="4" t="str">
        <f t="shared" si="1"/>
        <v>Saturday</v>
      </c>
      <c r="Q32" s="4" t="str">
        <f t="shared" si="2"/>
        <v>Small Order</v>
      </c>
      <c r="R32" s="4" t="str">
        <f t="shared" si="3"/>
        <v>Weekend</v>
      </c>
      <c r="S32" s="4" t="str">
        <f t="shared" si="4"/>
        <v>Regular</v>
      </c>
    </row>
    <row r="33" spans="1:19" x14ac:dyDescent="0.3">
      <c r="A33">
        <v>6372</v>
      </c>
      <c r="B33" t="s">
        <v>20</v>
      </c>
      <c r="C33" s="1">
        <v>45212</v>
      </c>
      <c r="D33" t="s">
        <v>23</v>
      </c>
      <c r="E33" t="s">
        <v>14</v>
      </c>
      <c r="F33">
        <v>1</v>
      </c>
      <c r="G33">
        <v>8.75</v>
      </c>
      <c r="H33">
        <v>8.75</v>
      </c>
      <c r="I33" t="str">
        <f t="shared" si="0"/>
        <v>Low</v>
      </c>
      <c r="J33">
        <v>4.83</v>
      </c>
      <c r="K33">
        <f t="shared" si="5"/>
        <v>3.92</v>
      </c>
      <c r="L33" t="str">
        <f t="shared" si="6"/>
        <v>October</v>
      </c>
      <c r="M33">
        <f>YEAR(C33)</f>
        <v>2023</v>
      </c>
      <c r="N33">
        <v>480</v>
      </c>
      <c r="O33" t="str">
        <f>IF(N33&gt;=200,"Platinum",IF(N33&gt;=100,"Gold",IF(N33&gt;=50,"Silver","Regular")))</f>
        <v>Platinum</v>
      </c>
      <c r="P33" s="4" t="str">
        <f t="shared" si="1"/>
        <v>Friday</v>
      </c>
      <c r="Q33" s="4" t="str">
        <f t="shared" si="2"/>
        <v>Small Order</v>
      </c>
      <c r="R33" s="4" t="str">
        <f t="shared" si="3"/>
        <v>Weekday</v>
      </c>
      <c r="S33" s="4" t="str">
        <f t="shared" si="4"/>
        <v>Regular</v>
      </c>
    </row>
    <row r="34" spans="1:19" x14ac:dyDescent="0.3">
      <c r="A34">
        <v>1719</v>
      </c>
      <c r="B34" t="s">
        <v>15</v>
      </c>
      <c r="C34" s="1">
        <v>45860</v>
      </c>
      <c r="D34" t="s">
        <v>27</v>
      </c>
      <c r="E34" t="s">
        <v>26</v>
      </c>
      <c r="F34">
        <v>2</v>
      </c>
      <c r="G34">
        <v>3.24</v>
      </c>
      <c r="H34">
        <v>6.48</v>
      </c>
      <c r="I34" t="str">
        <f t="shared" si="0"/>
        <v>Low</v>
      </c>
      <c r="J34">
        <v>3.48</v>
      </c>
      <c r="K34">
        <f t="shared" si="5"/>
        <v>3.0000000000000004</v>
      </c>
      <c r="L34" t="str">
        <f t="shared" si="6"/>
        <v>July</v>
      </c>
      <c r="M34">
        <f>YEAR(C34)</f>
        <v>2025</v>
      </c>
      <c r="N34">
        <v>54</v>
      </c>
      <c r="O34" t="str">
        <f>IF(N34&gt;=200,"Platinum",IF(N34&gt;=100,"Gold",IF(N34&gt;=50,"Silver","Regular")))</f>
        <v>Silver</v>
      </c>
      <c r="P34" s="4" t="str">
        <f t="shared" si="1"/>
        <v>Tuesday</v>
      </c>
      <c r="Q34" s="4" t="str">
        <f t="shared" si="2"/>
        <v>Small Order</v>
      </c>
      <c r="R34" s="4" t="str">
        <f t="shared" si="3"/>
        <v>Weekday</v>
      </c>
      <c r="S34" s="4" t="str">
        <f t="shared" si="4"/>
        <v>Regular</v>
      </c>
    </row>
    <row r="35" spans="1:19" x14ac:dyDescent="0.3">
      <c r="A35">
        <v>7882</v>
      </c>
      <c r="B35" t="s">
        <v>0</v>
      </c>
      <c r="C35" s="1">
        <v>45783</v>
      </c>
      <c r="D35" t="s">
        <v>24</v>
      </c>
      <c r="E35" t="s">
        <v>5</v>
      </c>
      <c r="F35">
        <v>2</v>
      </c>
      <c r="G35">
        <v>2.67</v>
      </c>
      <c r="H35">
        <v>5.34</v>
      </c>
      <c r="I35" t="str">
        <f t="shared" si="0"/>
        <v>Low</v>
      </c>
      <c r="J35">
        <v>2.81</v>
      </c>
      <c r="K35">
        <f t="shared" si="5"/>
        <v>2.5299999999999998</v>
      </c>
      <c r="L35" t="str">
        <f t="shared" si="6"/>
        <v>May</v>
      </c>
      <c r="M35">
        <f>YEAR(C35)</f>
        <v>2025</v>
      </c>
      <c r="N35">
        <v>44</v>
      </c>
      <c r="O35" t="str">
        <f>IF(N35&gt;=200,"Platinum",IF(N35&gt;=100,"Gold",IF(N35&gt;=50,"Silver","Regular")))</f>
        <v>Regular</v>
      </c>
      <c r="P35" s="4" t="str">
        <f t="shared" si="1"/>
        <v>Tuesday</v>
      </c>
      <c r="Q35" s="4" t="str">
        <f t="shared" si="2"/>
        <v>Small Order</v>
      </c>
      <c r="R35" s="4" t="str">
        <f t="shared" si="3"/>
        <v>Weekday</v>
      </c>
      <c r="S35" s="4" t="str">
        <f t="shared" si="4"/>
        <v>Regular</v>
      </c>
    </row>
    <row r="36" spans="1:19" x14ac:dyDescent="0.3">
      <c r="A36">
        <v>3591</v>
      </c>
      <c r="B36" t="s">
        <v>20</v>
      </c>
      <c r="C36" s="1">
        <v>45497</v>
      </c>
      <c r="D36" t="s">
        <v>17</v>
      </c>
      <c r="E36" t="s">
        <v>30</v>
      </c>
      <c r="F36">
        <v>2</v>
      </c>
      <c r="G36">
        <v>4.6500000000000004</v>
      </c>
      <c r="H36">
        <v>9.3000000000000007</v>
      </c>
      <c r="I36" t="str">
        <f t="shared" si="0"/>
        <v>Low</v>
      </c>
      <c r="J36">
        <v>4.79</v>
      </c>
      <c r="K36">
        <f t="shared" si="5"/>
        <v>4.5100000000000007</v>
      </c>
      <c r="L36" t="str">
        <f t="shared" si="6"/>
        <v>July</v>
      </c>
      <c r="M36">
        <f>YEAR(C36)</f>
        <v>2024</v>
      </c>
      <c r="N36">
        <v>342</v>
      </c>
      <c r="O36" t="str">
        <f>IF(N36&gt;=200,"Platinum",IF(N36&gt;=100,"Gold",IF(N36&gt;=50,"Silver","Regular")))</f>
        <v>Platinum</v>
      </c>
      <c r="P36" s="4" t="str">
        <f t="shared" si="1"/>
        <v>Wednesday</v>
      </c>
      <c r="Q36" s="4" t="str">
        <f t="shared" si="2"/>
        <v>Small Order</v>
      </c>
      <c r="R36" s="4" t="str">
        <f t="shared" si="3"/>
        <v>Weekday</v>
      </c>
      <c r="S36" s="4" t="str">
        <f t="shared" si="4"/>
        <v>Regular</v>
      </c>
    </row>
    <row r="37" spans="1:19" x14ac:dyDescent="0.3">
      <c r="A37">
        <v>2743</v>
      </c>
      <c r="B37" t="s">
        <v>25</v>
      </c>
      <c r="C37" s="1">
        <v>45821</v>
      </c>
      <c r="D37" t="s">
        <v>27</v>
      </c>
      <c r="E37" t="s">
        <v>5</v>
      </c>
      <c r="F37">
        <v>3</v>
      </c>
      <c r="G37">
        <v>2.99</v>
      </c>
      <c r="H37">
        <v>8.9700000000000006</v>
      </c>
      <c r="I37" t="str">
        <f t="shared" si="0"/>
        <v>Low</v>
      </c>
      <c r="J37">
        <v>4.4000000000000004</v>
      </c>
      <c r="K37">
        <f t="shared" si="5"/>
        <v>4.57</v>
      </c>
      <c r="L37" t="str">
        <f t="shared" si="6"/>
        <v>June</v>
      </c>
      <c r="M37">
        <f>YEAR(C37)</f>
        <v>2025</v>
      </c>
      <c r="N37">
        <v>331</v>
      </c>
      <c r="O37" t="str">
        <f>IF(N37&gt;=200,"Platinum",IF(N37&gt;=100,"Gold",IF(N37&gt;=50,"Silver","Regular")))</f>
        <v>Platinum</v>
      </c>
      <c r="P37" s="4" t="str">
        <f t="shared" si="1"/>
        <v>Friday</v>
      </c>
      <c r="Q37" s="4" t="str">
        <f t="shared" si="2"/>
        <v>Medium Order</v>
      </c>
      <c r="R37" s="4" t="str">
        <f t="shared" si="3"/>
        <v>Weekday</v>
      </c>
      <c r="S37" s="4" t="str">
        <f t="shared" si="4"/>
        <v>Regular</v>
      </c>
    </row>
    <row r="38" spans="1:19" x14ac:dyDescent="0.3">
      <c r="A38">
        <v>2341</v>
      </c>
      <c r="B38" t="s">
        <v>13</v>
      </c>
      <c r="C38" s="1">
        <v>45553</v>
      </c>
      <c r="D38" t="s">
        <v>6</v>
      </c>
      <c r="E38" t="s">
        <v>2</v>
      </c>
      <c r="F38">
        <v>1</v>
      </c>
      <c r="G38">
        <v>4.0199999999999996</v>
      </c>
      <c r="H38">
        <v>4.0199999999999996</v>
      </c>
      <c r="I38" t="str">
        <f t="shared" si="0"/>
        <v>Low</v>
      </c>
      <c r="J38">
        <v>1.96</v>
      </c>
      <c r="K38">
        <f t="shared" si="5"/>
        <v>2.0599999999999996</v>
      </c>
      <c r="L38" t="str">
        <f t="shared" si="6"/>
        <v>September</v>
      </c>
      <c r="M38">
        <f>YEAR(C38)</f>
        <v>2024</v>
      </c>
      <c r="N38">
        <v>185</v>
      </c>
      <c r="O38" t="str">
        <f>IF(N38&gt;=200,"Platinum",IF(N38&gt;=100,"Gold",IF(N38&gt;=50,"Silver","Regular")))</f>
        <v>Gold</v>
      </c>
      <c r="P38" s="4" t="str">
        <f t="shared" si="1"/>
        <v>Wednesday</v>
      </c>
      <c r="Q38" s="4" t="str">
        <f t="shared" si="2"/>
        <v>Small Order</v>
      </c>
      <c r="R38" s="4" t="str">
        <f t="shared" si="3"/>
        <v>Weekday</v>
      </c>
      <c r="S38" s="4" t="str">
        <f t="shared" si="4"/>
        <v>Regular</v>
      </c>
    </row>
    <row r="39" spans="1:19" x14ac:dyDescent="0.3">
      <c r="A39">
        <v>7493</v>
      </c>
      <c r="B39" t="s">
        <v>8</v>
      </c>
      <c r="C39" s="1">
        <v>45630</v>
      </c>
      <c r="D39" t="s">
        <v>11</v>
      </c>
      <c r="E39" t="s">
        <v>28</v>
      </c>
      <c r="F39">
        <v>1</v>
      </c>
      <c r="G39">
        <v>6.49</v>
      </c>
      <c r="H39">
        <v>6.49</v>
      </c>
      <c r="I39" t="str">
        <f t="shared" si="0"/>
        <v>Low</v>
      </c>
      <c r="J39">
        <v>3.15</v>
      </c>
      <c r="K39">
        <f t="shared" si="5"/>
        <v>3.3400000000000003</v>
      </c>
      <c r="L39" t="str">
        <f t="shared" si="6"/>
        <v>December</v>
      </c>
      <c r="M39">
        <f>YEAR(C39)</f>
        <v>2024</v>
      </c>
      <c r="N39">
        <v>158</v>
      </c>
      <c r="O39" t="str">
        <f>IF(N39&gt;=200,"Platinum",IF(N39&gt;=100,"Gold",IF(N39&gt;=50,"Silver","Regular")))</f>
        <v>Gold</v>
      </c>
      <c r="P39" s="4" t="str">
        <f t="shared" si="1"/>
        <v>Wednesday</v>
      </c>
      <c r="Q39" s="4" t="str">
        <f t="shared" si="2"/>
        <v>Small Order</v>
      </c>
      <c r="R39" s="4" t="str">
        <f t="shared" si="3"/>
        <v>Weekday</v>
      </c>
      <c r="S39" s="4" t="str">
        <f t="shared" si="4"/>
        <v>Regular</v>
      </c>
    </row>
    <row r="40" spans="1:19" x14ac:dyDescent="0.3">
      <c r="A40">
        <v>4144</v>
      </c>
      <c r="B40" t="s">
        <v>31</v>
      </c>
      <c r="C40" s="1">
        <v>45626</v>
      </c>
      <c r="D40" t="s">
        <v>1</v>
      </c>
      <c r="E40" t="s">
        <v>32</v>
      </c>
      <c r="F40">
        <v>1</v>
      </c>
      <c r="G40">
        <v>4.66</v>
      </c>
      <c r="H40">
        <v>4.66</v>
      </c>
      <c r="I40" t="str">
        <f t="shared" si="0"/>
        <v>Low</v>
      </c>
      <c r="J40">
        <v>2.2599999999999998</v>
      </c>
      <c r="K40">
        <f t="shared" si="5"/>
        <v>2.4000000000000004</v>
      </c>
      <c r="L40" t="str">
        <f t="shared" si="6"/>
        <v>November</v>
      </c>
      <c r="M40">
        <f>YEAR(C40)</f>
        <v>2024</v>
      </c>
      <c r="N40">
        <v>92</v>
      </c>
      <c r="O40" t="str">
        <f>IF(N40&gt;=200,"Platinum",IF(N40&gt;=100,"Gold",IF(N40&gt;=50,"Silver","Regular")))</f>
        <v>Silver</v>
      </c>
      <c r="P40" s="4" t="str">
        <f t="shared" si="1"/>
        <v>Saturday</v>
      </c>
      <c r="Q40" s="4" t="str">
        <f t="shared" si="2"/>
        <v>Small Order</v>
      </c>
      <c r="R40" s="4" t="str">
        <f t="shared" si="3"/>
        <v>Weekend</v>
      </c>
      <c r="S40" s="4" t="str">
        <f t="shared" si="4"/>
        <v>Regular</v>
      </c>
    </row>
    <row r="41" spans="1:19" x14ac:dyDescent="0.3">
      <c r="A41">
        <v>8483</v>
      </c>
      <c r="B41" t="s">
        <v>19</v>
      </c>
      <c r="C41" s="1">
        <v>45151</v>
      </c>
      <c r="D41" t="s">
        <v>6</v>
      </c>
      <c r="E41" t="s">
        <v>30</v>
      </c>
      <c r="F41">
        <v>3</v>
      </c>
      <c r="G41">
        <v>1.72</v>
      </c>
      <c r="H41">
        <v>5.16</v>
      </c>
      <c r="I41" t="str">
        <f t="shared" si="0"/>
        <v>Low</v>
      </c>
      <c r="J41">
        <v>2.4700000000000002</v>
      </c>
      <c r="K41">
        <f t="shared" si="5"/>
        <v>2.69</v>
      </c>
      <c r="L41" t="str">
        <f t="shared" si="6"/>
        <v>August</v>
      </c>
      <c r="M41">
        <f>YEAR(C41)</f>
        <v>2023</v>
      </c>
      <c r="N41">
        <v>333</v>
      </c>
      <c r="O41" t="str">
        <f>IF(N41&gt;=200,"Platinum",IF(N41&gt;=100,"Gold",IF(N41&gt;=50,"Silver","Regular")))</f>
        <v>Platinum</v>
      </c>
      <c r="P41" s="4" t="str">
        <f t="shared" si="1"/>
        <v>Sunday</v>
      </c>
      <c r="Q41" s="4" t="str">
        <f t="shared" si="2"/>
        <v>Medium Order</v>
      </c>
      <c r="R41" s="4" t="str">
        <f t="shared" si="3"/>
        <v>Weekend</v>
      </c>
      <c r="S41" s="4" t="str">
        <f t="shared" si="4"/>
        <v>Regular</v>
      </c>
    </row>
    <row r="42" spans="1:19" x14ac:dyDescent="0.3">
      <c r="A42">
        <v>3086</v>
      </c>
      <c r="B42" t="s">
        <v>19</v>
      </c>
      <c r="C42" s="1">
        <v>45710</v>
      </c>
      <c r="D42" t="s">
        <v>24</v>
      </c>
      <c r="E42" t="s">
        <v>5</v>
      </c>
      <c r="F42">
        <v>2</v>
      </c>
      <c r="G42">
        <v>1.1100000000000001</v>
      </c>
      <c r="H42">
        <v>2.2200000000000002</v>
      </c>
      <c r="I42" t="str">
        <f t="shared" si="0"/>
        <v>Low</v>
      </c>
      <c r="J42">
        <v>1.06</v>
      </c>
      <c r="K42">
        <f t="shared" si="5"/>
        <v>1.1600000000000001</v>
      </c>
      <c r="L42" t="str">
        <f t="shared" si="6"/>
        <v>February</v>
      </c>
      <c r="M42">
        <f>YEAR(C42)</f>
        <v>2025</v>
      </c>
      <c r="N42">
        <v>465</v>
      </c>
      <c r="O42" t="str">
        <f>IF(N42&gt;=200,"Platinum",IF(N42&gt;=100,"Gold",IF(N42&gt;=50,"Silver","Regular")))</f>
        <v>Platinum</v>
      </c>
      <c r="P42" s="4" t="str">
        <f t="shared" si="1"/>
        <v>Saturday</v>
      </c>
      <c r="Q42" s="4" t="str">
        <f t="shared" si="2"/>
        <v>Small Order</v>
      </c>
      <c r="R42" s="4" t="str">
        <f t="shared" si="3"/>
        <v>Weekend</v>
      </c>
      <c r="S42" s="4" t="str">
        <f t="shared" si="4"/>
        <v>Regular</v>
      </c>
    </row>
    <row r="43" spans="1:19" x14ac:dyDescent="0.3">
      <c r="A43">
        <v>9270</v>
      </c>
      <c r="B43" t="s">
        <v>31</v>
      </c>
      <c r="C43" s="1">
        <v>45476</v>
      </c>
      <c r="D43" t="s">
        <v>4</v>
      </c>
      <c r="E43" t="s">
        <v>30</v>
      </c>
      <c r="F43">
        <v>1</v>
      </c>
      <c r="G43">
        <v>7.33</v>
      </c>
      <c r="H43">
        <v>7.33</v>
      </c>
      <c r="I43" t="str">
        <f t="shared" si="0"/>
        <v>Low</v>
      </c>
      <c r="J43">
        <v>3.47</v>
      </c>
      <c r="K43">
        <f t="shared" si="5"/>
        <v>3.86</v>
      </c>
      <c r="L43" t="str">
        <f t="shared" si="6"/>
        <v>July</v>
      </c>
      <c r="M43">
        <f>YEAR(C43)</f>
        <v>2024</v>
      </c>
      <c r="N43">
        <v>233</v>
      </c>
      <c r="O43" t="str">
        <f>IF(N43&gt;=200,"Platinum",IF(N43&gt;=100,"Gold",IF(N43&gt;=50,"Silver","Regular")))</f>
        <v>Platinum</v>
      </c>
      <c r="P43" s="4" t="str">
        <f t="shared" si="1"/>
        <v>Wednesday</v>
      </c>
      <c r="Q43" s="4" t="str">
        <f t="shared" si="2"/>
        <v>Small Order</v>
      </c>
      <c r="R43" s="4" t="str">
        <f t="shared" si="3"/>
        <v>Weekday</v>
      </c>
      <c r="S43" s="4" t="str">
        <f t="shared" si="4"/>
        <v>Regular</v>
      </c>
    </row>
    <row r="44" spans="1:19" x14ac:dyDescent="0.3">
      <c r="A44">
        <v>6110</v>
      </c>
      <c r="B44" t="s">
        <v>3</v>
      </c>
      <c r="C44" s="1">
        <v>45411</v>
      </c>
      <c r="D44" t="s">
        <v>17</v>
      </c>
      <c r="E44" t="s">
        <v>22</v>
      </c>
      <c r="F44">
        <v>4</v>
      </c>
      <c r="G44">
        <v>2.4</v>
      </c>
      <c r="H44">
        <v>9.6</v>
      </c>
      <c r="I44" t="str">
        <f t="shared" si="0"/>
        <v>Low</v>
      </c>
      <c r="J44">
        <v>4.47</v>
      </c>
      <c r="K44">
        <f t="shared" si="5"/>
        <v>5.13</v>
      </c>
      <c r="L44" t="str">
        <f t="shared" si="6"/>
        <v>April</v>
      </c>
      <c r="M44">
        <f>YEAR(C44)</f>
        <v>2024</v>
      </c>
      <c r="N44">
        <v>144</v>
      </c>
      <c r="O44" t="str">
        <f>IF(N44&gt;=200,"Platinum",IF(N44&gt;=100,"Gold",IF(N44&gt;=50,"Silver","Regular")))</f>
        <v>Gold</v>
      </c>
      <c r="P44" s="4" t="str">
        <f t="shared" si="1"/>
        <v>Monday</v>
      </c>
      <c r="Q44" s="4" t="str">
        <f t="shared" si="2"/>
        <v>Medium Order</v>
      </c>
      <c r="R44" s="4" t="str">
        <f t="shared" si="3"/>
        <v>Weekday</v>
      </c>
      <c r="S44" s="4" t="str">
        <f t="shared" si="4"/>
        <v>Regular</v>
      </c>
    </row>
    <row r="45" spans="1:19" x14ac:dyDescent="0.3">
      <c r="A45">
        <v>3503</v>
      </c>
      <c r="B45" t="s">
        <v>25</v>
      </c>
      <c r="C45" s="1">
        <v>45693</v>
      </c>
      <c r="D45" t="s">
        <v>24</v>
      </c>
      <c r="E45" t="s">
        <v>37</v>
      </c>
      <c r="F45">
        <v>2</v>
      </c>
      <c r="G45">
        <v>3.52</v>
      </c>
      <c r="H45">
        <v>7.04</v>
      </c>
      <c r="I45" t="str">
        <f t="shared" si="0"/>
        <v>Low</v>
      </c>
      <c r="J45">
        <v>3.22</v>
      </c>
      <c r="K45">
        <f t="shared" si="5"/>
        <v>3.82</v>
      </c>
      <c r="L45" t="str">
        <f t="shared" si="6"/>
        <v>February</v>
      </c>
      <c r="M45">
        <f>YEAR(C45)</f>
        <v>2025</v>
      </c>
      <c r="N45">
        <v>220</v>
      </c>
      <c r="O45" t="str">
        <f>IF(N45&gt;=200,"Platinum",IF(N45&gt;=100,"Gold",IF(N45&gt;=50,"Silver","Regular")))</f>
        <v>Platinum</v>
      </c>
      <c r="P45" s="4" t="str">
        <f t="shared" si="1"/>
        <v>Wednesday</v>
      </c>
      <c r="Q45" s="4" t="str">
        <f t="shared" si="2"/>
        <v>Small Order</v>
      </c>
      <c r="R45" s="4" t="str">
        <f t="shared" si="3"/>
        <v>Weekday</v>
      </c>
      <c r="S45" s="4" t="str">
        <f t="shared" si="4"/>
        <v>Regular</v>
      </c>
    </row>
    <row r="46" spans="1:19" x14ac:dyDescent="0.3">
      <c r="A46">
        <v>4328</v>
      </c>
      <c r="B46" t="s">
        <v>13</v>
      </c>
      <c r="C46" s="1">
        <v>45432</v>
      </c>
      <c r="D46" t="s">
        <v>34</v>
      </c>
      <c r="E46" t="s">
        <v>28</v>
      </c>
      <c r="F46">
        <v>5</v>
      </c>
      <c r="G46">
        <v>1.76</v>
      </c>
      <c r="H46">
        <v>8.8000000000000007</v>
      </c>
      <c r="I46" t="str">
        <f t="shared" si="0"/>
        <v>Low</v>
      </c>
      <c r="J46">
        <v>4.0199999999999996</v>
      </c>
      <c r="K46">
        <f t="shared" si="5"/>
        <v>4.7800000000000011</v>
      </c>
      <c r="L46" t="str">
        <f t="shared" si="6"/>
        <v>May</v>
      </c>
      <c r="M46">
        <f>YEAR(C46)</f>
        <v>2024</v>
      </c>
      <c r="N46">
        <v>392</v>
      </c>
      <c r="O46" t="str">
        <f>IF(N46&gt;=200,"Platinum",IF(N46&gt;=100,"Gold",IF(N46&gt;=50,"Silver","Regular")))</f>
        <v>Platinum</v>
      </c>
      <c r="P46" s="4" t="str">
        <f t="shared" si="1"/>
        <v>Monday</v>
      </c>
      <c r="Q46" s="4" t="str">
        <f t="shared" si="2"/>
        <v>Medium Order</v>
      </c>
      <c r="R46" s="4" t="str">
        <f t="shared" si="3"/>
        <v>Weekday</v>
      </c>
      <c r="S46" s="4" t="str">
        <f t="shared" si="4"/>
        <v>Regular</v>
      </c>
    </row>
    <row r="47" spans="1:19" x14ac:dyDescent="0.3">
      <c r="A47">
        <v>4070</v>
      </c>
      <c r="B47" t="s">
        <v>15</v>
      </c>
      <c r="C47" s="1">
        <v>45479</v>
      </c>
      <c r="D47" t="s">
        <v>6</v>
      </c>
      <c r="E47" t="s">
        <v>10</v>
      </c>
      <c r="F47">
        <v>1</v>
      </c>
      <c r="G47">
        <v>9.94</v>
      </c>
      <c r="H47">
        <v>9.94</v>
      </c>
      <c r="I47" t="str">
        <f t="shared" si="0"/>
        <v>Low</v>
      </c>
      <c r="J47">
        <v>4.5</v>
      </c>
      <c r="K47">
        <f t="shared" si="5"/>
        <v>5.4399999999999995</v>
      </c>
      <c r="L47" t="str">
        <f t="shared" si="6"/>
        <v>July</v>
      </c>
      <c r="M47">
        <f>YEAR(C47)</f>
        <v>2024</v>
      </c>
      <c r="N47">
        <v>209</v>
      </c>
      <c r="O47" t="str">
        <f>IF(N47&gt;=200,"Platinum",IF(N47&gt;=100,"Gold",IF(N47&gt;=50,"Silver","Regular")))</f>
        <v>Platinum</v>
      </c>
      <c r="P47" s="4" t="str">
        <f t="shared" si="1"/>
        <v>Saturday</v>
      </c>
      <c r="Q47" s="4" t="str">
        <f t="shared" si="2"/>
        <v>Small Order</v>
      </c>
      <c r="R47" s="4" t="str">
        <f t="shared" si="3"/>
        <v>Weekend</v>
      </c>
      <c r="S47" s="4" t="str">
        <f t="shared" si="4"/>
        <v>Regular</v>
      </c>
    </row>
    <row r="48" spans="1:19" x14ac:dyDescent="0.3">
      <c r="A48">
        <v>2494</v>
      </c>
      <c r="B48" t="s">
        <v>8</v>
      </c>
      <c r="C48" s="1">
        <v>45791</v>
      </c>
      <c r="D48" t="s">
        <v>24</v>
      </c>
      <c r="E48" t="s">
        <v>14</v>
      </c>
      <c r="F48">
        <v>2</v>
      </c>
      <c r="G48">
        <v>3.06</v>
      </c>
      <c r="H48">
        <v>6.12</v>
      </c>
      <c r="I48" t="str">
        <f t="shared" si="0"/>
        <v>Low</v>
      </c>
      <c r="J48">
        <v>2.77</v>
      </c>
      <c r="K48">
        <f t="shared" si="5"/>
        <v>3.35</v>
      </c>
      <c r="L48" t="str">
        <f t="shared" si="6"/>
        <v>May</v>
      </c>
      <c r="M48">
        <f>YEAR(C48)</f>
        <v>2025</v>
      </c>
      <c r="N48">
        <v>313</v>
      </c>
      <c r="O48" t="str">
        <f>IF(N48&gt;=200,"Platinum",IF(N48&gt;=100,"Gold",IF(N48&gt;=50,"Silver","Regular")))</f>
        <v>Platinum</v>
      </c>
      <c r="P48" s="4" t="str">
        <f t="shared" si="1"/>
        <v>Wednesday</v>
      </c>
      <c r="Q48" s="4" t="str">
        <f t="shared" si="2"/>
        <v>Small Order</v>
      </c>
      <c r="R48" s="4" t="str">
        <f t="shared" si="3"/>
        <v>Weekday</v>
      </c>
      <c r="S48" s="4" t="str">
        <f t="shared" si="4"/>
        <v>Regular</v>
      </c>
    </row>
    <row r="49" spans="1:19" x14ac:dyDescent="0.3">
      <c r="A49">
        <v>8381</v>
      </c>
      <c r="B49" t="s">
        <v>31</v>
      </c>
      <c r="C49" s="1">
        <v>45526</v>
      </c>
      <c r="D49" t="s">
        <v>16</v>
      </c>
      <c r="E49" t="s">
        <v>2</v>
      </c>
      <c r="F49">
        <v>2</v>
      </c>
      <c r="G49">
        <v>3.77</v>
      </c>
      <c r="H49">
        <v>7.54</v>
      </c>
      <c r="I49" t="str">
        <f t="shared" si="0"/>
        <v>Low</v>
      </c>
      <c r="J49">
        <v>3.39</v>
      </c>
      <c r="K49">
        <f t="shared" si="5"/>
        <v>4.1500000000000004</v>
      </c>
      <c r="L49" t="str">
        <f t="shared" si="6"/>
        <v>August</v>
      </c>
      <c r="M49">
        <f>YEAR(C49)</f>
        <v>2024</v>
      </c>
      <c r="N49">
        <v>282</v>
      </c>
      <c r="O49" t="str">
        <f>IF(N49&gt;=200,"Platinum",IF(N49&gt;=100,"Gold",IF(N49&gt;=50,"Silver","Regular")))</f>
        <v>Platinum</v>
      </c>
      <c r="P49" s="4" t="str">
        <f t="shared" si="1"/>
        <v>Thursday</v>
      </c>
      <c r="Q49" s="4" t="str">
        <f t="shared" si="2"/>
        <v>Small Order</v>
      </c>
      <c r="R49" s="4" t="str">
        <f t="shared" si="3"/>
        <v>Weekday</v>
      </c>
      <c r="S49" s="4" t="str">
        <f t="shared" si="4"/>
        <v>Regular</v>
      </c>
    </row>
    <row r="50" spans="1:19" x14ac:dyDescent="0.3">
      <c r="A50">
        <v>7484</v>
      </c>
      <c r="B50" t="s">
        <v>8</v>
      </c>
      <c r="C50" s="1">
        <v>45358</v>
      </c>
      <c r="D50" t="s">
        <v>9</v>
      </c>
      <c r="E50" t="s">
        <v>37</v>
      </c>
      <c r="F50">
        <v>1</v>
      </c>
      <c r="G50">
        <v>2.84</v>
      </c>
      <c r="H50">
        <v>2.84</v>
      </c>
      <c r="I50" t="str">
        <f t="shared" si="0"/>
        <v>Low</v>
      </c>
      <c r="J50">
        <v>1.22</v>
      </c>
      <c r="K50">
        <f t="shared" si="5"/>
        <v>1.6199999999999999</v>
      </c>
      <c r="L50" t="str">
        <f t="shared" si="6"/>
        <v>March</v>
      </c>
      <c r="M50">
        <f>YEAR(C50)</f>
        <v>2024</v>
      </c>
      <c r="N50">
        <v>449</v>
      </c>
      <c r="O50" t="str">
        <f>IF(N50&gt;=200,"Platinum",IF(N50&gt;=100,"Gold",IF(N50&gt;=50,"Silver","Regular")))</f>
        <v>Platinum</v>
      </c>
      <c r="P50" s="4" t="str">
        <f t="shared" si="1"/>
        <v>Thursday</v>
      </c>
      <c r="Q50" s="4" t="str">
        <f t="shared" si="2"/>
        <v>Small Order</v>
      </c>
      <c r="R50" s="4" t="str">
        <f t="shared" si="3"/>
        <v>Weekday</v>
      </c>
      <c r="S50" s="4" t="str">
        <f t="shared" si="4"/>
        <v>Regular</v>
      </c>
    </row>
    <row r="51" spans="1:19" x14ac:dyDescent="0.3">
      <c r="A51">
        <v>5494</v>
      </c>
      <c r="B51" t="s">
        <v>15</v>
      </c>
      <c r="C51" s="1">
        <v>45180</v>
      </c>
      <c r="D51" t="s">
        <v>6</v>
      </c>
      <c r="E51" t="s">
        <v>37</v>
      </c>
      <c r="F51">
        <v>1</v>
      </c>
      <c r="G51">
        <v>6.99</v>
      </c>
      <c r="H51">
        <v>6.99</v>
      </c>
      <c r="I51" t="str">
        <f t="shared" si="0"/>
        <v>Low</v>
      </c>
      <c r="J51">
        <v>2.89</v>
      </c>
      <c r="K51">
        <f t="shared" si="5"/>
        <v>4.0999999999999996</v>
      </c>
      <c r="L51" t="str">
        <f t="shared" si="6"/>
        <v>September</v>
      </c>
      <c r="M51">
        <f>YEAR(C51)</f>
        <v>2023</v>
      </c>
      <c r="N51">
        <v>326</v>
      </c>
      <c r="O51" t="str">
        <f>IF(N51&gt;=200,"Platinum",IF(N51&gt;=100,"Gold",IF(N51&gt;=50,"Silver","Regular")))</f>
        <v>Platinum</v>
      </c>
      <c r="P51" s="4" t="str">
        <f t="shared" si="1"/>
        <v>Monday</v>
      </c>
      <c r="Q51" s="4" t="str">
        <f t="shared" si="2"/>
        <v>Small Order</v>
      </c>
      <c r="R51" s="4" t="str">
        <f t="shared" si="3"/>
        <v>Weekday</v>
      </c>
      <c r="S51" s="4" t="str">
        <f t="shared" si="4"/>
        <v>Regular</v>
      </c>
    </row>
    <row r="52" spans="1:19" x14ac:dyDescent="0.3">
      <c r="A52">
        <v>9824</v>
      </c>
      <c r="B52" t="s">
        <v>13</v>
      </c>
      <c r="C52" s="1">
        <v>45355</v>
      </c>
      <c r="D52" t="s">
        <v>23</v>
      </c>
      <c r="E52" t="s">
        <v>12</v>
      </c>
      <c r="F52">
        <v>1</v>
      </c>
      <c r="G52">
        <v>10.79</v>
      </c>
      <c r="H52">
        <v>10.79</v>
      </c>
      <c r="I52" t="str">
        <f t="shared" si="0"/>
        <v>Low</v>
      </c>
      <c r="J52">
        <v>4.4000000000000004</v>
      </c>
      <c r="K52">
        <f t="shared" si="5"/>
        <v>6.3899999999999988</v>
      </c>
      <c r="L52" t="str">
        <f t="shared" si="6"/>
        <v>March</v>
      </c>
      <c r="M52">
        <f>YEAR(C52)</f>
        <v>2024</v>
      </c>
      <c r="N52">
        <v>347</v>
      </c>
      <c r="O52" t="str">
        <f>IF(N52&gt;=200,"Platinum",IF(N52&gt;=100,"Gold",IF(N52&gt;=50,"Silver","Regular")))</f>
        <v>Platinum</v>
      </c>
      <c r="P52" s="4" t="str">
        <f t="shared" si="1"/>
        <v>Monday</v>
      </c>
      <c r="Q52" s="4" t="str">
        <f t="shared" si="2"/>
        <v>Small Order</v>
      </c>
      <c r="R52" s="4" t="str">
        <f t="shared" si="3"/>
        <v>Weekday</v>
      </c>
      <c r="S52" s="4" t="str">
        <f t="shared" si="4"/>
        <v>Regular</v>
      </c>
    </row>
    <row r="53" spans="1:19" x14ac:dyDescent="0.3">
      <c r="A53">
        <v>2083</v>
      </c>
      <c r="B53" t="s">
        <v>8</v>
      </c>
      <c r="C53" s="1">
        <v>45385</v>
      </c>
      <c r="D53" t="s">
        <v>6</v>
      </c>
      <c r="E53" t="s">
        <v>26</v>
      </c>
      <c r="F53">
        <v>1</v>
      </c>
      <c r="G53">
        <v>11.52</v>
      </c>
      <c r="H53">
        <v>11.52</v>
      </c>
      <c r="I53" t="str">
        <f t="shared" si="0"/>
        <v>Low</v>
      </c>
      <c r="J53">
        <v>4.62</v>
      </c>
      <c r="K53">
        <f t="shared" si="5"/>
        <v>6.8999999999999995</v>
      </c>
      <c r="L53" t="str">
        <f t="shared" si="6"/>
        <v>April</v>
      </c>
      <c r="M53">
        <f>YEAR(C53)</f>
        <v>2024</v>
      </c>
      <c r="N53">
        <v>465</v>
      </c>
      <c r="O53" t="str">
        <f>IF(N53&gt;=200,"Platinum",IF(N53&gt;=100,"Gold",IF(N53&gt;=50,"Silver","Regular")))</f>
        <v>Platinum</v>
      </c>
      <c r="P53" s="4" t="str">
        <f t="shared" si="1"/>
        <v>Wednesday</v>
      </c>
      <c r="Q53" s="4" t="str">
        <f t="shared" si="2"/>
        <v>Small Order</v>
      </c>
      <c r="R53" s="4" t="str">
        <f t="shared" si="3"/>
        <v>Weekday</v>
      </c>
      <c r="S53" s="4" t="str">
        <f t="shared" si="4"/>
        <v>Regular</v>
      </c>
    </row>
    <row r="54" spans="1:19" x14ac:dyDescent="0.3">
      <c r="A54">
        <v>3024</v>
      </c>
      <c r="B54" t="s">
        <v>8</v>
      </c>
      <c r="C54" s="1">
        <v>45498</v>
      </c>
      <c r="D54" t="s">
        <v>23</v>
      </c>
      <c r="E54" t="s">
        <v>29</v>
      </c>
      <c r="F54">
        <v>2</v>
      </c>
      <c r="G54">
        <v>4.09</v>
      </c>
      <c r="H54">
        <v>8.18</v>
      </c>
      <c r="I54" t="str">
        <f t="shared" si="0"/>
        <v>Low</v>
      </c>
      <c r="J54">
        <v>3.28</v>
      </c>
      <c r="K54">
        <f t="shared" si="5"/>
        <v>4.9000000000000004</v>
      </c>
      <c r="L54" t="str">
        <f t="shared" si="6"/>
        <v>July</v>
      </c>
      <c r="M54">
        <f>YEAR(C54)</f>
        <v>2024</v>
      </c>
      <c r="N54">
        <v>98</v>
      </c>
      <c r="O54" t="str">
        <f>IF(N54&gt;=200,"Platinum",IF(N54&gt;=100,"Gold",IF(N54&gt;=50,"Silver","Regular")))</f>
        <v>Silver</v>
      </c>
      <c r="P54" s="4" t="str">
        <f t="shared" si="1"/>
        <v>Thursday</v>
      </c>
      <c r="Q54" s="4" t="str">
        <f t="shared" si="2"/>
        <v>Small Order</v>
      </c>
      <c r="R54" s="4" t="str">
        <f t="shared" si="3"/>
        <v>Weekday</v>
      </c>
      <c r="S54" s="4" t="str">
        <f t="shared" si="4"/>
        <v>Regular</v>
      </c>
    </row>
    <row r="55" spans="1:19" x14ac:dyDescent="0.3">
      <c r="A55">
        <v>1802</v>
      </c>
      <c r="B55" t="s">
        <v>15</v>
      </c>
      <c r="C55" s="1">
        <v>45670</v>
      </c>
      <c r="D55" t="s">
        <v>24</v>
      </c>
      <c r="E55" t="s">
        <v>18</v>
      </c>
      <c r="F55">
        <v>1</v>
      </c>
      <c r="G55">
        <v>9.41</v>
      </c>
      <c r="H55">
        <v>9.41</v>
      </c>
      <c r="I55" t="str">
        <f t="shared" si="0"/>
        <v>Low</v>
      </c>
      <c r="J55">
        <v>3.75</v>
      </c>
      <c r="K55">
        <f t="shared" si="5"/>
        <v>5.66</v>
      </c>
      <c r="L55" t="str">
        <f t="shared" si="6"/>
        <v>January</v>
      </c>
      <c r="M55">
        <f>YEAR(C55)</f>
        <v>2025</v>
      </c>
      <c r="N55">
        <v>169</v>
      </c>
      <c r="O55" t="str">
        <f>IF(N55&gt;=200,"Platinum",IF(N55&gt;=100,"Gold",IF(N55&gt;=50,"Silver","Regular")))</f>
        <v>Gold</v>
      </c>
      <c r="P55" s="4" t="str">
        <f t="shared" si="1"/>
        <v>Monday</v>
      </c>
      <c r="Q55" s="4" t="str">
        <f t="shared" si="2"/>
        <v>Small Order</v>
      </c>
      <c r="R55" s="4" t="str">
        <f t="shared" si="3"/>
        <v>Weekday</v>
      </c>
      <c r="S55" s="4" t="str">
        <f t="shared" si="4"/>
        <v>Regular</v>
      </c>
    </row>
    <row r="56" spans="1:19" x14ac:dyDescent="0.3">
      <c r="A56">
        <v>2786</v>
      </c>
      <c r="B56" t="s">
        <v>19</v>
      </c>
      <c r="C56" s="1">
        <v>45496</v>
      </c>
      <c r="D56" t="s">
        <v>34</v>
      </c>
      <c r="E56" t="s">
        <v>26</v>
      </c>
      <c r="F56">
        <v>2</v>
      </c>
      <c r="G56">
        <v>4.4000000000000004</v>
      </c>
      <c r="H56">
        <v>8.8000000000000007</v>
      </c>
      <c r="I56" t="str">
        <f t="shared" si="0"/>
        <v>Low</v>
      </c>
      <c r="J56">
        <v>3.49</v>
      </c>
      <c r="K56">
        <f t="shared" si="5"/>
        <v>5.3100000000000005</v>
      </c>
      <c r="L56" t="str">
        <f t="shared" si="6"/>
        <v>July</v>
      </c>
      <c r="M56">
        <f>YEAR(C56)</f>
        <v>2024</v>
      </c>
      <c r="N56">
        <v>67</v>
      </c>
      <c r="O56" t="str">
        <f>IF(N56&gt;=200,"Platinum",IF(N56&gt;=100,"Gold",IF(N56&gt;=50,"Silver","Regular")))</f>
        <v>Silver</v>
      </c>
      <c r="P56" s="4" t="str">
        <f t="shared" si="1"/>
        <v>Tuesday</v>
      </c>
      <c r="Q56" s="4" t="str">
        <f t="shared" si="2"/>
        <v>Small Order</v>
      </c>
      <c r="R56" s="4" t="str">
        <f t="shared" si="3"/>
        <v>Weekday</v>
      </c>
      <c r="S56" s="4" t="str">
        <f t="shared" si="4"/>
        <v>Regular</v>
      </c>
    </row>
    <row r="57" spans="1:19" x14ac:dyDescent="0.3">
      <c r="A57">
        <v>1043</v>
      </c>
      <c r="B57" t="s">
        <v>19</v>
      </c>
      <c r="C57" s="1">
        <v>45462</v>
      </c>
      <c r="D57" t="s">
        <v>16</v>
      </c>
      <c r="E57" t="s">
        <v>26</v>
      </c>
      <c r="F57">
        <v>2</v>
      </c>
      <c r="G57">
        <v>5.34</v>
      </c>
      <c r="H57">
        <v>10.68</v>
      </c>
      <c r="I57" t="str">
        <f t="shared" si="0"/>
        <v>Low</v>
      </c>
      <c r="J57">
        <v>4.22</v>
      </c>
      <c r="K57">
        <f t="shared" si="5"/>
        <v>6.46</v>
      </c>
      <c r="L57" t="str">
        <f t="shared" si="6"/>
        <v>June</v>
      </c>
      <c r="M57">
        <f>YEAR(C57)</f>
        <v>2024</v>
      </c>
      <c r="N57">
        <v>391</v>
      </c>
      <c r="O57" t="str">
        <f>IF(N57&gt;=200,"Platinum",IF(N57&gt;=100,"Gold",IF(N57&gt;=50,"Silver","Regular")))</f>
        <v>Platinum</v>
      </c>
      <c r="P57" s="4" t="str">
        <f t="shared" si="1"/>
        <v>Wednesday</v>
      </c>
      <c r="Q57" s="4" t="str">
        <f t="shared" si="2"/>
        <v>Small Order</v>
      </c>
      <c r="R57" s="4" t="str">
        <f t="shared" si="3"/>
        <v>Weekday</v>
      </c>
      <c r="S57" s="4" t="str">
        <f t="shared" si="4"/>
        <v>Regular</v>
      </c>
    </row>
    <row r="58" spans="1:19" x14ac:dyDescent="0.3">
      <c r="A58">
        <v>4571</v>
      </c>
      <c r="B58" t="s">
        <v>25</v>
      </c>
      <c r="C58" s="1">
        <v>45506</v>
      </c>
      <c r="D58" t="s">
        <v>16</v>
      </c>
      <c r="E58" t="s">
        <v>29</v>
      </c>
      <c r="F58">
        <v>1</v>
      </c>
      <c r="G58">
        <v>3.88</v>
      </c>
      <c r="H58">
        <v>3.88</v>
      </c>
      <c r="I58" t="str">
        <f t="shared" si="0"/>
        <v>Low</v>
      </c>
      <c r="J58">
        <v>1.5</v>
      </c>
      <c r="K58">
        <f t="shared" si="5"/>
        <v>2.38</v>
      </c>
      <c r="L58" t="str">
        <f t="shared" si="6"/>
        <v>August</v>
      </c>
      <c r="M58">
        <f>YEAR(C58)</f>
        <v>2024</v>
      </c>
      <c r="N58">
        <v>401</v>
      </c>
      <c r="O58" t="str">
        <f>IF(N58&gt;=200,"Platinum",IF(N58&gt;=100,"Gold",IF(N58&gt;=50,"Silver","Regular")))</f>
        <v>Platinum</v>
      </c>
      <c r="P58" s="4" t="str">
        <f t="shared" si="1"/>
        <v>Friday</v>
      </c>
      <c r="Q58" s="4" t="str">
        <f t="shared" si="2"/>
        <v>Small Order</v>
      </c>
      <c r="R58" s="4" t="str">
        <f t="shared" si="3"/>
        <v>Weekday</v>
      </c>
      <c r="S58" s="4" t="str">
        <f t="shared" si="4"/>
        <v>Regular</v>
      </c>
    </row>
    <row r="59" spans="1:19" x14ac:dyDescent="0.3">
      <c r="A59">
        <v>9984</v>
      </c>
      <c r="B59" t="s">
        <v>31</v>
      </c>
      <c r="C59" s="1">
        <v>45698</v>
      </c>
      <c r="D59" t="s">
        <v>17</v>
      </c>
      <c r="E59" t="s">
        <v>5</v>
      </c>
      <c r="F59">
        <v>4</v>
      </c>
      <c r="G59">
        <v>2.31</v>
      </c>
      <c r="H59">
        <v>9.24</v>
      </c>
      <c r="I59" t="str">
        <f t="shared" si="0"/>
        <v>Low</v>
      </c>
      <c r="J59">
        <v>3.56</v>
      </c>
      <c r="K59">
        <f t="shared" si="5"/>
        <v>5.68</v>
      </c>
      <c r="L59" t="str">
        <f t="shared" si="6"/>
        <v>February</v>
      </c>
      <c r="M59">
        <f>YEAR(C59)</f>
        <v>2025</v>
      </c>
      <c r="N59">
        <v>179</v>
      </c>
      <c r="O59" t="str">
        <f>IF(N59&gt;=200,"Platinum",IF(N59&gt;=100,"Gold",IF(N59&gt;=50,"Silver","Regular")))</f>
        <v>Gold</v>
      </c>
      <c r="P59" s="4" t="str">
        <f t="shared" si="1"/>
        <v>Monday</v>
      </c>
      <c r="Q59" s="4" t="str">
        <f t="shared" si="2"/>
        <v>Medium Order</v>
      </c>
      <c r="R59" s="4" t="str">
        <f t="shared" si="3"/>
        <v>Weekday</v>
      </c>
      <c r="S59" s="4" t="str">
        <f t="shared" si="4"/>
        <v>Regular</v>
      </c>
    </row>
    <row r="60" spans="1:19" x14ac:dyDescent="0.3">
      <c r="A60">
        <v>8179</v>
      </c>
      <c r="B60" t="s">
        <v>0</v>
      </c>
      <c r="C60" s="1">
        <v>45792</v>
      </c>
      <c r="D60" t="s">
        <v>27</v>
      </c>
      <c r="E60" t="s">
        <v>18</v>
      </c>
      <c r="F60">
        <v>1</v>
      </c>
      <c r="G60">
        <v>8.17</v>
      </c>
      <c r="H60">
        <v>8.17</v>
      </c>
      <c r="I60" t="str">
        <f t="shared" si="0"/>
        <v>Low</v>
      </c>
      <c r="J60">
        <v>3.09</v>
      </c>
      <c r="K60">
        <f t="shared" si="5"/>
        <v>5.08</v>
      </c>
      <c r="L60" t="str">
        <f t="shared" si="6"/>
        <v>May</v>
      </c>
      <c r="M60">
        <f>YEAR(C60)</f>
        <v>2025</v>
      </c>
      <c r="N60">
        <v>224</v>
      </c>
      <c r="O60" t="str">
        <f>IF(N60&gt;=200,"Platinum",IF(N60&gt;=100,"Gold",IF(N60&gt;=50,"Silver","Regular")))</f>
        <v>Platinum</v>
      </c>
      <c r="P60" s="4" t="str">
        <f t="shared" si="1"/>
        <v>Thursday</v>
      </c>
      <c r="Q60" s="4" t="str">
        <f t="shared" si="2"/>
        <v>Small Order</v>
      </c>
      <c r="R60" s="4" t="str">
        <f t="shared" si="3"/>
        <v>Weekday</v>
      </c>
      <c r="S60" s="4" t="str">
        <f t="shared" si="4"/>
        <v>Regular</v>
      </c>
    </row>
    <row r="61" spans="1:19" x14ac:dyDescent="0.3">
      <c r="A61">
        <v>6419</v>
      </c>
      <c r="B61" t="s">
        <v>15</v>
      </c>
      <c r="C61" s="1">
        <v>45418</v>
      </c>
      <c r="D61" t="s">
        <v>1</v>
      </c>
      <c r="E61" t="s">
        <v>32</v>
      </c>
      <c r="F61">
        <v>1</v>
      </c>
      <c r="G61">
        <v>7.74</v>
      </c>
      <c r="H61">
        <v>7.74</v>
      </c>
      <c r="I61" t="str">
        <f t="shared" si="0"/>
        <v>Low</v>
      </c>
      <c r="J61">
        <v>2.91</v>
      </c>
      <c r="K61">
        <f t="shared" si="5"/>
        <v>4.83</v>
      </c>
      <c r="L61" t="str">
        <f t="shared" si="6"/>
        <v>May</v>
      </c>
      <c r="M61">
        <f>YEAR(C61)</f>
        <v>2024</v>
      </c>
      <c r="N61">
        <v>112</v>
      </c>
      <c r="O61" t="str">
        <f>IF(N61&gt;=200,"Platinum",IF(N61&gt;=100,"Gold",IF(N61&gt;=50,"Silver","Regular")))</f>
        <v>Gold</v>
      </c>
      <c r="P61" s="4" t="str">
        <f t="shared" si="1"/>
        <v>Monday</v>
      </c>
      <c r="Q61" s="4" t="str">
        <f t="shared" si="2"/>
        <v>Small Order</v>
      </c>
      <c r="R61" s="4" t="str">
        <f t="shared" si="3"/>
        <v>Weekday</v>
      </c>
      <c r="S61" s="4" t="str">
        <f t="shared" si="4"/>
        <v>Regular</v>
      </c>
    </row>
    <row r="62" spans="1:19" x14ac:dyDescent="0.3">
      <c r="A62">
        <v>2758</v>
      </c>
      <c r="B62" t="s">
        <v>3</v>
      </c>
      <c r="C62" s="1">
        <v>45866</v>
      </c>
      <c r="D62" t="s">
        <v>23</v>
      </c>
      <c r="E62" t="s">
        <v>29</v>
      </c>
      <c r="F62">
        <v>2</v>
      </c>
      <c r="G62">
        <v>6.55</v>
      </c>
      <c r="H62">
        <v>13.1</v>
      </c>
      <c r="I62" t="str">
        <f t="shared" si="0"/>
        <v>Low</v>
      </c>
      <c r="J62">
        <v>4.9000000000000004</v>
      </c>
      <c r="K62">
        <f t="shared" si="5"/>
        <v>8.1999999999999993</v>
      </c>
      <c r="L62" t="str">
        <f t="shared" si="6"/>
        <v>July</v>
      </c>
      <c r="M62">
        <f>YEAR(C62)</f>
        <v>2025</v>
      </c>
      <c r="N62">
        <v>281</v>
      </c>
      <c r="O62" t="str">
        <f>IF(N62&gt;=200,"Platinum",IF(N62&gt;=100,"Gold",IF(N62&gt;=50,"Silver","Regular")))</f>
        <v>Platinum</v>
      </c>
      <c r="P62" s="4" t="str">
        <f t="shared" si="1"/>
        <v>Monday</v>
      </c>
      <c r="Q62" s="4" t="str">
        <f t="shared" si="2"/>
        <v>Small Order</v>
      </c>
      <c r="R62" s="4" t="str">
        <f t="shared" si="3"/>
        <v>Weekday</v>
      </c>
      <c r="S62" s="4" t="str">
        <f t="shared" si="4"/>
        <v>Regular</v>
      </c>
    </row>
    <row r="63" spans="1:19" x14ac:dyDescent="0.3">
      <c r="A63">
        <v>2891</v>
      </c>
      <c r="B63" t="s">
        <v>15</v>
      </c>
      <c r="C63" s="1">
        <v>45836</v>
      </c>
      <c r="D63" t="s">
        <v>6</v>
      </c>
      <c r="E63" t="s">
        <v>14</v>
      </c>
      <c r="F63">
        <v>2</v>
      </c>
      <c r="G63">
        <v>5.48</v>
      </c>
      <c r="H63">
        <v>10.96</v>
      </c>
      <c r="I63" t="str">
        <f t="shared" si="0"/>
        <v>Low</v>
      </c>
      <c r="J63">
        <v>4.08</v>
      </c>
      <c r="K63">
        <f t="shared" si="5"/>
        <v>6.8800000000000008</v>
      </c>
      <c r="L63" t="str">
        <f t="shared" si="6"/>
        <v>June</v>
      </c>
      <c r="M63">
        <f>YEAR(C63)</f>
        <v>2025</v>
      </c>
      <c r="N63">
        <v>151</v>
      </c>
      <c r="O63" t="str">
        <f>IF(N63&gt;=200,"Platinum",IF(N63&gt;=100,"Gold",IF(N63&gt;=50,"Silver","Regular")))</f>
        <v>Gold</v>
      </c>
      <c r="P63" s="4" t="str">
        <f t="shared" si="1"/>
        <v>Saturday</v>
      </c>
      <c r="Q63" s="4" t="str">
        <f t="shared" si="2"/>
        <v>Small Order</v>
      </c>
      <c r="R63" s="4" t="str">
        <f t="shared" si="3"/>
        <v>Weekend</v>
      </c>
      <c r="S63" s="4" t="str">
        <f t="shared" si="4"/>
        <v>Regular</v>
      </c>
    </row>
    <row r="64" spans="1:19" x14ac:dyDescent="0.3">
      <c r="A64">
        <v>5646</v>
      </c>
      <c r="B64" t="s">
        <v>15</v>
      </c>
      <c r="C64" s="1">
        <v>45407</v>
      </c>
      <c r="D64" t="s">
        <v>23</v>
      </c>
      <c r="E64" t="s">
        <v>2</v>
      </c>
      <c r="F64">
        <v>3</v>
      </c>
      <c r="G64">
        <v>1.3</v>
      </c>
      <c r="H64">
        <v>3.9</v>
      </c>
      <c r="I64" t="str">
        <f t="shared" si="0"/>
        <v>Low</v>
      </c>
      <c r="J64">
        <v>1.41</v>
      </c>
      <c r="K64">
        <f t="shared" si="5"/>
        <v>2.4900000000000002</v>
      </c>
      <c r="L64" t="str">
        <f t="shared" si="6"/>
        <v>April</v>
      </c>
      <c r="M64">
        <f>YEAR(C64)</f>
        <v>2024</v>
      </c>
      <c r="N64">
        <v>60</v>
      </c>
      <c r="O64" t="str">
        <f>IF(N64&gt;=200,"Platinum",IF(N64&gt;=100,"Gold",IF(N64&gt;=50,"Silver","Regular")))</f>
        <v>Silver</v>
      </c>
      <c r="P64" s="4" t="str">
        <f t="shared" si="1"/>
        <v>Thursday</v>
      </c>
      <c r="Q64" s="4" t="str">
        <f t="shared" si="2"/>
        <v>Medium Order</v>
      </c>
      <c r="R64" s="4" t="str">
        <f t="shared" si="3"/>
        <v>Weekday</v>
      </c>
      <c r="S64" s="4" t="str">
        <f t="shared" si="4"/>
        <v>Regular</v>
      </c>
    </row>
    <row r="65" spans="1:19" x14ac:dyDescent="0.3">
      <c r="A65">
        <v>1307</v>
      </c>
      <c r="B65" t="s">
        <v>0</v>
      </c>
      <c r="C65" s="1">
        <v>45502</v>
      </c>
      <c r="D65" t="s">
        <v>16</v>
      </c>
      <c r="E65" t="s">
        <v>21</v>
      </c>
      <c r="F65">
        <v>2</v>
      </c>
      <c r="G65">
        <v>1.44</v>
      </c>
      <c r="H65">
        <v>2.88</v>
      </c>
      <c r="I65" t="str">
        <f t="shared" si="0"/>
        <v>Low</v>
      </c>
      <c r="J65">
        <v>1.03</v>
      </c>
      <c r="K65">
        <f t="shared" si="5"/>
        <v>1.8499999999999999</v>
      </c>
      <c r="L65" t="str">
        <f t="shared" si="6"/>
        <v>July</v>
      </c>
      <c r="M65">
        <f>YEAR(C65)</f>
        <v>2024</v>
      </c>
      <c r="N65">
        <v>249</v>
      </c>
      <c r="O65" t="str">
        <f>IF(N65&gt;=200,"Platinum",IF(N65&gt;=100,"Gold",IF(N65&gt;=50,"Silver","Regular")))</f>
        <v>Platinum</v>
      </c>
      <c r="P65" s="4" t="str">
        <f t="shared" si="1"/>
        <v>Monday</v>
      </c>
      <c r="Q65" s="4" t="str">
        <f t="shared" si="2"/>
        <v>Small Order</v>
      </c>
      <c r="R65" s="4" t="str">
        <f t="shared" si="3"/>
        <v>Weekday</v>
      </c>
      <c r="S65" s="4" t="str">
        <f t="shared" si="4"/>
        <v>Regular</v>
      </c>
    </row>
    <row r="66" spans="1:19" x14ac:dyDescent="0.3">
      <c r="A66">
        <v>2612</v>
      </c>
      <c r="B66" t="s">
        <v>19</v>
      </c>
      <c r="C66" s="1">
        <v>45192</v>
      </c>
      <c r="D66" t="s">
        <v>16</v>
      </c>
      <c r="E66" t="s">
        <v>7</v>
      </c>
      <c r="F66">
        <v>2</v>
      </c>
      <c r="G66">
        <v>3.13</v>
      </c>
      <c r="H66">
        <v>6.26</v>
      </c>
      <c r="I66" t="str">
        <f t="shared" ref="I66:I129" si="7">IF(J66=0,"No Discount",IF(J66&lt;=5,"Low",IF(J66&lt;=10,"Medium",IF(J66&lt;=20,"High","Very High"))))</f>
        <v>Low</v>
      </c>
      <c r="J66">
        <v>2.2000000000000002</v>
      </c>
      <c r="K66">
        <f t="shared" si="5"/>
        <v>4.0599999999999996</v>
      </c>
      <c r="L66" t="str">
        <f t="shared" si="6"/>
        <v>September</v>
      </c>
      <c r="M66">
        <f>YEAR(C66)</f>
        <v>2023</v>
      </c>
      <c r="N66">
        <v>483</v>
      </c>
      <c r="O66" t="str">
        <f>IF(N66&gt;=200,"Platinum",IF(N66&gt;=100,"Gold",IF(N66&gt;=50,"Silver","Regular")))</f>
        <v>Platinum</v>
      </c>
      <c r="P66" s="4" t="str">
        <f t="shared" ref="P66:P129" si="8">TEXT(C66,"dddd")</f>
        <v>Saturday</v>
      </c>
      <c r="Q66" s="4" t="str">
        <f t="shared" ref="Q66:Q129" si="9">IF(F66&lt;=2,"Small Order",IF(F66&lt;=5,"Medium Order",IF(F66&lt;=10,"Large Order","Bulk Order")))</f>
        <v>Small Order</v>
      </c>
      <c r="R66" s="4" t="str">
        <f t="shared" ref="R66:R129" si="10">IF(WEEKDAY(C66,2)&gt;5,"Weekend","Weekday")</f>
        <v>Weekend</v>
      </c>
      <c r="S66" s="4" t="str">
        <f t="shared" ref="S66:S129" si="11">IF(K66&gt;=100,"High Value","Regular")</f>
        <v>Regular</v>
      </c>
    </row>
    <row r="67" spans="1:19" x14ac:dyDescent="0.3">
      <c r="A67">
        <v>2127</v>
      </c>
      <c r="B67" t="s">
        <v>20</v>
      </c>
      <c r="C67" s="1">
        <v>45827</v>
      </c>
      <c r="D67" t="s">
        <v>1</v>
      </c>
      <c r="E67" t="s">
        <v>12</v>
      </c>
      <c r="F67">
        <v>3</v>
      </c>
      <c r="G67">
        <v>3.22</v>
      </c>
      <c r="H67">
        <v>9.66</v>
      </c>
      <c r="I67" t="str">
        <f t="shared" si="7"/>
        <v>Low</v>
      </c>
      <c r="J67">
        <v>3.38</v>
      </c>
      <c r="K67">
        <f t="shared" ref="K67:K130" si="12">MAX(0,H67-J67)</f>
        <v>6.28</v>
      </c>
      <c r="L67" t="str">
        <f t="shared" ref="L67:L130" si="13">TEXT(C67,"mmmm")</f>
        <v>June</v>
      </c>
      <c r="M67">
        <f>YEAR(C67)</f>
        <v>2025</v>
      </c>
      <c r="N67">
        <v>442</v>
      </c>
      <c r="O67" t="str">
        <f>IF(N67&gt;=200,"Platinum",IF(N67&gt;=100,"Gold",IF(N67&gt;=50,"Silver","Regular")))</f>
        <v>Platinum</v>
      </c>
      <c r="P67" s="4" t="str">
        <f t="shared" si="8"/>
        <v>Thursday</v>
      </c>
      <c r="Q67" s="4" t="str">
        <f t="shared" si="9"/>
        <v>Medium Order</v>
      </c>
      <c r="R67" s="4" t="str">
        <f t="shared" si="10"/>
        <v>Weekday</v>
      </c>
      <c r="S67" s="4" t="str">
        <f t="shared" si="11"/>
        <v>Regular</v>
      </c>
    </row>
    <row r="68" spans="1:19" x14ac:dyDescent="0.3">
      <c r="A68">
        <v>2612</v>
      </c>
      <c r="B68" t="s">
        <v>31</v>
      </c>
      <c r="C68" s="1">
        <v>45735</v>
      </c>
      <c r="D68" t="s">
        <v>11</v>
      </c>
      <c r="E68" t="s">
        <v>32</v>
      </c>
      <c r="F68">
        <v>5</v>
      </c>
      <c r="G68">
        <v>2.08</v>
      </c>
      <c r="H68">
        <v>10.4</v>
      </c>
      <c r="I68" t="str">
        <f t="shared" si="7"/>
        <v>Low</v>
      </c>
      <c r="J68">
        <v>3.62</v>
      </c>
      <c r="K68">
        <f t="shared" si="12"/>
        <v>6.78</v>
      </c>
      <c r="L68" t="str">
        <f t="shared" si="13"/>
        <v>March</v>
      </c>
      <c r="M68">
        <f>YEAR(C68)</f>
        <v>2025</v>
      </c>
      <c r="N68">
        <v>196</v>
      </c>
      <c r="O68" t="str">
        <f>IF(N68&gt;=200,"Platinum",IF(N68&gt;=100,"Gold",IF(N68&gt;=50,"Silver","Regular")))</f>
        <v>Gold</v>
      </c>
      <c r="P68" s="4" t="str">
        <f t="shared" si="8"/>
        <v>Wednesday</v>
      </c>
      <c r="Q68" s="4" t="str">
        <f t="shared" si="9"/>
        <v>Medium Order</v>
      </c>
      <c r="R68" s="4" t="str">
        <f t="shared" si="10"/>
        <v>Weekday</v>
      </c>
      <c r="S68" s="4" t="str">
        <f t="shared" si="11"/>
        <v>Regular</v>
      </c>
    </row>
    <row r="69" spans="1:19" x14ac:dyDescent="0.3">
      <c r="A69">
        <v>6539</v>
      </c>
      <c r="B69" t="s">
        <v>13</v>
      </c>
      <c r="C69" s="1">
        <v>45161</v>
      </c>
      <c r="D69" t="s">
        <v>27</v>
      </c>
      <c r="E69" t="s">
        <v>29</v>
      </c>
      <c r="F69">
        <v>4</v>
      </c>
      <c r="G69">
        <v>3.54</v>
      </c>
      <c r="H69">
        <v>14.16</v>
      </c>
      <c r="I69" t="str">
        <f t="shared" si="7"/>
        <v>Low</v>
      </c>
      <c r="J69">
        <v>4.88</v>
      </c>
      <c r="K69">
        <f t="shared" si="12"/>
        <v>9.2800000000000011</v>
      </c>
      <c r="L69" t="str">
        <f t="shared" si="13"/>
        <v>August</v>
      </c>
      <c r="M69">
        <f>YEAR(C69)</f>
        <v>2023</v>
      </c>
      <c r="N69">
        <v>129</v>
      </c>
      <c r="O69" t="str">
        <f>IF(N69&gt;=200,"Platinum",IF(N69&gt;=100,"Gold",IF(N69&gt;=50,"Silver","Regular")))</f>
        <v>Gold</v>
      </c>
      <c r="P69" s="4" t="str">
        <f t="shared" si="8"/>
        <v>Wednesday</v>
      </c>
      <c r="Q69" s="4" t="str">
        <f t="shared" si="9"/>
        <v>Medium Order</v>
      </c>
      <c r="R69" s="4" t="str">
        <f t="shared" si="10"/>
        <v>Weekday</v>
      </c>
      <c r="S69" s="4" t="str">
        <f t="shared" si="11"/>
        <v>Regular</v>
      </c>
    </row>
    <row r="70" spans="1:19" x14ac:dyDescent="0.3">
      <c r="A70">
        <v>4727</v>
      </c>
      <c r="B70" t="s">
        <v>0</v>
      </c>
      <c r="C70" s="1">
        <v>45425</v>
      </c>
      <c r="D70" t="s">
        <v>11</v>
      </c>
      <c r="E70" t="s">
        <v>36</v>
      </c>
      <c r="F70">
        <v>1</v>
      </c>
      <c r="G70">
        <v>13.5</v>
      </c>
      <c r="H70">
        <v>13.5</v>
      </c>
      <c r="I70" t="str">
        <f t="shared" si="7"/>
        <v>Low</v>
      </c>
      <c r="J70">
        <v>4.5599999999999996</v>
      </c>
      <c r="K70">
        <f t="shared" si="12"/>
        <v>8.9400000000000013</v>
      </c>
      <c r="L70" t="str">
        <f t="shared" si="13"/>
        <v>May</v>
      </c>
      <c r="M70">
        <f>YEAR(C70)</f>
        <v>2024</v>
      </c>
      <c r="N70">
        <v>334</v>
      </c>
      <c r="O70" t="str">
        <f>IF(N70&gt;=200,"Platinum",IF(N70&gt;=100,"Gold",IF(N70&gt;=50,"Silver","Regular")))</f>
        <v>Platinum</v>
      </c>
      <c r="P70" s="4" t="str">
        <f t="shared" si="8"/>
        <v>Monday</v>
      </c>
      <c r="Q70" s="4" t="str">
        <f t="shared" si="9"/>
        <v>Small Order</v>
      </c>
      <c r="R70" s="4" t="str">
        <f t="shared" si="10"/>
        <v>Weekday</v>
      </c>
      <c r="S70" s="4" t="str">
        <f t="shared" si="11"/>
        <v>Regular</v>
      </c>
    </row>
    <row r="71" spans="1:19" x14ac:dyDescent="0.3">
      <c r="A71">
        <v>9476</v>
      </c>
      <c r="B71" t="s">
        <v>3</v>
      </c>
      <c r="C71" s="1">
        <v>45412</v>
      </c>
      <c r="D71" t="s">
        <v>6</v>
      </c>
      <c r="E71" t="s">
        <v>18</v>
      </c>
      <c r="F71">
        <v>2</v>
      </c>
      <c r="G71">
        <v>1.61</v>
      </c>
      <c r="H71">
        <v>3.22</v>
      </c>
      <c r="I71" t="str">
        <f t="shared" si="7"/>
        <v>Low</v>
      </c>
      <c r="J71">
        <v>1.08</v>
      </c>
      <c r="K71">
        <f t="shared" si="12"/>
        <v>2.14</v>
      </c>
      <c r="L71" t="str">
        <f t="shared" si="13"/>
        <v>April</v>
      </c>
      <c r="M71">
        <f>YEAR(C71)</f>
        <v>2024</v>
      </c>
      <c r="N71">
        <v>431</v>
      </c>
      <c r="O71" t="str">
        <f>IF(N71&gt;=200,"Platinum",IF(N71&gt;=100,"Gold",IF(N71&gt;=50,"Silver","Regular")))</f>
        <v>Platinum</v>
      </c>
      <c r="P71" s="4" t="str">
        <f t="shared" si="8"/>
        <v>Tuesday</v>
      </c>
      <c r="Q71" s="4" t="str">
        <f t="shared" si="9"/>
        <v>Small Order</v>
      </c>
      <c r="R71" s="4" t="str">
        <f t="shared" si="10"/>
        <v>Weekday</v>
      </c>
      <c r="S71" s="4" t="str">
        <f t="shared" si="11"/>
        <v>Regular</v>
      </c>
    </row>
    <row r="72" spans="1:19" x14ac:dyDescent="0.3">
      <c r="A72">
        <v>2867</v>
      </c>
      <c r="B72" t="s">
        <v>31</v>
      </c>
      <c r="C72" s="1">
        <v>45348</v>
      </c>
      <c r="D72" t="s">
        <v>11</v>
      </c>
      <c r="E72" t="s">
        <v>30</v>
      </c>
      <c r="F72">
        <v>3</v>
      </c>
      <c r="G72">
        <v>2.87</v>
      </c>
      <c r="H72">
        <v>8.61</v>
      </c>
      <c r="I72" t="str">
        <f t="shared" si="7"/>
        <v>Low</v>
      </c>
      <c r="J72">
        <v>2.84</v>
      </c>
      <c r="K72">
        <f t="shared" si="12"/>
        <v>5.77</v>
      </c>
      <c r="L72" t="str">
        <f t="shared" si="13"/>
        <v>February</v>
      </c>
      <c r="M72">
        <f>YEAR(C72)</f>
        <v>2024</v>
      </c>
      <c r="N72">
        <v>15</v>
      </c>
      <c r="O72" t="str">
        <f>IF(N72&gt;=200,"Platinum",IF(N72&gt;=100,"Gold",IF(N72&gt;=50,"Silver","Regular")))</f>
        <v>Regular</v>
      </c>
      <c r="P72" s="4" t="str">
        <f t="shared" si="8"/>
        <v>Monday</v>
      </c>
      <c r="Q72" s="4" t="str">
        <f t="shared" si="9"/>
        <v>Medium Order</v>
      </c>
      <c r="R72" s="4" t="str">
        <f t="shared" si="10"/>
        <v>Weekday</v>
      </c>
      <c r="S72" s="4" t="str">
        <f t="shared" si="11"/>
        <v>Regular</v>
      </c>
    </row>
    <row r="73" spans="1:19" x14ac:dyDescent="0.3">
      <c r="A73">
        <v>4022</v>
      </c>
      <c r="B73" t="s">
        <v>19</v>
      </c>
      <c r="C73" s="1">
        <v>45289</v>
      </c>
      <c r="D73" t="s">
        <v>11</v>
      </c>
      <c r="E73" t="s">
        <v>22</v>
      </c>
      <c r="F73">
        <v>4</v>
      </c>
      <c r="G73">
        <v>1.85</v>
      </c>
      <c r="H73">
        <v>7.4</v>
      </c>
      <c r="I73" t="str">
        <f t="shared" si="7"/>
        <v>Low</v>
      </c>
      <c r="J73">
        <v>2.41</v>
      </c>
      <c r="K73">
        <f t="shared" si="12"/>
        <v>4.99</v>
      </c>
      <c r="L73" t="str">
        <f t="shared" si="13"/>
        <v>December</v>
      </c>
      <c r="M73">
        <f>YEAR(C73)</f>
        <v>2023</v>
      </c>
      <c r="N73">
        <v>319</v>
      </c>
      <c r="O73" t="str">
        <f>IF(N73&gt;=200,"Platinum",IF(N73&gt;=100,"Gold",IF(N73&gt;=50,"Silver","Regular")))</f>
        <v>Platinum</v>
      </c>
      <c r="P73" s="4" t="str">
        <f t="shared" si="8"/>
        <v>Friday</v>
      </c>
      <c r="Q73" s="4" t="str">
        <f t="shared" si="9"/>
        <v>Medium Order</v>
      </c>
      <c r="R73" s="4" t="str">
        <f t="shared" si="10"/>
        <v>Weekday</v>
      </c>
      <c r="S73" s="4" t="str">
        <f t="shared" si="11"/>
        <v>Regular</v>
      </c>
    </row>
    <row r="74" spans="1:19" x14ac:dyDescent="0.3">
      <c r="A74">
        <v>3308</v>
      </c>
      <c r="B74" t="s">
        <v>31</v>
      </c>
      <c r="C74" s="1">
        <v>45220</v>
      </c>
      <c r="D74" t="s">
        <v>11</v>
      </c>
      <c r="E74" t="s">
        <v>14</v>
      </c>
      <c r="F74">
        <v>2</v>
      </c>
      <c r="G74">
        <v>3.64</v>
      </c>
      <c r="H74">
        <v>7.28</v>
      </c>
      <c r="I74" t="str">
        <f t="shared" si="7"/>
        <v>Low</v>
      </c>
      <c r="J74">
        <v>2.35</v>
      </c>
      <c r="K74">
        <f t="shared" si="12"/>
        <v>4.93</v>
      </c>
      <c r="L74" t="str">
        <f t="shared" si="13"/>
        <v>October</v>
      </c>
      <c r="M74">
        <f>YEAR(C74)</f>
        <v>2023</v>
      </c>
      <c r="N74">
        <v>215</v>
      </c>
      <c r="O74" t="str">
        <f>IF(N74&gt;=200,"Platinum",IF(N74&gt;=100,"Gold",IF(N74&gt;=50,"Silver","Regular")))</f>
        <v>Platinum</v>
      </c>
      <c r="P74" s="4" t="str">
        <f t="shared" si="8"/>
        <v>Saturday</v>
      </c>
      <c r="Q74" s="4" t="str">
        <f t="shared" si="9"/>
        <v>Small Order</v>
      </c>
      <c r="R74" s="4" t="str">
        <f t="shared" si="10"/>
        <v>Weekend</v>
      </c>
      <c r="S74" s="4" t="str">
        <f t="shared" si="11"/>
        <v>Regular</v>
      </c>
    </row>
    <row r="75" spans="1:19" x14ac:dyDescent="0.3">
      <c r="A75">
        <v>7640</v>
      </c>
      <c r="B75" t="s">
        <v>13</v>
      </c>
      <c r="C75" s="1">
        <v>45439</v>
      </c>
      <c r="D75" t="s">
        <v>23</v>
      </c>
      <c r="E75" t="s">
        <v>5</v>
      </c>
      <c r="F75">
        <v>5</v>
      </c>
      <c r="G75">
        <v>2.5099999999999998</v>
      </c>
      <c r="H75">
        <v>12.55</v>
      </c>
      <c r="I75" t="str">
        <f t="shared" si="7"/>
        <v>Low</v>
      </c>
      <c r="J75">
        <v>4.05</v>
      </c>
      <c r="K75">
        <f t="shared" si="12"/>
        <v>8.5</v>
      </c>
      <c r="L75" t="str">
        <f t="shared" si="13"/>
        <v>May</v>
      </c>
      <c r="M75">
        <f>YEAR(C75)</f>
        <v>2024</v>
      </c>
      <c r="N75">
        <v>156</v>
      </c>
      <c r="O75" t="str">
        <f>IF(N75&gt;=200,"Platinum",IF(N75&gt;=100,"Gold",IF(N75&gt;=50,"Silver","Regular")))</f>
        <v>Gold</v>
      </c>
      <c r="P75" s="4" t="str">
        <f t="shared" si="8"/>
        <v>Monday</v>
      </c>
      <c r="Q75" s="4" t="str">
        <f t="shared" si="9"/>
        <v>Medium Order</v>
      </c>
      <c r="R75" s="4" t="str">
        <f t="shared" si="10"/>
        <v>Weekday</v>
      </c>
      <c r="S75" s="4" t="str">
        <f t="shared" si="11"/>
        <v>Regular</v>
      </c>
    </row>
    <row r="76" spans="1:19" x14ac:dyDescent="0.3">
      <c r="A76">
        <v>3363</v>
      </c>
      <c r="B76" t="s">
        <v>13</v>
      </c>
      <c r="C76" s="1">
        <v>45299</v>
      </c>
      <c r="D76" t="s">
        <v>34</v>
      </c>
      <c r="E76" t="s">
        <v>37</v>
      </c>
      <c r="F76">
        <v>2</v>
      </c>
      <c r="G76">
        <v>3.3</v>
      </c>
      <c r="H76">
        <v>6.6</v>
      </c>
      <c r="I76" t="str">
        <f t="shared" si="7"/>
        <v>Low</v>
      </c>
      <c r="J76">
        <v>2.11</v>
      </c>
      <c r="K76">
        <f t="shared" si="12"/>
        <v>4.49</v>
      </c>
      <c r="L76" t="str">
        <f t="shared" si="13"/>
        <v>January</v>
      </c>
      <c r="M76">
        <f>YEAR(C76)</f>
        <v>2024</v>
      </c>
      <c r="N76">
        <v>43</v>
      </c>
      <c r="O76" t="str">
        <f>IF(N76&gt;=200,"Platinum",IF(N76&gt;=100,"Gold",IF(N76&gt;=50,"Silver","Regular")))</f>
        <v>Regular</v>
      </c>
      <c r="P76" s="4" t="str">
        <f t="shared" si="8"/>
        <v>Monday</v>
      </c>
      <c r="Q76" s="4" t="str">
        <f t="shared" si="9"/>
        <v>Small Order</v>
      </c>
      <c r="R76" s="4" t="str">
        <f t="shared" si="10"/>
        <v>Weekday</v>
      </c>
      <c r="S76" s="4" t="str">
        <f t="shared" si="11"/>
        <v>Regular</v>
      </c>
    </row>
    <row r="77" spans="1:19" x14ac:dyDescent="0.3">
      <c r="A77">
        <v>3658</v>
      </c>
      <c r="B77" t="s">
        <v>3</v>
      </c>
      <c r="C77" s="1">
        <v>45285</v>
      </c>
      <c r="D77" t="s">
        <v>23</v>
      </c>
      <c r="E77" t="s">
        <v>35</v>
      </c>
      <c r="F77">
        <v>1</v>
      </c>
      <c r="G77">
        <v>12.34</v>
      </c>
      <c r="H77">
        <v>12.34</v>
      </c>
      <c r="I77" t="str">
        <f t="shared" si="7"/>
        <v>Low</v>
      </c>
      <c r="J77">
        <v>3.71</v>
      </c>
      <c r="K77">
        <f t="shared" si="12"/>
        <v>8.629999999999999</v>
      </c>
      <c r="L77" t="str">
        <f t="shared" si="13"/>
        <v>December</v>
      </c>
      <c r="M77">
        <f>YEAR(C77)</f>
        <v>2023</v>
      </c>
      <c r="N77">
        <v>253</v>
      </c>
      <c r="O77" t="str">
        <f>IF(N77&gt;=200,"Platinum",IF(N77&gt;=100,"Gold",IF(N77&gt;=50,"Silver","Regular")))</f>
        <v>Platinum</v>
      </c>
      <c r="P77" s="4" t="str">
        <f t="shared" si="8"/>
        <v>Monday</v>
      </c>
      <c r="Q77" s="4" t="str">
        <f t="shared" si="9"/>
        <v>Small Order</v>
      </c>
      <c r="R77" s="4" t="str">
        <f t="shared" si="10"/>
        <v>Weekday</v>
      </c>
      <c r="S77" s="4" t="str">
        <f t="shared" si="11"/>
        <v>Regular</v>
      </c>
    </row>
    <row r="78" spans="1:19" x14ac:dyDescent="0.3">
      <c r="A78">
        <v>9092</v>
      </c>
      <c r="B78" t="s">
        <v>13</v>
      </c>
      <c r="C78" s="1">
        <v>45835</v>
      </c>
      <c r="D78" t="s">
        <v>9</v>
      </c>
      <c r="E78" t="s">
        <v>2</v>
      </c>
      <c r="F78">
        <v>2</v>
      </c>
      <c r="G78">
        <v>6.33</v>
      </c>
      <c r="H78">
        <v>12.66</v>
      </c>
      <c r="I78" t="str">
        <f t="shared" si="7"/>
        <v>Low</v>
      </c>
      <c r="J78">
        <v>3.79</v>
      </c>
      <c r="K78">
        <f t="shared" si="12"/>
        <v>8.870000000000001</v>
      </c>
      <c r="L78" t="str">
        <f t="shared" si="13"/>
        <v>June</v>
      </c>
      <c r="M78">
        <f>YEAR(C78)</f>
        <v>2025</v>
      </c>
      <c r="N78">
        <v>81</v>
      </c>
      <c r="O78" t="str">
        <f>IF(N78&gt;=200,"Platinum",IF(N78&gt;=100,"Gold",IF(N78&gt;=50,"Silver","Regular")))</f>
        <v>Silver</v>
      </c>
      <c r="P78" s="4" t="str">
        <f t="shared" si="8"/>
        <v>Friday</v>
      </c>
      <c r="Q78" s="4" t="str">
        <f t="shared" si="9"/>
        <v>Small Order</v>
      </c>
      <c r="R78" s="4" t="str">
        <f t="shared" si="10"/>
        <v>Weekday</v>
      </c>
      <c r="S78" s="4" t="str">
        <f t="shared" si="11"/>
        <v>Regular</v>
      </c>
    </row>
    <row r="79" spans="1:19" x14ac:dyDescent="0.3">
      <c r="A79">
        <v>4858</v>
      </c>
      <c r="B79" t="s">
        <v>0</v>
      </c>
      <c r="C79" s="1">
        <v>45491</v>
      </c>
      <c r="D79" t="s">
        <v>17</v>
      </c>
      <c r="E79" t="s">
        <v>10</v>
      </c>
      <c r="F79">
        <v>1</v>
      </c>
      <c r="G79">
        <v>11.44</v>
      </c>
      <c r="H79">
        <v>11.44</v>
      </c>
      <c r="I79" t="str">
        <f t="shared" si="7"/>
        <v>Low</v>
      </c>
      <c r="J79">
        <v>3.42</v>
      </c>
      <c r="K79">
        <f t="shared" si="12"/>
        <v>8.02</v>
      </c>
      <c r="L79" t="str">
        <f t="shared" si="13"/>
        <v>July</v>
      </c>
      <c r="M79">
        <f>YEAR(C79)</f>
        <v>2024</v>
      </c>
      <c r="N79">
        <v>473</v>
      </c>
      <c r="O79" t="str">
        <f>IF(N79&gt;=200,"Platinum",IF(N79&gt;=100,"Gold",IF(N79&gt;=50,"Silver","Regular")))</f>
        <v>Platinum</v>
      </c>
      <c r="P79" s="4" t="str">
        <f t="shared" si="8"/>
        <v>Thursday</v>
      </c>
      <c r="Q79" s="4" t="str">
        <f t="shared" si="9"/>
        <v>Small Order</v>
      </c>
      <c r="R79" s="4" t="str">
        <f t="shared" si="10"/>
        <v>Weekday</v>
      </c>
      <c r="S79" s="4" t="str">
        <f t="shared" si="11"/>
        <v>Regular</v>
      </c>
    </row>
    <row r="80" spans="1:19" x14ac:dyDescent="0.3">
      <c r="A80">
        <v>9307</v>
      </c>
      <c r="B80" t="s">
        <v>31</v>
      </c>
      <c r="C80" s="1">
        <v>45443</v>
      </c>
      <c r="D80" t="s">
        <v>34</v>
      </c>
      <c r="E80" t="s">
        <v>12</v>
      </c>
      <c r="F80">
        <v>1</v>
      </c>
      <c r="G80">
        <v>10.45</v>
      </c>
      <c r="H80">
        <v>10.45</v>
      </c>
      <c r="I80" t="str">
        <f t="shared" si="7"/>
        <v>Low</v>
      </c>
      <c r="J80">
        <v>3.11</v>
      </c>
      <c r="K80">
        <f t="shared" si="12"/>
        <v>7.34</v>
      </c>
      <c r="L80" t="str">
        <f t="shared" si="13"/>
        <v>May</v>
      </c>
      <c r="M80">
        <f>YEAR(C80)</f>
        <v>2024</v>
      </c>
      <c r="N80">
        <v>311</v>
      </c>
      <c r="O80" t="str">
        <f>IF(N80&gt;=200,"Platinum",IF(N80&gt;=100,"Gold",IF(N80&gt;=50,"Silver","Regular")))</f>
        <v>Platinum</v>
      </c>
      <c r="P80" s="4" t="str">
        <f t="shared" si="8"/>
        <v>Friday</v>
      </c>
      <c r="Q80" s="4" t="str">
        <f t="shared" si="9"/>
        <v>Small Order</v>
      </c>
      <c r="R80" s="4" t="str">
        <f t="shared" si="10"/>
        <v>Weekday</v>
      </c>
      <c r="S80" s="4" t="str">
        <f t="shared" si="11"/>
        <v>Regular</v>
      </c>
    </row>
    <row r="81" spans="1:19" x14ac:dyDescent="0.3">
      <c r="A81">
        <v>6562</v>
      </c>
      <c r="B81" t="s">
        <v>19</v>
      </c>
      <c r="C81" s="1">
        <v>45317</v>
      </c>
      <c r="D81" t="s">
        <v>1</v>
      </c>
      <c r="E81" t="s">
        <v>5</v>
      </c>
      <c r="F81">
        <v>2</v>
      </c>
      <c r="G81">
        <v>8.18</v>
      </c>
      <c r="H81">
        <v>16.36</v>
      </c>
      <c r="I81" t="str">
        <f t="shared" si="7"/>
        <v>Low</v>
      </c>
      <c r="J81">
        <v>4.79</v>
      </c>
      <c r="K81">
        <f t="shared" si="12"/>
        <v>11.57</v>
      </c>
      <c r="L81" t="str">
        <f t="shared" si="13"/>
        <v>January</v>
      </c>
      <c r="M81">
        <f>YEAR(C81)</f>
        <v>2024</v>
      </c>
      <c r="N81">
        <v>222</v>
      </c>
      <c r="O81" t="str">
        <f>IF(N81&gt;=200,"Platinum",IF(N81&gt;=100,"Gold",IF(N81&gt;=50,"Silver","Regular")))</f>
        <v>Platinum</v>
      </c>
      <c r="P81" s="4" t="str">
        <f t="shared" si="8"/>
        <v>Friday</v>
      </c>
      <c r="Q81" s="4" t="str">
        <f t="shared" si="9"/>
        <v>Small Order</v>
      </c>
      <c r="R81" s="4" t="str">
        <f t="shared" si="10"/>
        <v>Weekday</v>
      </c>
      <c r="S81" s="4" t="str">
        <f t="shared" si="11"/>
        <v>Regular</v>
      </c>
    </row>
    <row r="82" spans="1:19" x14ac:dyDescent="0.3">
      <c r="A82">
        <v>7643</v>
      </c>
      <c r="B82" t="s">
        <v>31</v>
      </c>
      <c r="C82" s="1">
        <v>45787</v>
      </c>
      <c r="D82" t="s">
        <v>4</v>
      </c>
      <c r="E82" t="s">
        <v>30</v>
      </c>
      <c r="F82">
        <v>1</v>
      </c>
      <c r="G82">
        <v>13.36</v>
      </c>
      <c r="H82">
        <v>13.36</v>
      </c>
      <c r="I82" t="str">
        <f t="shared" si="7"/>
        <v>Low</v>
      </c>
      <c r="J82">
        <v>3.9</v>
      </c>
      <c r="K82">
        <f t="shared" si="12"/>
        <v>9.4599999999999991</v>
      </c>
      <c r="L82" t="str">
        <f t="shared" si="13"/>
        <v>May</v>
      </c>
      <c r="M82">
        <f>YEAR(C82)</f>
        <v>2025</v>
      </c>
      <c r="N82">
        <v>232</v>
      </c>
      <c r="O82" t="str">
        <f>IF(N82&gt;=200,"Platinum",IF(N82&gt;=100,"Gold",IF(N82&gt;=50,"Silver","Regular")))</f>
        <v>Platinum</v>
      </c>
      <c r="P82" s="4" t="str">
        <f t="shared" si="8"/>
        <v>Saturday</v>
      </c>
      <c r="Q82" s="4" t="str">
        <f t="shared" si="9"/>
        <v>Small Order</v>
      </c>
      <c r="R82" s="4" t="str">
        <f t="shared" si="10"/>
        <v>Weekend</v>
      </c>
      <c r="S82" s="4" t="str">
        <f t="shared" si="11"/>
        <v>Regular</v>
      </c>
    </row>
    <row r="83" spans="1:19" x14ac:dyDescent="0.3">
      <c r="A83">
        <v>3139</v>
      </c>
      <c r="B83" t="s">
        <v>0</v>
      </c>
      <c r="C83" s="1">
        <v>45584</v>
      </c>
      <c r="D83" t="s">
        <v>11</v>
      </c>
      <c r="E83" t="s">
        <v>2</v>
      </c>
      <c r="F83">
        <v>1</v>
      </c>
      <c r="G83">
        <v>12.05</v>
      </c>
      <c r="H83">
        <v>12.05</v>
      </c>
      <c r="I83" t="str">
        <f t="shared" si="7"/>
        <v>Low</v>
      </c>
      <c r="J83">
        <v>3.51</v>
      </c>
      <c r="K83">
        <f t="shared" si="12"/>
        <v>8.5400000000000009</v>
      </c>
      <c r="L83" t="str">
        <f t="shared" si="13"/>
        <v>October</v>
      </c>
      <c r="M83">
        <f>YEAR(C83)</f>
        <v>2024</v>
      </c>
      <c r="N83">
        <v>456</v>
      </c>
      <c r="O83" t="str">
        <f>IF(N83&gt;=200,"Platinum",IF(N83&gt;=100,"Gold",IF(N83&gt;=50,"Silver","Regular")))</f>
        <v>Platinum</v>
      </c>
      <c r="P83" s="4" t="str">
        <f t="shared" si="8"/>
        <v>Saturday</v>
      </c>
      <c r="Q83" s="4" t="str">
        <f t="shared" si="9"/>
        <v>Small Order</v>
      </c>
      <c r="R83" s="4" t="str">
        <f t="shared" si="10"/>
        <v>Weekend</v>
      </c>
      <c r="S83" s="4" t="str">
        <f t="shared" si="11"/>
        <v>Regular</v>
      </c>
    </row>
    <row r="84" spans="1:19" x14ac:dyDescent="0.3">
      <c r="A84">
        <v>3009</v>
      </c>
      <c r="B84" t="s">
        <v>31</v>
      </c>
      <c r="C84" s="1">
        <v>45250</v>
      </c>
      <c r="D84" t="s">
        <v>6</v>
      </c>
      <c r="E84" t="s">
        <v>36</v>
      </c>
      <c r="F84">
        <v>3</v>
      </c>
      <c r="G84">
        <v>2.06</v>
      </c>
      <c r="H84">
        <v>6.18</v>
      </c>
      <c r="I84" t="str">
        <f t="shared" si="7"/>
        <v>Low</v>
      </c>
      <c r="J84">
        <v>1.78</v>
      </c>
      <c r="K84">
        <f t="shared" si="12"/>
        <v>4.3999999999999995</v>
      </c>
      <c r="L84" t="str">
        <f t="shared" si="13"/>
        <v>November</v>
      </c>
      <c r="M84">
        <f>YEAR(C84)</f>
        <v>2023</v>
      </c>
      <c r="N84">
        <v>252</v>
      </c>
      <c r="O84" t="str">
        <f>IF(N84&gt;=200,"Platinum",IF(N84&gt;=100,"Gold",IF(N84&gt;=50,"Silver","Regular")))</f>
        <v>Platinum</v>
      </c>
      <c r="P84" s="4" t="str">
        <f t="shared" si="8"/>
        <v>Monday</v>
      </c>
      <c r="Q84" s="4" t="str">
        <f t="shared" si="9"/>
        <v>Medium Order</v>
      </c>
      <c r="R84" s="4" t="str">
        <f t="shared" si="10"/>
        <v>Weekday</v>
      </c>
      <c r="S84" s="4" t="str">
        <f t="shared" si="11"/>
        <v>Regular</v>
      </c>
    </row>
    <row r="85" spans="1:19" x14ac:dyDescent="0.3">
      <c r="A85">
        <v>6126</v>
      </c>
      <c r="B85" t="s">
        <v>19</v>
      </c>
      <c r="C85" s="1">
        <v>45466</v>
      </c>
      <c r="D85" t="s">
        <v>6</v>
      </c>
      <c r="E85" t="s">
        <v>35</v>
      </c>
      <c r="F85">
        <v>3</v>
      </c>
      <c r="G85">
        <v>4.68</v>
      </c>
      <c r="H85">
        <v>14.04</v>
      </c>
      <c r="I85" t="str">
        <f t="shared" si="7"/>
        <v>Low</v>
      </c>
      <c r="J85">
        <v>4.0199999999999996</v>
      </c>
      <c r="K85">
        <f t="shared" si="12"/>
        <v>10.02</v>
      </c>
      <c r="L85" t="str">
        <f t="shared" si="13"/>
        <v>June</v>
      </c>
      <c r="M85">
        <f>YEAR(C85)</f>
        <v>2024</v>
      </c>
      <c r="N85">
        <v>278</v>
      </c>
      <c r="O85" t="str">
        <f>IF(N85&gt;=200,"Platinum",IF(N85&gt;=100,"Gold",IF(N85&gt;=50,"Silver","Regular")))</f>
        <v>Platinum</v>
      </c>
      <c r="P85" s="4" t="str">
        <f t="shared" si="8"/>
        <v>Sunday</v>
      </c>
      <c r="Q85" s="4" t="str">
        <f t="shared" si="9"/>
        <v>Medium Order</v>
      </c>
      <c r="R85" s="4" t="str">
        <f t="shared" si="10"/>
        <v>Weekend</v>
      </c>
      <c r="S85" s="4" t="str">
        <f t="shared" si="11"/>
        <v>Regular</v>
      </c>
    </row>
    <row r="86" spans="1:19" x14ac:dyDescent="0.3">
      <c r="A86">
        <v>7173</v>
      </c>
      <c r="B86" t="s">
        <v>31</v>
      </c>
      <c r="C86" s="1">
        <v>45388</v>
      </c>
      <c r="D86" t="s">
        <v>16</v>
      </c>
      <c r="E86" t="s">
        <v>18</v>
      </c>
      <c r="F86">
        <v>1</v>
      </c>
      <c r="G86">
        <v>17.3</v>
      </c>
      <c r="H86">
        <v>17.3</v>
      </c>
      <c r="I86" t="str">
        <f t="shared" si="7"/>
        <v>Low</v>
      </c>
      <c r="J86">
        <v>4.92</v>
      </c>
      <c r="K86">
        <f t="shared" si="12"/>
        <v>12.38</v>
      </c>
      <c r="L86" t="str">
        <f t="shared" si="13"/>
        <v>April</v>
      </c>
      <c r="M86">
        <f>YEAR(C86)</f>
        <v>2024</v>
      </c>
      <c r="N86">
        <v>435</v>
      </c>
      <c r="O86" t="str">
        <f>IF(N86&gt;=200,"Platinum",IF(N86&gt;=100,"Gold",IF(N86&gt;=50,"Silver","Regular")))</f>
        <v>Platinum</v>
      </c>
      <c r="P86" s="4" t="str">
        <f t="shared" si="8"/>
        <v>Saturday</v>
      </c>
      <c r="Q86" s="4" t="str">
        <f t="shared" si="9"/>
        <v>Small Order</v>
      </c>
      <c r="R86" s="4" t="str">
        <f t="shared" si="10"/>
        <v>Weekend</v>
      </c>
      <c r="S86" s="4" t="str">
        <f t="shared" si="11"/>
        <v>Regular</v>
      </c>
    </row>
    <row r="87" spans="1:19" x14ac:dyDescent="0.3">
      <c r="A87">
        <v>3754</v>
      </c>
      <c r="B87" t="s">
        <v>3</v>
      </c>
      <c r="C87" s="1">
        <v>45204</v>
      </c>
      <c r="D87" t="s">
        <v>9</v>
      </c>
      <c r="E87" t="s">
        <v>36</v>
      </c>
      <c r="F87">
        <v>1</v>
      </c>
      <c r="G87">
        <v>14.11</v>
      </c>
      <c r="H87">
        <v>14.11</v>
      </c>
      <c r="I87" t="str">
        <f t="shared" si="7"/>
        <v>Low</v>
      </c>
      <c r="J87">
        <v>4.01</v>
      </c>
      <c r="K87">
        <f t="shared" si="12"/>
        <v>10.1</v>
      </c>
      <c r="L87" t="str">
        <f t="shared" si="13"/>
        <v>October</v>
      </c>
      <c r="M87">
        <f>YEAR(C87)</f>
        <v>2023</v>
      </c>
      <c r="N87">
        <v>123</v>
      </c>
      <c r="O87" t="str">
        <f>IF(N87&gt;=200,"Platinum",IF(N87&gt;=100,"Gold",IF(N87&gt;=50,"Silver","Regular")))</f>
        <v>Gold</v>
      </c>
      <c r="P87" s="4" t="str">
        <f t="shared" si="8"/>
        <v>Thursday</v>
      </c>
      <c r="Q87" s="4" t="str">
        <f t="shared" si="9"/>
        <v>Small Order</v>
      </c>
      <c r="R87" s="4" t="str">
        <f t="shared" si="10"/>
        <v>Weekday</v>
      </c>
      <c r="S87" s="4" t="str">
        <f t="shared" si="11"/>
        <v>Regular</v>
      </c>
    </row>
    <row r="88" spans="1:19" x14ac:dyDescent="0.3">
      <c r="A88">
        <v>7095</v>
      </c>
      <c r="B88" t="s">
        <v>3</v>
      </c>
      <c r="C88" s="1">
        <v>45489</v>
      </c>
      <c r="D88" t="s">
        <v>9</v>
      </c>
      <c r="E88" t="s">
        <v>32</v>
      </c>
      <c r="F88">
        <v>4</v>
      </c>
      <c r="G88">
        <v>1.83</v>
      </c>
      <c r="H88">
        <v>7.32</v>
      </c>
      <c r="I88" t="str">
        <f t="shared" si="7"/>
        <v>Low</v>
      </c>
      <c r="J88">
        <v>2.08</v>
      </c>
      <c r="K88">
        <f t="shared" si="12"/>
        <v>5.24</v>
      </c>
      <c r="L88" t="str">
        <f t="shared" si="13"/>
        <v>July</v>
      </c>
      <c r="M88">
        <f>YEAR(C88)</f>
        <v>2024</v>
      </c>
      <c r="N88">
        <v>324</v>
      </c>
      <c r="O88" t="str">
        <f>IF(N88&gt;=200,"Platinum",IF(N88&gt;=100,"Gold",IF(N88&gt;=50,"Silver","Regular")))</f>
        <v>Platinum</v>
      </c>
      <c r="P88" s="4" t="str">
        <f t="shared" si="8"/>
        <v>Tuesday</v>
      </c>
      <c r="Q88" s="4" t="str">
        <f t="shared" si="9"/>
        <v>Medium Order</v>
      </c>
      <c r="R88" s="4" t="str">
        <f t="shared" si="10"/>
        <v>Weekday</v>
      </c>
      <c r="S88" s="4" t="str">
        <f t="shared" si="11"/>
        <v>Regular</v>
      </c>
    </row>
    <row r="89" spans="1:19" x14ac:dyDescent="0.3">
      <c r="A89">
        <v>6927</v>
      </c>
      <c r="B89" t="s">
        <v>3</v>
      </c>
      <c r="C89" s="1">
        <v>45205</v>
      </c>
      <c r="D89" t="s">
        <v>6</v>
      </c>
      <c r="E89" t="s">
        <v>29</v>
      </c>
      <c r="F89">
        <v>2</v>
      </c>
      <c r="G89">
        <v>8.8000000000000007</v>
      </c>
      <c r="H89">
        <v>17.600000000000001</v>
      </c>
      <c r="I89" t="str">
        <f t="shared" si="7"/>
        <v>Low</v>
      </c>
      <c r="J89">
        <v>4.95</v>
      </c>
      <c r="K89">
        <f t="shared" si="12"/>
        <v>12.650000000000002</v>
      </c>
      <c r="L89" t="str">
        <f t="shared" si="13"/>
        <v>October</v>
      </c>
      <c r="M89">
        <f>YEAR(C89)</f>
        <v>2023</v>
      </c>
      <c r="N89">
        <v>500</v>
      </c>
      <c r="O89" t="str">
        <f>IF(N89&gt;=200,"Platinum",IF(N89&gt;=100,"Gold",IF(N89&gt;=50,"Silver","Regular")))</f>
        <v>Platinum</v>
      </c>
      <c r="P89" s="4" t="str">
        <f t="shared" si="8"/>
        <v>Friday</v>
      </c>
      <c r="Q89" s="4" t="str">
        <f t="shared" si="9"/>
        <v>Small Order</v>
      </c>
      <c r="R89" s="4" t="str">
        <f t="shared" si="10"/>
        <v>Weekday</v>
      </c>
      <c r="S89" s="4" t="str">
        <f t="shared" si="11"/>
        <v>Regular</v>
      </c>
    </row>
    <row r="90" spans="1:19" x14ac:dyDescent="0.3">
      <c r="A90">
        <v>7274</v>
      </c>
      <c r="B90" t="s">
        <v>8</v>
      </c>
      <c r="C90" s="1">
        <v>45326</v>
      </c>
      <c r="D90" t="s">
        <v>34</v>
      </c>
      <c r="E90" t="s">
        <v>12</v>
      </c>
      <c r="F90">
        <v>1</v>
      </c>
      <c r="G90">
        <v>7.34</v>
      </c>
      <c r="H90">
        <v>7.34</v>
      </c>
      <c r="I90" t="str">
        <f t="shared" si="7"/>
        <v>Low</v>
      </c>
      <c r="J90">
        <v>2.06</v>
      </c>
      <c r="K90">
        <f t="shared" si="12"/>
        <v>5.2799999999999994</v>
      </c>
      <c r="L90" t="str">
        <f t="shared" si="13"/>
        <v>February</v>
      </c>
      <c r="M90">
        <f>YEAR(C90)</f>
        <v>2024</v>
      </c>
      <c r="N90">
        <v>249</v>
      </c>
      <c r="O90" t="str">
        <f>IF(N90&gt;=200,"Platinum",IF(N90&gt;=100,"Gold",IF(N90&gt;=50,"Silver","Regular")))</f>
        <v>Platinum</v>
      </c>
      <c r="P90" s="4" t="str">
        <f t="shared" si="8"/>
        <v>Sunday</v>
      </c>
      <c r="Q90" s="4" t="str">
        <f t="shared" si="9"/>
        <v>Small Order</v>
      </c>
      <c r="R90" s="4" t="str">
        <f t="shared" si="10"/>
        <v>Weekend</v>
      </c>
      <c r="S90" s="4" t="str">
        <f t="shared" si="11"/>
        <v>Regular</v>
      </c>
    </row>
    <row r="91" spans="1:19" x14ac:dyDescent="0.3">
      <c r="A91">
        <v>3441</v>
      </c>
      <c r="B91" t="s">
        <v>15</v>
      </c>
      <c r="C91" s="1">
        <v>45850</v>
      </c>
      <c r="D91" t="s">
        <v>9</v>
      </c>
      <c r="E91" t="s">
        <v>28</v>
      </c>
      <c r="F91">
        <v>1</v>
      </c>
      <c r="G91">
        <v>16.47</v>
      </c>
      <c r="H91">
        <v>16.47</v>
      </c>
      <c r="I91" t="str">
        <f t="shared" si="7"/>
        <v>Low</v>
      </c>
      <c r="J91">
        <v>4.57</v>
      </c>
      <c r="K91">
        <f t="shared" si="12"/>
        <v>11.899999999999999</v>
      </c>
      <c r="L91" t="str">
        <f t="shared" si="13"/>
        <v>July</v>
      </c>
      <c r="M91">
        <f>YEAR(C91)</f>
        <v>2025</v>
      </c>
      <c r="N91">
        <v>374</v>
      </c>
      <c r="O91" t="str">
        <f>IF(N91&gt;=200,"Platinum",IF(N91&gt;=100,"Gold",IF(N91&gt;=50,"Silver","Regular")))</f>
        <v>Platinum</v>
      </c>
      <c r="P91" s="4" t="str">
        <f t="shared" si="8"/>
        <v>Saturday</v>
      </c>
      <c r="Q91" s="4" t="str">
        <f t="shared" si="9"/>
        <v>Small Order</v>
      </c>
      <c r="R91" s="4" t="str">
        <f t="shared" si="10"/>
        <v>Weekend</v>
      </c>
      <c r="S91" s="4" t="str">
        <f t="shared" si="11"/>
        <v>Regular</v>
      </c>
    </row>
    <row r="92" spans="1:19" x14ac:dyDescent="0.3">
      <c r="A92">
        <v>9792</v>
      </c>
      <c r="B92" t="s">
        <v>13</v>
      </c>
      <c r="C92" s="1">
        <v>45261</v>
      </c>
      <c r="D92" t="s">
        <v>34</v>
      </c>
      <c r="E92" t="s">
        <v>29</v>
      </c>
      <c r="F92">
        <v>3</v>
      </c>
      <c r="G92">
        <v>5.67</v>
      </c>
      <c r="H92">
        <v>17.010000000000002</v>
      </c>
      <c r="I92" t="str">
        <f t="shared" si="7"/>
        <v>Low</v>
      </c>
      <c r="J92">
        <v>4.54</v>
      </c>
      <c r="K92">
        <f t="shared" si="12"/>
        <v>12.470000000000002</v>
      </c>
      <c r="L92" t="str">
        <f t="shared" si="13"/>
        <v>December</v>
      </c>
      <c r="M92">
        <f>YEAR(C92)</f>
        <v>2023</v>
      </c>
      <c r="N92">
        <v>349</v>
      </c>
      <c r="O92" t="str">
        <f>IF(N92&gt;=200,"Platinum",IF(N92&gt;=100,"Gold",IF(N92&gt;=50,"Silver","Regular")))</f>
        <v>Platinum</v>
      </c>
      <c r="P92" s="4" t="str">
        <f t="shared" si="8"/>
        <v>Friday</v>
      </c>
      <c r="Q92" s="4" t="str">
        <f t="shared" si="9"/>
        <v>Medium Order</v>
      </c>
      <c r="R92" s="4" t="str">
        <f t="shared" si="10"/>
        <v>Weekday</v>
      </c>
      <c r="S92" s="4" t="str">
        <f t="shared" si="11"/>
        <v>Regular</v>
      </c>
    </row>
    <row r="93" spans="1:19" x14ac:dyDescent="0.3">
      <c r="A93">
        <v>9882</v>
      </c>
      <c r="B93" t="s">
        <v>31</v>
      </c>
      <c r="C93" s="1">
        <v>45370</v>
      </c>
      <c r="D93" t="s">
        <v>9</v>
      </c>
      <c r="E93" t="s">
        <v>32</v>
      </c>
      <c r="F93">
        <v>2</v>
      </c>
      <c r="G93">
        <v>6.7</v>
      </c>
      <c r="H93">
        <v>13.4</v>
      </c>
      <c r="I93" t="str">
        <f t="shared" si="7"/>
        <v>Low</v>
      </c>
      <c r="J93">
        <v>3.5</v>
      </c>
      <c r="K93">
        <f t="shared" si="12"/>
        <v>9.9</v>
      </c>
      <c r="L93" t="str">
        <f t="shared" si="13"/>
        <v>March</v>
      </c>
      <c r="M93">
        <f>YEAR(C93)</f>
        <v>2024</v>
      </c>
      <c r="N93">
        <v>168</v>
      </c>
      <c r="O93" t="str">
        <f>IF(N93&gt;=200,"Platinum",IF(N93&gt;=100,"Gold",IF(N93&gt;=50,"Silver","Regular")))</f>
        <v>Gold</v>
      </c>
      <c r="P93" s="4" t="str">
        <f t="shared" si="8"/>
        <v>Tuesday</v>
      </c>
      <c r="Q93" s="4" t="str">
        <f t="shared" si="9"/>
        <v>Small Order</v>
      </c>
      <c r="R93" s="4" t="str">
        <f t="shared" si="10"/>
        <v>Weekday</v>
      </c>
      <c r="S93" s="4" t="str">
        <f t="shared" si="11"/>
        <v>Regular</v>
      </c>
    </row>
    <row r="94" spans="1:19" x14ac:dyDescent="0.3">
      <c r="A94">
        <v>2215</v>
      </c>
      <c r="B94" t="s">
        <v>20</v>
      </c>
      <c r="C94" s="1">
        <v>45494</v>
      </c>
      <c r="D94" t="s">
        <v>27</v>
      </c>
      <c r="E94" t="s">
        <v>37</v>
      </c>
      <c r="F94">
        <v>2</v>
      </c>
      <c r="G94">
        <v>9.42</v>
      </c>
      <c r="H94">
        <v>18.84</v>
      </c>
      <c r="I94" t="str">
        <f t="shared" si="7"/>
        <v>Low</v>
      </c>
      <c r="J94">
        <v>4.9000000000000004</v>
      </c>
      <c r="K94">
        <f t="shared" si="12"/>
        <v>13.94</v>
      </c>
      <c r="L94" t="str">
        <f t="shared" si="13"/>
        <v>July</v>
      </c>
      <c r="M94">
        <f>YEAR(C94)</f>
        <v>2024</v>
      </c>
      <c r="N94">
        <v>99</v>
      </c>
      <c r="O94" t="str">
        <f>IF(N94&gt;=200,"Platinum",IF(N94&gt;=100,"Gold",IF(N94&gt;=50,"Silver","Regular")))</f>
        <v>Silver</v>
      </c>
      <c r="P94" s="4" t="str">
        <f t="shared" si="8"/>
        <v>Sunday</v>
      </c>
      <c r="Q94" s="4" t="str">
        <f t="shared" si="9"/>
        <v>Small Order</v>
      </c>
      <c r="R94" s="4" t="str">
        <f t="shared" si="10"/>
        <v>Weekend</v>
      </c>
      <c r="S94" s="4" t="str">
        <f t="shared" si="11"/>
        <v>Regular</v>
      </c>
    </row>
    <row r="95" spans="1:19" x14ac:dyDescent="0.3">
      <c r="A95">
        <v>8711</v>
      </c>
      <c r="B95" t="s">
        <v>31</v>
      </c>
      <c r="C95" s="1">
        <v>45317</v>
      </c>
      <c r="D95" t="s">
        <v>16</v>
      </c>
      <c r="E95" t="s">
        <v>7</v>
      </c>
      <c r="F95">
        <v>3</v>
      </c>
      <c r="G95">
        <v>4.62</v>
      </c>
      <c r="H95">
        <v>13.86</v>
      </c>
      <c r="I95" t="str">
        <f t="shared" si="7"/>
        <v>Low</v>
      </c>
      <c r="J95">
        <v>3.56</v>
      </c>
      <c r="K95">
        <f t="shared" si="12"/>
        <v>10.299999999999999</v>
      </c>
      <c r="L95" t="str">
        <f t="shared" si="13"/>
        <v>January</v>
      </c>
      <c r="M95">
        <f>YEAR(C95)</f>
        <v>2024</v>
      </c>
      <c r="N95">
        <v>155</v>
      </c>
      <c r="O95" t="str">
        <f>IF(N95&gt;=200,"Platinum",IF(N95&gt;=100,"Gold",IF(N95&gt;=50,"Silver","Regular")))</f>
        <v>Gold</v>
      </c>
      <c r="P95" s="4" t="str">
        <f t="shared" si="8"/>
        <v>Friday</v>
      </c>
      <c r="Q95" s="4" t="str">
        <f t="shared" si="9"/>
        <v>Medium Order</v>
      </c>
      <c r="R95" s="4" t="str">
        <f t="shared" si="10"/>
        <v>Weekday</v>
      </c>
      <c r="S95" s="4" t="str">
        <f t="shared" si="11"/>
        <v>Regular</v>
      </c>
    </row>
    <row r="96" spans="1:19" x14ac:dyDescent="0.3">
      <c r="A96">
        <v>3868</v>
      </c>
      <c r="B96" t="s">
        <v>19</v>
      </c>
      <c r="C96" s="1">
        <v>45206</v>
      </c>
      <c r="D96" t="s">
        <v>6</v>
      </c>
      <c r="E96" t="s">
        <v>26</v>
      </c>
      <c r="F96">
        <v>1</v>
      </c>
      <c r="G96">
        <v>12.56</v>
      </c>
      <c r="H96">
        <v>12.56</v>
      </c>
      <c r="I96" t="str">
        <f t="shared" si="7"/>
        <v>Low</v>
      </c>
      <c r="J96">
        <v>3.22</v>
      </c>
      <c r="K96">
        <f t="shared" si="12"/>
        <v>9.34</v>
      </c>
      <c r="L96" t="str">
        <f t="shared" si="13"/>
        <v>October</v>
      </c>
      <c r="M96">
        <f>YEAR(C96)</f>
        <v>2023</v>
      </c>
      <c r="N96">
        <v>383</v>
      </c>
      <c r="O96" t="str">
        <f>IF(N96&gt;=200,"Platinum",IF(N96&gt;=100,"Gold",IF(N96&gt;=50,"Silver","Regular")))</f>
        <v>Platinum</v>
      </c>
      <c r="P96" s="4" t="str">
        <f t="shared" si="8"/>
        <v>Saturday</v>
      </c>
      <c r="Q96" s="4" t="str">
        <f t="shared" si="9"/>
        <v>Small Order</v>
      </c>
      <c r="R96" s="4" t="str">
        <f t="shared" si="10"/>
        <v>Weekend</v>
      </c>
      <c r="S96" s="4" t="str">
        <f t="shared" si="11"/>
        <v>Regular</v>
      </c>
    </row>
    <row r="97" spans="1:19" x14ac:dyDescent="0.3">
      <c r="A97">
        <v>1907</v>
      </c>
      <c r="B97" t="s">
        <v>8</v>
      </c>
      <c r="C97" s="1">
        <v>45790</v>
      </c>
      <c r="D97" t="s">
        <v>11</v>
      </c>
      <c r="E97" t="s">
        <v>14</v>
      </c>
      <c r="F97">
        <v>1</v>
      </c>
      <c r="G97">
        <v>19.239999999999998</v>
      </c>
      <c r="H97">
        <v>19.239999999999998</v>
      </c>
      <c r="I97" t="str">
        <f t="shared" si="7"/>
        <v>Low</v>
      </c>
      <c r="J97">
        <v>4.87</v>
      </c>
      <c r="K97">
        <f t="shared" si="12"/>
        <v>14.369999999999997</v>
      </c>
      <c r="L97" t="str">
        <f t="shared" si="13"/>
        <v>May</v>
      </c>
      <c r="M97">
        <f>YEAR(C97)</f>
        <v>2025</v>
      </c>
      <c r="N97">
        <v>143</v>
      </c>
      <c r="O97" t="str">
        <f>IF(N97&gt;=200,"Platinum",IF(N97&gt;=100,"Gold",IF(N97&gt;=50,"Silver","Regular")))</f>
        <v>Gold</v>
      </c>
      <c r="P97" s="4" t="str">
        <f t="shared" si="8"/>
        <v>Tuesday</v>
      </c>
      <c r="Q97" s="4" t="str">
        <f t="shared" si="9"/>
        <v>Small Order</v>
      </c>
      <c r="R97" s="4" t="str">
        <f t="shared" si="10"/>
        <v>Weekday</v>
      </c>
      <c r="S97" s="4" t="str">
        <f t="shared" si="11"/>
        <v>Regular</v>
      </c>
    </row>
    <row r="98" spans="1:19" x14ac:dyDescent="0.3">
      <c r="A98">
        <v>3419</v>
      </c>
      <c r="B98" t="s">
        <v>3</v>
      </c>
      <c r="C98" s="1">
        <v>45328</v>
      </c>
      <c r="D98" t="s">
        <v>17</v>
      </c>
      <c r="E98" t="s">
        <v>33</v>
      </c>
      <c r="F98">
        <v>1</v>
      </c>
      <c r="G98">
        <v>18.98</v>
      </c>
      <c r="H98">
        <v>18.98</v>
      </c>
      <c r="I98" t="str">
        <f t="shared" si="7"/>
        <v>Low</v>
      </c>
      <c r="J98">
        <v>4.78</v>
      </c>
      <c r="K98">
        <f t="shared" si="12"/>
        <v>14.2</v>
      </c>
      <c r="L98" t="str">
        <f t="shared" si="13"/>
        <v>February</v>
      </c>
      <c r="M98">
        <f>YEAR(C98)</f>
        <v>2024</v>
      </c>
      <c r="N98">
        <v>171</v>
      </c>
      <c r="O98" t="str">
        <f>IF(N98&gt;=200,"Platinum",IF(N98&gt;=100,"Gold",IF(N98&gt;=50,"Silver","Regular")))</f>
        <v>Gold</v>
      </c>
      <c r="P98" s="4" t="str">
        <f t="shared" si="8"/>
        <v>Tuesday</v>
      </c>
      <c r="Q98" s="4" t="str">
        <f t="shared" si="9"/>
        <v>Small Order</v>
      </c>
      <c r="R98" s="4" t="str">
        <f t="shared" si="10"/>
        <v>Weekday</v>
      </c>
      <c r="S98" s="4" t="str">
        <f t="shared" si="11"/>
        <v>Regular</v>
      </c>
    </row>
    <row r="99" spans="1:19" x14ac:dyDescent="0.3">
      <c r="A99">
        <v>2964</v>
      </c>
      <c r="B99" t="s">
        <v>19</v>
      </c>
      <c r="C99" s="1">
        <v>45836</v>
      </c>
      <c r="D99" t="s">
        <v>11</v>
      </c>
      <c r="E99" t="s">
        <v>12</v>
      </c>
      <c r="F99">
        <v>1</v>
      </c>
      <c r="G99">
        <v>6.25</v>
      </c>
      <c r="H99">
        <v>6.25</v>
      </c>
      <c r="I99" t="str">
        <f t="shared" si="7"/>
        <v>Low</v>
      </c>
      <c r="J99">
        <v>1.57</v>
      </c>
      <c r="K99">
        <f t="shared" si="12"/>
        <v>4.68</v>
      </c>
      <c r="L99" t="str">
        <f t="shared" si="13"/>
        <v>June</v>
      </c>
      <c r="M99">
        <f>YEAR(C99)</f>
        <v>2025</v>
      </c>
      <c r="N99">
        <v>73</v>
      </c>
      <c r="O99" t="str">
        <f>IF(N99&gt;=200,"Platinum",IF(N99&gt;=100,"Gold",IF(N99&gt;=50,"Silver","Regular")))</f>
        <v>Silver</v>
      </c>
      <c r="P99" s="4" t="str">
        <f t="shared" si="8"/>
        <v>Saturday</v>
      </c>
      <c r="Q99" s="4" t="str">
        <f t="shared" si="9"/>
        <v>Small Order</v>
      </c>
      <c r="R99" s="4" t="str">
        <f t="shared" si="10"/>
        <v>Weekend</v>
      </c>
      <c r="S99" s="4" t="str">
        <f t="shared" si="11"/>
        <v>Regular</v>
      </c>
    </row>
    <row r="100" spans="1:19" x14ac:dyDescent="0.3">
      <c r="A100">
        <v>6372</v>
      </c>
      <c r="B100" t="s">
        <v>8</v>
      </c>
      <c r="C100" s="1">
        <v>45658</v>
      </c>
      <c r="D100" t="s">
        <v>34</v>
      </c>
      <c r="E100" t="s">
        <v>33</v>
      </c>
      <c r="F100">
        <v>4</v>
      </c>
      <c r="G100">
        <v>3.25</v>
      </c>
      <c r="H100">
        <v>13</v>
      </c>
      <c r="I100" t="str">
        <f t="shared" si="7"/>
        <v>Low</v>
      </c>
      <c r="J100">
        <v>3.24</v>
      </c>
      <c r="K100">
        <f t="shared" si="12"/>
        <v>9.76</v>
      </c>
      <c r="L100" t="str">
        <f t="shared" si="13"/>
        <v>January</v>
      </c>
      <c r="M100">
        <f>YEAR(C100)</f>
        <v>2025</v>
      </c>
      <c r="N100">
        <v>346</v>
      </c>
      <c r="O100" t="str">
        <f>IF(N100&gt;=200,"Platinum",IF(N100&gt;=100,"Gold",IF(N100&gt;=50,"Silver","Regular")))</f>
        <v>Platinum</v>
      </c>
      <c r="P100" s="4" t="str">
        <f t="shared" si="8"/>
        <v>Wednesday</v>
      </c>
      <c r="Q100" s="4" t="str">
        <f t="shared" si="9"/>
        <v>Medium Order</v>
      </c>
      <c r="R100" s="4" t="str">
        <f t="shared" si="10"/>
        <v>Weekday</v>
      </c>
      <c r="S100" s="4" t="str">
        <f t="shared" si="11"/>
        <v>Regular</v>
      </c>
    </row>
    <row r="101" spans="1:19" x14ac:dyDescent="0.3">
      <c r="A101">
        <v>8052</v>
      </c>
      <c r="B101" t="s">
        <v>19</v>
      </c>
      <c r="C101" s="1">
        <v>45227</v>
      </c>
      <c r="D101" t="s">
        <v>24</v>
      </c>
      <c r="E101" t="s">
        <v>32</v>
      </c>
      <c r="F101">
        <v>2</v>
      </c>
      <c r="G101">
        <v>7.84</v>
      </c>
      <c r="H101">
        <v>15.68</v>
      </c>
      <c r="I101" t="str">
        <f t="shared" si="7"/>
        <v>Low</v>
      </c>
      <c r="J101">
        <v>3.9</v>
      </c>
      <c r="K101">
        <f t="shared" si="12"/>
        <v>11.78</v>
      </c>
      <c r="L101" t="str">
        <f t="shared" si="13"/>
        <v>October</v>
      </c>
      <c r="M101">
        <f>YEAR(C101)</f>
        <v>2023</v>
      </c>
      <c r="N101">
        <v>104</v>
      </c>
      <c r="O101" t="str">
        <f>IF(N101&gt;=200,"Platinum",IF(N101&gt;=100,"Gold",IF(N101&gt;=50,"Silver","Regular")))</f>
        <v>Gold</v>
      </c>
      <c r="P101" s="4" t="str">
        <f t="shared" si="8"/>
        <v>Saturday</v>
      </c>
      <c r="Q101" s="4" t="str">
        <f t="shared" si="9"/>
        <v>Small Order</v>
      </c>
      <c r="R101" s="4" t="str">
        <f t="shared" si="10"/>
        <v>Weekend</v>
      </c>
      <c r="S101" s="4" t="str">
        <f t="shared" si="11"/>
        <v>Regular</v>
      </c>
    </row>
    <row r="102" spans="1:19" x14ac:dyDescent="0.3">
      <c r="A102">
        <v>3480</v>
      </c>
      <c r="B102" t="s">
        <v>3</v>
      </c>
      <c r="C102" s="1">
        <v>45859</v>
      </c>
      <c r="D102" t="s">
        <v>4</v>
      </c>
      <c r="E102" t="s">
        <v>26</v>
      </c>
      <c r="F102">
        <v>3</v>
      </c>
      <c r="G102">
        <v>4.12</v>
      </c>
      <c r="H102">
        <v>12.36</v>
      </c>
      <c r="I102" t="str">
        <f t="shared" si="7"/>
        <v>Low</v>
      </c>
      <c r="J102">
        <v>3.07</v>
      </c>
      <c r="K102">
        <f t="shared" si="12"/>
        <v>9.2899999999999991</v>
      </c>
      <c r="L102" t="str">
        <f t="shared" si="13"/>
        <v>July</v>
      </c>
      <c r="M102">
        <f>YEAR(C102)</f>
        <v>2025</v>
      </c>
      <c r="N102">
        <v>349</v>
      </c>
      <c r="O102" t="str">
        <f>IF(N102&gt;=200,"Platinum",IF(N102&gt;=100,"Gold",IF(N102&gt;=50,"Silver","Regular")))</f>
        <v>Platinum</v>
      </c>
      <c r="P102" s="4" t="str">
        <f t="shared" si="8"/>
        <v>Monday</v>
      </c>
      <c r="Q102" s="4" t="str">
        <f t="shared" si="9"/>
        <v>Medium Order</v>
      </c>
      <c r="R102" s="4" t="str">
        <f t="shared" si="10"/>
        <v>Weekday</v>
      </c>
      <c r="S102" s="4" t="str">
        <f t="shared" si="11"/>
        <v>Regular</v>
      </c>
    </row>
    <row r="103" spans="1:19" x14ac:dyDescent="0.3">
      <c r="A103">
        <v>9882</v>
      </c>
      <c r="B103" t="s">
        <v>3</v>
      </c>
      <c r="C103" s="1">
        <v>45643</v>
      </c>
      <c r="D103" t="s">
        <v>16</v>
      </c>
      <c r="E103" t="s">
        <v>35</v>
      </c>
      <c r="F103">
        <v>3</v>
      </c>
      <c r="G103">
        <v>4.74</v>
      </c>
      <c r="H103">
        <v>14.22</v>
      </c>
      <c r="I103" t="str">
        <f t="shared" si="7"/>
        <v>Low</v>
      </c>
      <c r="J103">
        <v>3.47</v>
      </c>
      <c r="K103">
        <f t="shared" si="12"/>
        <v>10.75</v>
      </c>
      <c r="L103" t="str">
        <f t="shared" si="13"/>
        <v>December</v>
      </c>
      <c r="M103">
        <f>YEAR(C103)</f>
        <v>2024</v>
      </c>
      <c r="N103">
        <v>165</v>
      </c>
      <c r="O103" t="str">
        <f>IF(N103&gt;=200,"Platinum",IF(N103&gt;=100,"Gold",IF(N103&gt;=50,"Silver","Regular")))</f>
        <v>Gold</v>
      </c>
      <c r="P103" s="4" t="str">
        <f t="shared" si="8"/>
        <v>Tuesday</v>
      </c>
      <c r="Q103" s="4" t="str">
        <f t="shared" si="9"/>
        <v>Medium Order</v>
      </c>
      <c r="R103" s="4" t="str">
        <f t="shared" si="10"/>
        <v>Weekday</v>
      </c>
      <c r="S103" s="4" t="str">
        <f t="shared" si="11"/>
        <v>Regular</v>
      </c>
    </row>
    <row r="104" spans="1:19" x14ac:dyDescent="0.3">
      <c r="A104">
        <v>2341</v>
      </c>
      <c r="B104" t="s">
        <v>15</v>
      </c>
      <c r="C104" s="1">
        <v>45510</v>
      </c>
      <c r="D104" t="s">
        <v>27</v>
      </c>
      <c r="E104" t="s">
        <v>35</v>
      </c>
      <c r="F104">
        <v>1</v>
      </c>
      <c r="G104">
        <v>17.600000000000001</v>
      </c>
      <c r="H104">
        <v>17.600000000000001</v>
      </c>
      <c r="I104" t="str">
        <f t="shared" si="7"/>
        <v>Low</v>
      </c>
      <c r="J104">
        <v>4.29</v>
      </c>
      <c r="K104">
        <f t="shared" si="12"/>
        <v>13.310000000000002</v>
      </c>
      <c r="L104" t="str">
        <f t="shared" si="13"/>
        <v>August</v>
      </c>
      <c r="M104">
        <f>YEAR(C104)</f>
        <v>2024</v>
      </c>
      <c r="N104">
        <v>137</v>
      </c>
      <c r="O104" t="str">
        <f>IF(N104&gt;=200,"Platinum",IF(N104&gt;=100,"Gold",IF(N104&gt;=50,"Silver","Regular")))</f>
        <v>Gold</v>
      </c>
      <c r="P104" s="4" t="str">
        <f t="shared" si="8"/>
        <v>Tuesday</v>
      </c>
      <c r="Q104" s="4" t="str">
        <f t="shared" si="9"/>
        <v>Small Order</v>
      </c>
      <c r="R104" s="4" t="str">
        <f t="shared" si="10"/>
        <v>Weekday</v>
      </c>
      <c r="S104" s="4" t="str">
        <f t="shared" si="11"/>
        <v>Regular</v>
      </c>
    </row>
    <row r="105" spans="1:19" x14ac:dyDescent="0.3">
      <c r="A105">
        <v>2615</v>
      </c>
      <c r="B105" t="s">
        <v>8</v>
      </c>
      <c r="C105" s="1">
        <v>45768</v>
      </c>
      <c r="D105" t="s">
        <v>9</v>
      </c>
      <c r="E105" t="s">
        <v>7</v>
      </c>
      <c r="F105">
        <v>2</v>
      </c>
      <c r="G105">
        <v>9.7200000000000006</v>
      </c>
      <c r="H105">
        <v>19.440000000000001</v>
      </c>
      <c r="I105" t="str">
        <f t="shared" si="7"/>
        <v>Low</v>
      </c>
      <c r="J105">
        <v>4.71</v>
      </c>
      <c r="K105">
        <f t="shared" si="12"/>
        <v>14.73</v>
      </c>
      <c r="L105" t="str">
        <f t="shared" si="13"/>
        <v>April</v>
      </c>
      <c r="M105">
        <f>YEAR(C105)</f>
        <v>2025</v>
      </c>
      <c r="N105">
        <v>43</v>
      </c>
      <c r="O105" t="str">
        <f>IF(N105&gt;=200,"Platinum",IF(N105&gt;=100,"Gold",IF(N105&gt;=50,"Silver","Regular")))</f>
        <v>Regular</v>
      </c>
      <c r="P105" s="4" t="str">
        <f t="shared" si="8"/>
        <v>Monday</v>
      </c>
      <c r="Q105" s="4" t="str">
        <f t="shared" si="9"/>
        <v>Small Order</v>
      </c>
      <c r="R105" s="4" t="str">
        <f t="shared" si="10"/>
        <v>Weekday</v>
      </c>
      <c r="S105" s="4" t="str">
        <f t="shared" si="11"/>
        <v>Regular</v>
      </c>
    </row>
    <row r="106" spans="1:19" x14ac:dyDescent="0.3">
      <c r="A106">
        <v>2641</v>
      </c>
      <c r="B106" t="s">
        <v>0</v>
      </c>
      <c r="C106" s="1">
        <v>45466</v>
      </c>
      <c r="D106" t="s">
        <v>34</v>
      </c>
      <c r="E106" t="s">
        <v>22</v>
      </c>
      <c r="F106">
        <v>2</v>
      </c>
      <c r="G106">
        <v>5.05</v>
      </c>
      <c r="H106">
        <v>10.1</v>
      </c>
      <c r="I106" t="str">
        <f t="shared" si="7"/>
        <v>Low</v>
      </c>
      <c r="J106">
        <v>2.44</v>
      </c>
      <c r="K106">
        <f t="shared" si="12"/>
        <v>7.66</v>
      </c>
      <c r="L106" t="str">
        <f t="shared" si="13"/>
        <v>June</v>
      </c>
      <c r="M106">
        <f>YEAR(C106)</f>
        <v>2024</v>
      </c>
      <c r="N106">
        <v>382</v>
      </c>
      <c r="O106" t="str">
        <f>IF(N106&gt;=200,"Platinum",IF(N106&gt;=100,"Gold",IF(N106&gt;=50,"Silver","Regular")))</f>
        <v>Platinum</v>
      </c>
      <c r="P106" s="4" t="str">
        <f t="shared" si="8"/>
        <v>Sunday</v>
      </c>
      <c r="Q106" s="4" t="str">
        <f t="shared" si="9"/>
        <v>Small Order</v>
      </c>
      <c r="R106" s="4" t="str">
        <f t="shared" si="10"/>
        <v>Weekend</v>
      </c>
      <c r="S106" s="4" t="str">
        <f t="shared" si="11"/>
        <v>Regular</v>
      </c>
    </row>
    <row r="107" spans="1:19" x14ac:dyDescent="0.3">
      <c r="A107">
        <v>5583</v>
      </c>
      <c r="B107" t="s">
        <v>20</v>
      </c>
      <c r="C107" s="1">
        <v>45170</v>
      </c>
      <c r="D107" t="s">
        <v>6</v>
      </c>
      <c r="E107" t="s">
        <v>33</v>
      </c>
      <c r="F107">
        <v>3</v>
      </c>
      <c r="G107">
        <v>5.51</v>
      </c>
      <c r="H107">
        <v>16.53</v>
      </c>
      <c r="I107" t="str">
        <f t="shared" si="7"/>
        <v>Low</v>
      </c>
      <c r="J107">
        <v>3.96</v>
      </c>
      <c r="K107">
        <f t="shared" si="12"/>
        <v>12.57</v>
      </c>
      <c r="L107" t="str">
        <f t="shared" si="13"/>
        <v>September</v>
      </c>
      <c r="M107">
        <f>YEAR(C107)</f>
        <v>2023</v>
      </c>
      <c r="N107">
        <v>372</v>
      </c>
      <c r="O107" t="str">
        <f>IF(N107&gt;=200,"Platinum",IF(N107&gt;=100,"Gold",IF(N107&gt;=50,"Silver","Regular")))</f>
        <v>Platinum</v>
      </c>
      <c r="P107" s="4" t="str">
        <f t="shared" si="8"/>
        <v>Friday</v>
      </c>
      <c r="Q107" s="4" t="str">
        <f t="shared" si="9"/>
        <v>Medium Order</v>
      </c>
      <c r="R107" s="4" t="str">
        <f t="shared" si="10"/>
        <v>Weekday</v>
      </c>
      <c r="S107" s="4" t="str">
        <f t="shared" si="11"/>
        <v>Regular</v>
      </c>
    </row>
    <row r="108" spans="1:19" x14ac:dyDescent="0.3">
      <c r="A108">
        <v>2685</v>
      </c>
      <c r="B108" t="s">
        <v>20</v>
      </c>
      <c r="C108" s="1">
        <v>45839</v>
      </c>
      <c r="D108" t="s">
        <v>17</v>
      </c>
      <c r="E108" t="s">
        <v>5</v>
      </c>
      <c r="F108">
        <v>1</v>
      </c>
      <c r="G108">
        <v>20.54</v>
      </c>
      <c r="H108">
        <v>20.54</v>
      </c>
      <c r="I108" t="str">
        <f t="shared" si="7"/>
        <v>Low</v>
      </c>
      <c r="J108">
        <v>4.91</v>
      </c>
      <c r="K108">
        <f t="shared" si="12"/>
        <v>15.629999999999999</v>
      </c>
      <c r="L108" t="str">
        <f t="shared" si="13"/>
        <v>July</v>
      </c>
      <c r="M108">
        <f>YEAR(C108)</f>
        <v>2025</v>
      </c>
      <c r="N108">
        <v>460</v>
      </c>
      <c r="O108" t="str">
        <f>IF(N108&gt;=200,"Platinum",IF(N108&gt;=100,"Gold",IF(N108&gt;=50,"Silver","Regular")))</f>
        <v>Platinum</v>
      </c>
      <c r="P108" s="4" t="str">
        <f t="shared" si="8"/>
        <v>Tuesday</v>
      </c>
      <c r="Q108" s="4" t="str">
        <f t="shared" si="9"/>
        <v>Small Order</v>
      </c>
      <c r="R108" s="4" t="str">
        <f t="shared" si="10"/>
        <v>Weekday</v>
      </c>
      <c r="S108" s="4" t="str">
        <f t="shared" si="11"/>
        <v>Regular</v>
      </c>
    </row>
    <row r="109" spans="1:19" x14ac:dyDescent="0.3">
      <c r="A109">
        <v>9180</v>
      </c>
      <c r="B109" t="s">
        <v>3</v>
      </c>
      <c r="C109" s="1">
        <v>45253</v>
      </c>
      <c r="D109" t="s">
        <v>9</v>
      </c>
      <c r="E109" t="s">
        <v>18</v>
      </c>
      <c r="F109">
        <v>1</v>
      </c>
      <c r="G109">
        <v>10.01</v>
      </c>
      <c r="H109">
        <v>10.01</v>
      </c>
      <c r="I109" t="str">
        <f t="shared" si="7"/>
        <v>Low</v>
      </c>
      <c r="J109">
        <v>2.37</v>
      </c>
      <c r="K109">
        <f t="shared" si="12"/>
        <v>7.64</v>
      </c>
      <c r="L109" t="str">
        <f t="shared" si="13"/>
        <v>November</v>
      </c>
      <c r="M109">
        <f>YEAR(C109)</f>
        <v>2023</v>
      </c>
      <c r="N109">
        <v>287</v>
      </c>
      <c r="O109" t="str">
        <f>IF(N109&gt;=200,"Platinum",IF(N109&gt;=100,"Gold",IF(N109&gt;=50,"Silver","Regular")))</f>
        <v>Platinum</v>
      </c>
      <c r="P109" s="4" t="str">
        <f t="shared" si="8"/>
        <v>Thursday</v>
      </c>
      <c r="Q109" s="4" t="str">
        <f t="shared" si="9"/>
        <v>Small Order</v>
      </c>
      <c r="R109" s="4" t="str">
        <f t="shared" si="10"/>
        <v>Weekday</v>
      </c>
      <c r="S109" s="4" t="str">
        <f t="shared" si="11"/>
        <v>Regular</v>
      </c>
    </row>
    <row r="110" spans="1:19" x14ac:dyDescent="0.3">
      <c r="A110">
        <v>4641</v>
      </c>
      <c r="B110" t="s">
        <v>3</v>
      </c>
      <c r="C110" s="1">
        <v>45246</v>
      </c>
      <c r="D110" t="s">
        <v>1</v>
      </c>
      <c r="E110" t="s">
        <v>14</v>
      </c>
      <c r="F110">
        <v>2</v>
      </c>
      <c r="G110">
        <v>5.26</v>
      </c>
      <c r="H110">
        <v>10.52</v>
      </c>
      <c r="I110" t="str">
        <f t="shared" si="7"/>
        <v>Low</v>
      </c>
      <c r="J110">
        <v>2.4900000000000002</v>
      </c>
      <c r="K110">
        <f t="shared" si="12"/>
        <v>8.0299999999999994</v>
      </c>
      <c r="L110" t="str">
        <f t="shared" si="13"/>
        <v>November</v>
      </c>
      <c r="M110">
        <f>YEAR(C110)</f>
        <v>2023</v>
      </c>
      <c r="N110">
        <v>68</v>
      </c>
      <c r="O110" t="str">
        <f>IF(N110&gt;=200,"Platinum",IF(N110&gt;=100,"Gold",IF(N110&gt;=50,"Silver","Regular")))</f>
        <v>Silver</v>
      </c>
      <c r="P110" s="4" t="str">
        <f t="shared" si="8"/>
        <v>Thursday</v>
      </c>
      <c r="Q110" s="4" t="str">
        <f t="shared" si="9"/>
        <v>Small Order</v>
      </c>
      <c r="R110" s="4" t="str">
        <f t="shared" si="10"/>
        <v>Weekday</v>
      </c>
      <c r="S110" s="4" t="str">
        <f t="shared" si="11"/>
        <v>Regular</v>
      </c>
    </row>
    <row r="111" spans="1:19" x14ac:dyDescent="0.3">
      <c r="A111">
        <v>2678</v>
      </c>
      <c r="B111" t="s">
        <v>31</v>
      </c>
      <c r="C111" s="1">
        <v>45225</v>
      </c>
      <c r="D111" t="s">
        <v>17</v>
      </c>
      <c r="E111" t="s">
        <v>35</v>
      </c>
      <c r="F111">
        <v>4</v>
      </c>
      <c r="G111">
        <v>5.17</v>
      </c>
      <c r="H111">
        <v>20.68</v>
      </c>
      <c r="I111" t="str">
        <f t="shared" si="7"/>
        <v>Low</v>
      </c>
      <c r="J111">
        <v>4.88</v>
      </c>
      <c r="K111">
        <f t="shared" si="12"/>
        <v>15.8</v>
      </c>
      <c r="L111" t="str">
        <f t="shared" si="13"/>
        <v>October</v>
      </c>
      <c r="M111">
        <f>YEAR(C111)</f>
        <v>2023</v>
      </c>
      <c r="N111">
        <v>276</v>
      </c>
      <c r="O111" t="str">
        <f>IF(N111&gt;=200,"Platinum",IF(N111&gt;=100,"Gold",IF(N111&gt;=50,"Silver","Regular")))</f>
        <v>Platinum</v>
      </c>
      <c r="P111" s="4" t="str">
        <f t="shared" si="8"/>
        <v>Thursday</v>
      </c>
      <c r="Q111" s="4" t="str">
        <f t="shared" si="9"/>
        <v>Medium Order</v>
      </c>
      <c r="R111" s="4" t="str">
        <f t="shared" si="10"/>
        <v>Weekday</v>
      </c>
      <c r="S111" s="4" t="str">
        <f t="shared" si="11"/>
        <v>Regular</v>
      </c>
    </row>
    <row r="112" spans="1:19" x14ac:dyDescent="0.3">
      <c r="A112">
        <v>5526</v>
      </c>
      <c r="B112" t="s">
        <v>25</v>
      </c>
      <c r="C112" s="1">
        <v>45576</v>
      </c>
      <c r="D112" t="s">
        <v>9</v>
      </c>
      <c r="E112" t="s">
        <v>35</v>
      </c>
      <c r="F112">
        <v>1</v>
      </c>
      <c r="G112">
        <v>20.63</v>
      </c>
      <c r="H112">
        <v>20.63</v>
      </c>
      <c r="I112" t="str">
        <f t="shared" si="7"/>
        <v>Low</v>
      </c>
      <c r="J112">
        <v>4.8099999999999996</v>
      </c>
      <c r="K112">
        <f t="shared" si="12"/>
        <v>15.82</v>
      </c>
      <c r="L112" t="str">
        <f t="shared" si="13"/>
        <v>October</v>
      </c>
      <c r="M112">
        <f>YEAR(C112)</f>
        <v>2024</v>
      </c>
      <c r="N112">
        <v>133</v>
      </c>
      <c r="O112" t="str">
        <f>IF(N112&gt;=200,"Platinum",IF(N112&gt;=100,"Gold",IF(N112&gt;=50,"Silver","Regular")))</f>
        <v>Gold</v>
      </c>
      <c r="P112" s="4" t="str">
        <f t="shared" si="8"/>
        <v>Friday</v>
      </c>
      <c r="Q112" s="4" t="str">
        <f t="shared" si="9"/>
        <v>Small Order</v>
      </c>
      <c r="R112" s="4" t="str">
        <f t="shared" si="10"/>
        <v>Weekday</v>
      </c>
      <c r="S112" s="4" t="str">
        <f t="shared" si="11"/>
        <v>Regular</v>
      </c>
    </row>
    <row r="113" spans="1:19" x14ac:dyDescent="0.3">
      <c r="A113">
        <v>4817</v>
      </c>
      <c r="B113" t="s">
        <v>13</v>
      </c>
      <c r="C113" s="1">
        <v>45565</v>
      </c>
      <c r="D113" t="s">
        <v>16</v>
      </c>
      <c r="E113" t="s">
        <v>21</v>
      </c>
      <c r="F113">
        <v>1</v>
      </c>
      <c r="G113">
        <v>15.79</v>
      </c>
      <c r="H113">
        <v>15.79</v>
      </c>
      <c r="I113" t="str">
        <f t="shared" si="7"/>
        <v>Low</v>
      </c>
      <c r="J113">
        <v>3.68</v>
      </c>
      <c r="K113">
        <f t="shared" si="12"/>
        <v>12.11</v>
      </c>
      <c r="L113" t="str">
        <f t="shared" si="13"/>
        <v>September</v>
      </c>
      <c r="M113">
        <f>YEAR(C113)</f>
        <v>2024</v>
      </c>
      <c r="N113">
        <v>148</v>
      </c>
      <c r="O113" t="str">
        <f>IF(N113&gt;=200,"Platinum",IF(N113&gt;=100,"Gold",IF(N113&gt;=50,"Silver","Regular")))</f>
        <v>Gold</v>
      </c>
      <c r="P113" s="4" t="str">
        <f t="shared" si="8"/>
        <v>Monday</v>
      </c>
      <c r="Q113" s="4" t="str">
        <f t="shared" si="9"/>
        <v>Small Order</v>
      </c>
      <c r="R113" s="4" t="str">
        <f t="shared" si="10"/>
        <v>Weekday</v>
      </c>
      <c r="S113" s="4" t="str">
        <f t="shared" si="11"/>
        <v>Regular</v>
      </c>
    </row>
    <row r="114" spans="1:19" x14ac:dyDescent="0.3">
      <c r="A114">
        <v>9701</v>
      </c>
      <c r="B114" t="s">
        <v>19</v>
      </c>
      <c r="C114" s="1">
        <v>45267</v>
      </c>
      <c r="D114" t="s">
        <v>11</v>
      </c>
      <c r="E114" t="s">
        <v>30</v>
      </c>
      <c r="F114">
        <v>4</v>
      </c>
      <c r="G114">
        <v>2.94</v>
      </c>
      <c r="H114">
        <v>11.76</v>
      </c>
      <c r="I114" t="str">
        <f t="shared" si="7"/>
        <v>Low</v>
      </c>
      <c r="J114">
        <v>2.73</v>
      </c>
      <c r="K114">
        <f t="shared" si="12"/>
        <v>9.0299999999999994</v>
      </c>
      <c r="L114" t="str">
        <f t="shared" si="13"/>
        <v>December</v>
      </c>
      <c r="M114">
        <f>YEAR(C114)</f>
        <v>2023</v>
      </c>
      <c r="N114">
        <v>425</v>
      </c>
      <c r="O114" t="str">
        <f>IF(N114&gt;=200,"Platinum",IF(N114&gt;=100,"Gold",IF(N114&gt;=50,"Silver","Regular")))</f>
        <v>Platinum</v>
      </c>
      <c r="P114" s="4" t="str">
        <f t="shared" si="8"/>
        <v>Thursday</v>
      </c>
      <c r="Q114" s="4" t="str">
        <f t="shared" si="9"/>
        <v>Medium Order</v>
      </c>
      <c r="R114" s="4" t="str">
        <f t="shared" si="10"/>
        <v>Weekday</v>
      </c>
      <c r="S114" s="4" t="str">
        <f t="shared" si="11"/>
        <v>Regular</v>
      </c>
    </row>
    <row r="115" spans="1:19" x14ac:dyDescent="0.3">
      <c r="A115">
        <v>8389</v>
      </c>
      <c r="B115" t="s">
        <v>0</v>
      </c>
      <c r="C115" s="1">
        <v>45626</v>
      </c>
      <c r="D115" t="s">
        <v>6</v>
      </c>
      <c r="E115" t="s">
        <v>36</v>
      </c>
      <c r="F115">
        <v>1</v>
      </c>
      <c r="G115">
        <v>13.81</v>
      </c>
      <c r="H115">
        <v>13.81</v>
      </c>
      <c r="I115" t="str">
        <f t="shared" si="7"/>
        <v>Low</v>
      </c>
      <c r="J115">
        <v>3.17</v>
      </c>
      <c r="K115">
        <f t="shared" si="12"/>
        <v>10.64</v>
      </c>
      <c r="L115" t="str">
        <f t="shared" si="13"/>
        <v>November</v>
      </c>
      <c r="M115">
        <f>YEAR(C115)</f>
        <v>2024</v>
      </c>
      <c r="N115">
        <v>243</v>
      </c>
      <c r="O115" t="str">
        <f>IF(N115&gt;=200,"Platinum",IF(N115&gt;=100,"Gold",IF(N115&gt;=50,"Silver","Regular")))</f>
        <v>Platinum</v>
      </c>
      <c r="P115" s="4" t="str">
        <f t="shared" si="8"/>
        <v>Saturday</v>
      </c>
      <c r="Q115" s="4" t="str">
        <f t="shared" si="9"/>
        <v>Small Order</v>
      </c>
      <c r="R115" s="4" t="str">
        <f t="shared" si="10"/>
        <v>Weekend</v>
      </c>
      <c r="S115" s="4" t="str">
        <f t="shared" si="11"/>
        <v>Regular</v>
      </c>
    </row>
    <row r="116" spans="1:19" x14ac:dyDescent="0.3">
      <c r="A116">
        <v>8973</v>
      </c>
      <c r="B116" t="s">
        <v>13</v>
      </c>
      <c r="C116" s="1">
        <v>45265</v>
      </c>
      <c r="D116" t="s">
        <v>27</v>
      </c>
      <c r="E116" t="s">
        <v>37</v>
      </c>
      <c r="F116">
        <v>1</v>
      </c>
      <c r="G116">
        <v>14.8</v>
      </c>
      <c r="H116">
        <v>14.8</v>
      </c>
      <c r="I116" t="str">
        <f t="shared" si="7"/>
        <v>Low</v>
      </c>
      <c r="J116">
        <v>3.37</v>
      </c>
      <c r="K116">
        <f t="shared" si="12"/>
        <v>11.43</v>
      </c>
      <c r="L116" t="str">
        <f t="shared" si="13"/>
        <v>December</v>
      </c>
      <c r="M116">
        <f>YEAR(C116)</f>
        <v>2023</v>
      </c>
      <c r="N116">
        <v>398</v>
      </c>
      <c r="O116" t="str">
        <f>IF(N116&gt;=200,"Platinum",IF(N116&gt;=100,"Gold",IF(N116&gt;=50,"Silver","Regular")))</f>
        <v>Platinum</v>
      </c>
      <c r="P116" s="4" t="str">
        <f t="shared" si="8"/>
        <v>Tuesday</v>
      </c>
      <c r="Q116" s="4" t="str">
        <f t="shared" si="9"/>
        <v>Small Order</v>
      </c>
      <c r="R116" s="4" t="str">
        <f t="shared" si="10"/>
        <v>Weekday</v>
      </c>
      <c r="S116" s="4" t="str">
        <f t="shared" si="11"/>
        <v>Regular</v>
      </c>
    </row>
    <row r="117" spans="1:19" x14ac:dyDescent="0.3">
      <c r="A117">
        <v>6862</v>
      </c>
      <c r="B117" t="s">
        <v>15</v>
      </c>
      <c r="C117" s="1">
        <v>45308</v>
      </c>
      <c r="D117" t="s">
        <v>11</v>
      </c>
      <c r="E117" t="s">
        <v>22</v>
      </c>
      <c r="F117">
        <v>1</v>
      </c>
      <c r="G117">
        <v>22.07</v>
      </c>
      <c r="H117">
        <v>22.07</v>
      </c>
      <c r="I117" t="str">
        <f t="shared" si="7"/>
        <v>Low</v>
      </c>
      <c r="J117">
        <v>4.99</v>
      </c>
      <c r="K117">
        <f t="shared" si="12"/>
        <v>17.079999999999998</v>
      </c>
      <c r="L117" t="str">
        <f t="shared" si="13"/>
        <v>January</v>
      </c>
      <c r="M117">
        <f>YEAR(C117)</f>
        <v>2024</v>
      </c>
      <c r="N117">
        <v>466</v>
      </c>
      <c r="O117" t="str">
        <f>IF(N117&gt;=200,"Platinum",IF(N117&gt;=100,"Gold",IF(N117&gt;=50,"Silver","Regular")))</f>
        <v>Platinum</v>
      </c>
      <c r="P117" s="4" t="str">
        <f t="shared" si="8"/>
        <v>Wednesday</v>
      </c>
      <c r="Q117" s="4" t="str">
        <f t="shared" si="9"/>
        <v>Small Order</v>
      </c>
      <c r="R117" s="4" t="str">
        <f t="shared" si="10"/>
        <v>Weekday</v>
      </c>
      <c r="S117" s="4" t="str">
        <f t="shared" si="11"/>
        <v>Regular</v>
      </c>
    </row>
    <row r="118" spans="1:19" x14ac:dyDescent="0.3">
      <c r="A118">
        <v>8932</v>
      </c>
      <c r="B118" t="s">
        <v>3</v>
      </c>
      <c r="C118" s="1">
        <v>45294</v>
      </c>
      <c r="D118" t="s">
        <v>6</v>
      </c>
      <c r="E118" t="s">
        <v>12</v>
      </c>
      <c r="F118">
        <v>3</v>
      </c>
      <c r="G118">
        <v>4.72</v>
      </c>
      <c r="H118">
        <v>14.16</v>
      </c>
      <c r="I118" t="str">
        <f t="shared" si="7"/>
        <v>Low</v>
      </c>
      <c r="J118">
        <v>3.2</v>
      </c>
      <c r="K118">
        <f t="shared" si="12"/>
        <v>10.96</v>
      </c>
      <c r="L118" t="str">
        <f t="shared" si="13"/>
        <v>January</v>
      </c>
      <c r="M118">
        <f>YEAR(C118)</f>
        <v>2024</v>
      </c>
      <c r="N118">
        <v>318</v>
      </c>
      <c r="O118" t="str">
        <f>IF(N118&gt;=200,"Platinum",IF(N118&gt;=100,"Gold",IF(N118&gt;=50,"Silver","Regular")))</f>
        <v>Platinum</v>
      </c>
      <c r="P118" s="4" t="str">
        <f t="shared" si="8"/>
        <v>Wednesday</v>
      </c>
      <c r="Q118" s="4" t="str">
        <f t="shared" si="9"/>
        <v>Medium Order</v>
      </c>
      <c r="R118" s="4" t="str">
        <f t="shared" si="10"/>
        <v>Weekday</v>
      </c>
      <c r="S118" s="4" t="str">
        <f t="shared" si="11"/>
        <v>Regular</v>
      </c>
    </row>
    <row r="119" spans="1:19" x14ac:dyDescent="0.3">
      <c r="A119">
        <v>2130</v>
      </c>
      <c r="B119" t="s">
        <v>13</v>
      </c>
      <c r="C119" s="1">
        <v>45870</v>
      </c>
      <c r="D119" t="s">
        <v>11</v>
      </c>
      <c r="E119" t="s">
        <v>21</v>
      </c>
      <c r="F119">
        <v>1</v>
      </c>
      <c r="G119">
        <v>17.260000000000002</v>
      </c>
      <c r="H119">
        <v>17.260000000000002</v>
      </c>
      <c r="I119" t="str">
        <f t="shared" si="7"/>
        <v>Low</v>
      </c>
      <c r="J119">
        <v>3.89</v>
      </c>
      <c r="K119">
        <f t="shared" si="12"/>
        <v>13.370000000000001</v>
      </c>
      <c r="L119" t="str">
        <f t="shared" si="13"/>
        <v>August</v>
      </c>
      <c r="M119">
        <f>YEAR(C119)</f>
        <v>2025</v>
      </c>
      <c r="N119">
        <v>457</v>
      </c>
      <c r="O119" t="str">
        <f>IF(N119&gt;=200,"Platinum",IF(N119&gt;=100,"Gold",IF(N119&gt;=50,"Silver","Regular")))</f>
        <v>Platinum</v>
      </c>
      <c r="P119" s="4" t="str">
        <f t="shared" si="8"/>
        <v>Friday</v>
      </c>
      <c r="Q119" s="4" t="str">
        <f t="shared" si="9"/>
        <v>Small Order</v>
      </c>
      <c r="R119" s="4" t="str">
        <f t="shared" si="10"/>
        <v>Weekday</v>
      </c>
      <c r="S119" s="4" t="str">
        <f t="shared" si="11"/>
        <v>Regular</v>
      </c>
    </row>
    <row r="120" spans="1:19" x14ac:dyDescent="0.3">
      <c r="A120">
        <v>2259</v>
      </c>
      <c r="B120" t="s">
        <v>0</v>
      </c>
      <c r="C120" s="1">
        <v>45590</v>
      </c>
      <c r="D120" t="s">
        <v>6</v>
      </c>
      <c r="E120" t="s">
        <v>7</v>
      </c>
      <c r="F120">
        <v>2</v>
      </c>
      <c r="G120">
        <v>9.82</v>
      </c>
      <c r="H120">
        <v>19.64</v>
      </c>
      <c r="I120" t="str">
        <f t="shared" si="7"/>
        <v>Low</v>
      </c>
      <c r="J120">
        <v>4.3899999999999997</v>
      </c>
      <c r="K120">
        <f t="shared" si="12"/>
        <v>15.25</v>
      </c>
      <c r="L120" t="str">
        <f t="shared" si="13"/>
        <v>October</v>
      </c>
      <c r="M120">
        <f>YEAR(C120)</f>
        <v>2024</v>
      </c>
      <c r="N120">
        <v>208</v>
      </c>
      <c r="O120" t="str">
        <f>IF(N120&gt;=200,"Platinum",IF(N120&gt;=100,"Gold",IF(N120&gt;=50,"Silver","Regular")))</f>
        <v>Platinum</v>
      </c>
      <c r="P120" s="4" t="str">
        <f t="shared" si="8"/>
        <v>Friday</v>
      </c>
      <c r="Q120" s="4" t="str">
        <f t="shared" si="9"/>
        <v>Small Order</v>
      </c>
      <c r="R120" s="4" t="str">
        <f t="shared" si="10"/>
        <v>Weekday</v>
      </c>
      <c r="S120" s="4" t="str">
        <f t="shared" si="11"/>
        <v>Regular</v>
      </c>
    </row>
    <row r="121" spans="1:19" x14ac:dyDescent="0.3">
      <c r="A121">
        <v>8752</v>
      </c>
      <c r="B121" t="s">
        <v>25</v>
      </c>
      <c r="C121" s="1">
        <v>45761</v>
      </c>
      <c r="D121" t="s">
        <v>27</v>
      </c>
      <c r="E121" t="s">
        <v>22</v>
      </c>
      <c r="F121">
        <v>1</v>
      </c>
      <c r="G121">
        <v>20.72</v>
      </c>
      <c r="H121">
        <v>20.72</v>
      </c>
      <c r="I121" t="str">
        <f t="shared" si="7"/>
        <v>Low</v>
      </c>
      <c r="J121">
        <v>4.5999999999999996</v>
      </c>
      <c r="K121">
        <f t="shared" si="12"/>
        <v>16.119999999999997</v>
      </c>
      <c r="L121" t="str">
        <f t="shared" si="13"/>
        <v>April</v>
      </c>
      <c r="M121">
        <f>YEAR(C121)</f>
        <v>2025</v>
      </c>
      <c r="N121">
        <v>367</v>
      </c>
      <c r="O121" t="str">
        <f>IF(N121&gt;=200,"Platinum",IF(N121&gt;=100,"Gold",IF(N121&gt;=50,"Silver","Regular")))</f>
        <v>Platinum</v>
      </c>
      <c r="P121" s="4" t="str">
        <f t="shared" si="8"/>
        <v>Monday</v>
      </c>
      <c r="Q121" s="4" t="str">
        <f t="shared" si="9"/>
        <v>Small Order</v>
      </c>
      <c r="R121" s="4" t="str">
        <f t="shared" si="10"/>
        <v>Weekday</v>
      </c>
      <c r="S121" s="4" t="str">
        <f t="shared" si="11"/>
        <v>Regular</v>
      </c>
    </row>
    <row r="122" spans="1:19" x14ac:dyDescent="0.3">
      <c r="A122">
        <v>1400</v>
      </c>
      <c r="B122" t="s">
        <v>15</v>
      </c>
      <c r="C122" s="1">
        <v>45180</v>
      </c>
      <c r="D122" t="s">
        <v>11</v>
      </c>
      <c r="E122" t="s">
        <v>30</v>
      </c>
      <c r="F122">
        <v>3</v>
      </c>
      <c r="G122">
        <v>6.46</v>
      </c>
      <c r="H122">
        <v>19.38</v>
      </c>
      <c r="I122" t="str">
        <f t="shared" si="7"/>
        <v>Low</v>
      </c>
      <c r="J122">
        <v>4.24</v>
      </c>
      <c r="K122">
        <f t="shared" si="12"/>
        <v>15.139999999999999</v>
      </c>
      <c r="L122" t="str">
        <f t="shared" si="13"/>
        <v>September</v>
      </c>
      <c r="M122">
        <f>YEAR(C122)</f>
        <v>2023</v>
      </c>
      <c r="N122">
        <v>448</v>
      </c>
      <c r="O122" t="str">
        <f>IF(N122&gt;=200,"Platinum",IF(N122&gt;=100,"Gold",IF(N122&gt;=50,"Silver","Regular")))</f>
        <v>Platinum</v>
      </c>
      <c r="P122" s="4" t="str">
        <f t="shared" si="8"/>
        <v>Monday</v>
      </c>
      <c r="Q122" s="4" t="str">
        <f t="shared" si="9"/>
        <v>Medium Order</v>
      </c>
      <c r="R122" s="4" t="str">
        <f t="shared" si="10"/>
        <v>Weekday</v>
      </c>
      <c r="S122" s="4" t="str">
        <f t="shared" si="11"/>
        <v>Regular</v>
      </c>
    </row>
    <row r="123" spans="1:19" x14ac:dyDescent="0.3">
      <c r="A123">
        <v>9482</v>
      </c>
      <c r="B123" t="s">
        <v>31</v>
      </c>
      <c r="C123" s="1">
        <v>45445</v>
      </c>
      <c r="D123" t="s">
        <v>16</v>
      </c>
      <c r="E123" t="s">
        <v>10</v>
      </c>
      <c r="F123">
        <v>3</v>
      </c>
      <c r="G123">
        <v>7.1</v>
      </c>
      <c r="H123">
        <v>21.3</v>
      </c>
      <c r="I123" t="str">
        <f t="shared" si="7"/>
        <v>Low</v>
      </c>
      <c r="J123">
        <v>4.66</v>
      </c>
      <c r="K123">
        <f t="shared" si="12"/>
        <v>16.64</v>
      </c>
      <c r="L123" t="str">
        <f t="shared" si="13"/>
        <v>June</v>
      </c>
      <c r="M123">
        <f>YEAR(C123)</f>
        <v>2024</v>
      </c>
      <c r="N123">
        <v>491</v>
      </c>
      <c r="O123" t="str">
        <f>IF(N123&gt;=200,"Platinum",IF(N123&gt;=100,"Gold",IF(N123&gt;=50,"Silver","Regular")))</f>
        <v>Platinum</v>
      </c>
      <c r="P123" s="4" t="str">
        <f t="shared" si="8"/>
        <v>Sunday</v>
      </c>
      <c r="Q123" s="4" t="str">
        <f t="shared" si="9"/>
        <v>Medium Order</v>
      </c>
      <c r="R123" s="4" t="str">
        <f t="shared" si="10"/>
        <v>Weekend</v>
      </c>
      <c r="S123" s="4" t="str">
        <f t="shared" si="11"/>
        <v>Regular</v>
      </c>
    </row>
    <row r="124" spans="1:19" x14ac:dyDescent="0.3">
      <c r="A124">
        <v>3188</v>
      </c>
      <c r="B124" t="s">
        <v>8</v>
      </c>
      <c r="C124" s="1">
        <v>45516</v>
      </c>
      <c r="D124" t="s">
        <v>1</v>
      </c>
      <c r="E124" t="s">
        <v>30</v>
      </c>
      <c r="F124">
        <v>3</v>
      </c>
      <c r="G124">
        <v>5.09</v>
      </c>
      <c r="H124">
        <v>15.27</v>
      </c>
      <c r="I124" t="str">
        <f t="shared" si="7"/>
        <v>Low</v>
      </c>
      <c r="J124">
        <v>3.28</v>
      </c>
      <c r="K124">
        <f t="shared" si="12"/>
        <v>11.99</v>
      </c>
      <c r="L124" t="str">
        <f t="shared" si="13"/>
        <v>August</v>
      </c>
      <c r="M124">
        <f>YEAR(C124)</f>
        <v>2024</v>
      </c>
      <c r="N124">
        <v>125</v>
      </c>
      <c r="O124" t="str">
        <f>IF(N124&gt;=200,"Platinum",IF(N124&gt;=100,"Gold",IF(N124&gt;=50,"Silver","Regular")))</f>
        <v>Gold</v>
      </c>
      <c r="P124" s="4" t="str">
        <f t="shared" si="8"/>
        <v>Monday</v>
      </c>
      <c r="Q124" s="4" t="str">
        <f t="shared" si="9"/>
        <v>Medium Order</v>
      </c>
      <c r="R124" s="4" t="str">
        <f t="shared" si="10"/>
        <v>Weekday</v>
      </c>
      <c r="S124" s="4" t="str">
        <f t="shared" si="11"/>
        <v>Regular</v>
      </c>
    </row>
    <row r="125" spans="1:19" x14ac:dyDescent="0.3">
      <c r="A125">
        <v>5465</v>
      </c>
      <c r="B125" t="s">
        <v>20</v>
      </c>
      <c r="C125" s="1">
        <v>45790</v>
      </c>
      <c r="D125" t="s">
        <v>16</v>
      </c>
      <c r="E125" t="s">
        <v>33</v>
      </c>
      <c r="F125">
        <v>1</v>
      </c>
      <c r="G125">
        <v>7.83</v>
      </c>
      <c r="H125">
        <v>7.83</v>
      </c>
      <c r="I125" t="str">
        <f t="shared" si="7"/>
        <v>Low</v>
      </c>
      <c r="J125">
        <v>1.67</v>
      </c>
      <c r="K125">
        <f t="shared" si="12"/>
        <v>6.16</v>
      </c>
      <c r="L125" t="str">
        <f t="shared" si="13"/>
        <v>May</v>
      </c>
      <c r="M125">
        <f>YEAR(C125)</f>
        <v>2025</v>
      </c>
      <c r="N125">
        <v>222</v>
      </c>
      <c r="O125" t="str">
        <f>IF(N125&gt;=200,"Platinum",IF(N125&gt;=100,"Gold",IF(N125&gt;=50,"Silver","Regular")))</f>
        <v>Platinum</v>
      </c>
      <c r="P125" s="4" t="str">
        <f t="shared" si="8"/>
        <v>Tuesday</v>
      </c>
      <c r="Q125" s="4" t="str">
        <f t="shared" si="9"/>
        <v>Small Order</v>
      </c>
      <c r="R125" s="4" t="str">
        <f t="shared" si="10"/>
        <v>Weekday</v>
      </c>
      <c r="S125" s="4" t="str">
        <f t="shared" si="11"/>
        <v>Regular</v>
      </c>
    </row>
    <row r="126" spans="1:19" x14ac:dyDescent="0.3">
      <c r="A126">
        <v>2388</v>
      </c>
      <c r="B126" t="s">
        <v>19</v>
      </c>
      <c r="C126" s="1">
        <v>45667</v>
      </c>
      <c r="D126" t="s">
        <v>17</v>
      </c>
      <c r="E126" t="s">
        <v>2</v>
      </c>
      <c r="F126">
        <v>5</v>
      </c>
      <c r="G126">
        <v>2.0299999999999998</v>
      </c>
      <c r="H126">
        <v>10.15</v>
      </c>
      <c r="I126" t="str">
        <f t="shared" si="7"/>
        <v>Low</v>
      </c>
      <c r="J126">
        <v>2.15</v>
      </c>
      <c r="K126">
        <f t="shared" si="12"/>
        <v>8</v>
      </c>
      <c r="L126" t="str">
        <f t="shared" si="13"/>
        <v>January</v>
      </c>
      <c r="M126">
        <f>YEAR(C126)</f>
        <v>2025</v>
      </c>
      <c r="N126">
        <v>71</v>
      </c>
      <c r="O126" t="str">
        <f>IF(N126&gt;=200,"Platinum",IF(N126&gt;=100,"Gold",IF(N126&gt;=50,"Silver","Regular")))</f>
        <v>Silver</v>
      </c>
      <c r="P126" s="4" t="str">
        <f t="shared" si="8"/>
        <v>Friday</v>
      </c>
      <c r="Q126" s="4" t="str">
        <f t="shared" si="9"/>
        <v>Medium Order</v>
      </c>
      <c r="R126" s="4" t="str">
        <f t="shared" si="10"/>
        <v>Weekday</v>
      </c>
      <c r="S126" s="4" t="str">
        <f t="shared" si="11"/>
        <v>Regular</v>
      </c>
    </row>
    <row r="127" spans="1:19" x14ac:dyDescent="0.3">
      <c r="A127">
        <v>8563</v>
      </c>
      <c r="B127" t="s">
        <v>8</v>
      </c>
      <c r="C127" s="1">
        <v>45695</v>
      </c>
      <c r="D127" t="s">
        <v>23</v>
      </c>
      <c r="E127" t="s">
        <v>30</v>
      </c>
      <c r="F127">
        <v>1</v>
      </c>
      <c r="G127">
        <v>13.16</v>
      </c>
      <c r="H127">
        <v>13.16</v>
      </c>
      <c r="I127" t="str">
        <f t="shared" si="7"/>
        <v>Low</v>
      </c>
      <c r="J127">
        <v>2.77</v>
      </c>
      <c r="K127">
        <f t="shared" si="12"/>
        <v>10.39</v>
      </c>
      <c r="L127" t="str">
        <f t="shared" si="13"/>
        <v>February</v>
      </c>
      <c r="M127">
        <f>YEAR(C127)</f>
        <v>2025</v>
      </c>
      <c r="N127">
        <v>433</v>
      </c>
      <c r="O127" t="str">
        <f>IF(N127&gt;=200,"Platinum",IF(N127&gt;=100,"Gold",IF(N127&gt;=50,"Silver","Regular")))</f>
        <v>Platinum</v>
      </c>
      <c r="P127" s="4" t="str">
        <f t="shared" si="8"/>
        <v>Friday</v>
      </c>
      <c r="Q127" s="4" t="str">
        <f t="shared" si="9"/>
        <v>Small Order</v>
      </c>
      <c r="R127" s="4" t="str">
        <f t="shared" si="10"/>
        <v>Weekday</v>
      </c>
      <c r="S127" s="4" t="str">
        <f t="shared" si="11"/>
        <v>Regular</v>
      </c>
    </row>
    <row r="128" spans="1:19" x14ac:dyDescent="0.3">
      <c r="A128">
        <v>7520</v>
      </c>
      <c r="B128" t="s">
        <v>19</v>
      </c>
      <c r="C128" s="1">
        <v>45538</v>
      </c>
      <c r="D128" t="s">
        <v>23</v>
      </c>
      <c r="E128" t="s">
        <v>12</v>
      </c>
      <c r="F128">
        <v>1</v>
      </c>
      <c r="G128">
        <v>13.51</v>
      </c>
      <c r="H128">
        <v>13.51</v>
      </c>
      <c r="I128" t="str">
        <f t="shared" si="7"/>
        <v>Low</v>
      </c>
      <c r="J128">
        <v>2.84</v>
      </c>
      <c r="K128">
        <f t="shared" si="12"/>
        <v>10.67</v>
      </c>
      <c r="L128" t="str">
        <f t="shared" si="13"/>
        <v>September</v>
      </c>
      <c r="M128">
        <f>YEAR(C128)</f>
        <v>2024</v>
      </c>
      <c r="N128">
        <v>153</v>
      </c>
      <c r="O128" t="str">
        <f>IF(N128&gt;=200,"Platinum",IF(N128&gt;=100,"Gold",IF(N128&gt;=50,"Silver","Regular")))</f>
        <v>Gold</v>
      </c>
      <c r="P128" s="4" t="str">
        <f t="shared" si="8"/>
        <v>Tuesday</v>
      </c>
      <c r="Q128" s="4" t="str">
        <f t="shared" si="9"/>
        <v>Small Order</v>
      </c>
      <c r="R128" s="4" t="str">
        <f t="shared" si="10"/>
        <v>Weekday</v>
      </c>
      <c r="S128" s="4" t="str">
        <f t="shared" si="11"/>
        <v>Regular</v>
      </c>
    </row>
    <row r="129" spans="1:19" x14ac:dyDescent="0.3">
      <c r="A129">
        <v>5500</v>
      </c>
      <c r="B129" t="s">
        <v>25</v>
      </c>
      <c r="C129" s="1">
        <v>45604</v>
      </c>
      <c r="D129" t="s">
        <v>24</v>
      </c>
      <c r="E129" t="s">
        <v>29</v>
      </c>
      <c r="F129">
        <v>2</v>
      </c>
      <c r="G129">
        <v>11.23</v>
      </c>
      <c r="H129">
        <v>22.46</v>
      </c>
      <c r="I129" t="str">
        <f t="shared" si="7"/>
        <v>Low</v>
      </c>
      <c r="J129">
        <v>4.7</v>
      </c>
      <c r="K129">
        <f t="shared" si="12"/>
        <v>17.760000000000002</v>
      </c>
      <c r="L129" t="str">
        <f t="shared" si="13"/>
        <v>November</v>
      </c>
      <c r="M129">
        <f>YEAR(C129)</f>
        <v>2024</v>
      </c>
      <c r="N129">
        <v>233</v>
      </c>
      <c r="O129" t="str">
        <f>IF(N129&gt;=200,"Platinum",IF(N129&gt;=100,"Gold",IF(N129&gt;=50,"Silver","Regular")))</f>
        <v>Platinum</v>
      </c>
      <c r="P129" s="4" t="str">
        <f t="shared" si="8"/>
        <v>Friday</v>
      </c>
      <c r="Q129" s="4" t="str">
        <f t="shared" si="9"/>
        <v>Small Order</v>
      </c>
      <c r="R129" s="4" t="str">
        <f t="shared" si="10"/>
        <v>Weekday</v>
      </c>
      <c r="S129" s="4" t="str">
        <f t="shared" si="11"/>
        <v>Regular</v>
      </c>
    </row>
    <row r="130" spans="1:19" x14ac:dyDescent="0.3">
      <c r="A130">
        <v>9037</v>
      </c>
      <c r="B130" t="s">
        <v>20</v>
      </c>
      <c r="C130" s="1">
        <v>45502</v>
      </c>
      <c r="D130" t="s">
        <v>24</v>
      </c>
      <c r="E130" t="s">
        <v>22</v>
      </c>
      <c r="F130">
        <v>1</v>
      </c>
      <c r="G130">
        <v>17.350000000000001</v>
      </c>
      <c r="H130">
        <v>17.350000000000001</v>
      </c>
      <c r="I130" t="str">
        <f t="shared" ref="I130:I193" si="14">IF(J130=0,"No Discount",IF(J130&lt;=5,"Low",IF(J130&lt;=10,"Medium",IF(J130&lt;=20,"High","Very High"))))</f>
        <v>Low</v>
      </c>
      <c r="J130">
        <v>3.58</v>
      </c>
      <c r="K130">
        <f t="shared" si="12"/>
        <v>13.770000000000001</v>
      </c>
      <c r="L130" t="str">
        <f t="shared" si="13"/>
        <v>July</v>
      </c>
      <c r="M130">
        <f>YEAR(C130)</f>
        <v>2024</v>
      </c>
      <c r="N130">
        <v>5</v>
      </c>
      <c r="O130" t="str">
        <f>IF(N130&gt;=200,"Platinum",IF(N130&gt;=100,"Gold",IF(N130&gt;=50,"Silver","Regular")))</f>
        <v>Regular</v>
      </c>
      <c r="P130" s="4" t="str">
        <f t="shared" ref="P130:P193" si="15">TEXT(C130,"dddd")</f>
        <v>Monday</v>
      </c>
      <c r="Q130" s="4" t="str">
        <f t="shared" ref="Q130:Q193" si="16">IF(F130&lt;=2,"Small Order",IF(F130&lt;=5,"Medium Order",IF(F130&lt;=10,"Large Order","Bulk Order")))</f>
        <v>Small Order</v>
      </c>
      <c r="R130" s="4" t="str">
        <f t="shared" ref="R130:R193" si="17">IF(WEEKDAY(C130,2)&gt;5,"Weekend","Weekday")</f>
        <v>Weekday</v>
      </c>
      <c r="S130" s="4" t="str">
        <f t="shared" ref="S130:S193" si="18">IF(K130&gt;=100,"High Value","Regular")</f>
        <v>Regular</v>
      </c>
    </row>
    <row r="131" spans="1:19" x14ac:dyDescent="0.3">
      <c r="A131">
        <v>5088</v>
      </c>
      <c r="B131" t="s">
        <v>19</v>
      </c>
      <c r="C131" s="1">
        <v>45663</v>
      </c>
      <c r="D131" t="s">
        <v>16</v>
      </c>
      <c r="E131" t="s">
        <v>29</v>
      </c>
      <c r="F131">
        <v>1</v>
      </c>
      <c r="G131">
        <v>20.45</v>
      </c>
      <c r="H131">
        <v>20.45</v>
      </c>
      <c r="I131" t="str">
        <f t="shared" si="14"/>
        <v>Low</v>
      </c>
      <c r="J131">
        <v>4.2</v>
      </c>
      <c r="K131">
        <f t="shared" ref="K131:K194" si="19">MAX(0,H131-J131)</f>
        <v>16.25</v>
      </c>
      <c r="L131" t="str">
        <f t="shared" ref="L131:L194" si="20">TEXT(C131,"mmmm")</f>
        <v>January</v>
      </c>
      <c r="M131">
        <f>YEAR(C131)</f>
        <v>2025</v>
      </c>
      <c r="N131">
        <v>207</v>
      </c>
      <c r="O131" t="str">
        <f>IF(N131&gt;=200,"Platinum",IF(N131&gt;=100,"Gold",IF(N131&gt;=50,"Silver","Regular")))</f>
        <v>Platinum</v>
      </c>
      <c r="P131" s="4" t="str">
        <f t="shared" si="15"/>
        <v>Monday</v>
      </c>
      <c r="Q131" s="4" t="str">
        <f t="shared" si="16"/>
        <v>Small Order</v>
      </c>
      <c r="R131" s="4" t="str">
        <f t="shared" si="17"/>
        <v>Weekday</v>
      </c>
      <c r="S131" s="4" t="str">
        <f t="shared" si="18"/>
        <v>Regular</v>
      </c>
    </row>
    <row r="132" spans="1:19" x14ac:dyDescent="0.3">
      <c r="A132">
        <v>1960</v>
      </c>
      <c r="B132" t="s">
        <v>31</v>
      </c>
      <c r="C132" s="1">
        <v>45272</v>
      </c>
      <c r="D132" t="s">
        <v>4</v>
      </c>
      <c r="E132" t="s">
        <v>22</v>
      </c>
      <c r="F132">
        <v>1</v>
      </c>
      <c r="G132">
        <v>20.21</v>
      </c>
      <c r="H132">
        <v>20.21</v>
      </c>
      <c r="I132" t="str">
        <f t="shared" si="14"/>
        <v>Low</v>
      </c>
      <c r="J132">
        <v>4.1500000000000004</v>
      </c>
      <c r="K132">
        <f t="shared" si="19"/>
        <v>16.060000000000002</v>
      </c>
      <c r="L132" t="str">
        <f t="shared" si="20"/>
        <v>December</v>
      </c>
      <c r="M132">
        <f>YEAR(C132)</f>
        <v>2023</v>
      </c>
      <c r="N132">
        <v>328</v>
      </c>
      <c r="O132" t="str">
        <f>IF(N132&gt;=200,"Platinum",IF(N132&gt;=100,"Gold",IF(N132&gt;=50,"Silver","Regular")))</f>
        <v>Platinum</v>
      </c>
      <c r="P132" s="4" t="str">
        <f t="shared" si="15"/>
        <v>Tuesday</v>
      </c>
      <c r="Q132" s="4" t="str">
        <f t="shared" si="16"/>
        <v>Small Order</v>
      </c>
      <c r="R132" s="4" t="str">
        <f t="shared" si="17"/>
        <v>Weekday</v>
      </c>
      <c r="S132" s="4" t="str">
        <f t="shared" si="18"/>
        <v>Regular</v>
      </c>
    </row>
    <row r="133" spans="1:19" x14ac:dyDescent="0.3">
      <c r="A133">
        <v>1138</v>
      </c>
      <c r="B133" t="s">
        <v>20</v>
      </c>
      <c r="C133" s="1">
        <v>45619</v>
      </c>
      <c r="D133" t="s">
        <v>27</v>
      </c>
      <c r="E133" t="s">
        <v>29</v>
      </c>
      <c r="F133">
        <v>3</v>
      </c>
      <c r="G133">
        <v>3.76</v>
      </c>
      <c r="H133">
        <v>11.28</v>
      </c>
      <c r="I133" t="str">
        <f t="shared" si="14"/>
        <v>Low</v>
      </c>
      <c r="J133">
        <v>2.31</v>
      </c>
      <c r="K133">
        <f t="shared" si="19"/>
        <v>8.9699999999999989</v>
      </c>
      <c r="L133" t="str">
        <f t="shared" si="20"/>
        <v>November</v>
      </c>
      <c r="M133">
        <f>YEAR(C133)</f>
        <v>2024</v>
      </c>
      <c r="N133">
        <v>0</v>
      </c>
      <c r="O133" t="str">
        <f>IF(N133&gt;=200,"Platinum",IF(N133&gt;=100,"Gold",IF(N133&gt;=50,"Silver","Regular")))</f>
        <v>Regular</v>
      </c>
      <c r="P133" s="4" t="str">
        <f t="shared" si="15"/>
        <v>Saturday</v>
      </c>
      <c r="Q133" s="4" t="str">
        <f t="shared" si="16"/>
        <v>Medium Order</v>
      </c>
      <c r="R133" s="4" t="str">
        <f t="shared" si="17"/>
        <v>Weekend</v>
      </c>
      <c r="S133" s="4" t="str">
        <f t="shared" si="18"/>
        <v>Regular</v>
      </c>
    </row>
    <row r="134" spans="1:19" x14ac:dyDescent="0.3">
      <c r="A134">
        <v>2923</v>
      </c>
      <c r="B134" t="s">
        <v>19</v>
      </c>
      <c r="C134" s="1">
        <v>45747</v>
      </c>
      <c r="D134" t="s">
        <v>1</v>
      </c>
      <c r="E134" t="s">
        <v>21</v>
      </c>
      <c r="F134">
        <v>1</v>
      </c>
      <c r="G134">
        <v>1.24</v>
      </c>
      <c r="H134">
        <v>1.24</v>
      </c>
      <c r="I134" t="str">
        <f t="shared" si="14"/>
        <v>Low</v>
      </c>
      <c r="J134">
        <v>0.25</v>
      </c>
      <c r="K134">
        <f t="shared" si="19"/>
        <v>0.99</v>
      </c>
      <c r="L134" t="str">
        <f t="shared" si="20"/>
        <v>March</v>
      </c>
      <c r="M134">
        <f>YEAR(C134)</f>
        <v>2025</v>
      </c>
      <c r="N134">
        <v>165</v>
      </c>
      <c r="O134" t="str">
        <f>IF(N134&gt;=200,"Platinum",IF(N134&gt;=100,"Gold",IF(N134&gt;=50,"Silver","Regular")))</f>
        <v>Gold</v>
      </c>
      <c r="P134" s="4" t="str">
        <f t="shared" si="15"/>
        <v>Monday</v>
      </c>
      <c r="Q134" s="4" t="str">
        <f t="shared" si="16"/>
        <v>Small Order</v>
      </c>
      <c r="R134" s="4" t="str">
        <f t="shared" si="17"/>
        <v>Weekday</v>
      </c>
      <c r="S134" s="4" t="str">
        <f t="shared" si="18"/>
        <v>Regular</v>
      </c>
    </row>
    <row r="135" spans="1:19" x14ac:dyDescent="0.3">
      <c r="A135">
        <v>1727</v>
      </c>
      <c r="B135" t="s">
        <v>31</v>
      </c>
      <c r="C135" s="1">
        <v>45695</v>
      </c>
      <c r="D135" t="s">
        <v>1</v>
      </c>
      <c r="E135" t="s">
        <v>37</v>
      </c>
      <c r="F135">
        <v>2</v>
      </c>
      <c r="G135">
        <v>1.54</v>
      </c>
      <c r="H135">
        <v>3.08</v>
      </c>
      <c r="I135" t="str">
        <f t="shared" si="14"/>
        <v>Low</v>
      </c>
      <c r="J135">
        <v>0.62</v>
      </c>
      <c r="K135">
        <f t="shared" si="19"/>
        <v>2.46</v>
      </c>
      <c r="L135" t="str">
        <f t="shared" si="20"/>
        <v>February</v>
      </c>
      <c r="M135">
        <f>YEAR(C135)</f>
        <v>2025</v>
      </c>
      <c r="N135">
        <v>160</v>
      </c>
      <c r="O135" t="str">
        <f>IF(N135&gt;=200,"Platinum",IF(N135&gt;=100,"Gold",IF(N135&gt;=50,"Silver","Regular")))</f>
        <v>Gold</v>
      </c>
      <c r="P135" s="4" t="str">
        <f t="shared" si="15"/>
        <v>Friday</v>
      </c>
      <c r="Q135" s="4" t="str">
        <f t="shared" si="16"/>
        <v>Small Order</v>
      </c>
      <c r="R135" s="4" t="str">
        <f t="shared" si="17"/>
        <v>Weekday</v>
      </c>
      <c r="S135" s="4" t="str">
        <f t="shared" si="18"/>
        <v>Regular</v>
      </c>
    </row>
    <row r="136" spans="1:19" x14ac:dyDescent="0.3">
      <c r="A136">
        <v>6301</v>
      </c>
      <c r="B136" t="s">
        <v>13</v>
      </c>
      <c r="C136" s="1">
        <v>45871</v>
      </c>
      <c r="D136" t="s">
        <v>23</v>
      </c>
      <c r="E136" t="s">
        <v>28</v>
      </c>
      <c r="F136">
        <v>2</v>
      </c>
      <c r="G136">
        <v>1.69</v>
      </c>
      <c r="H136">
        <v>3.38</v>
      </c>
      <c r="I136" t="str">
        <f t="shared" si="14"/>
        <v>Low</v>
      </c>
      <c r="J136">
        <v>0.68</v>
      </c>
      <c r="K136">
        <f t="shared" si="19"/>
        <v>2.6999999999999997</v>
      </c>
      <c r="L136" t="str">
        <f t="shared" si="20"/>
        <v>August</v>
      </c>
      <c r="M136">
        <f>YEAR(C136)</f>
        <v>2025</v>
      </c>
      <c r="N136">
        <v>218</v>
      </c>
      <c r="O136" t="str">
        <f>IF(N136&gt;=200,"Platinum",IF(N136&gt;=100,"Gold",IF(N136&gt;=50,"Silver","Regular")))</f>
        <v>Platinum</v>
      </c>
      <c r="P136" s="4" t="str">
        <f t="shared" si="15"/>
        <v>Saturday</v>
      </c>
      <c r="Q136" s="4" t="str">
        <f t="shared" si="16"/>
        <v>Small Order</v>
      </c>
      <c r="R136" s="4" t="str">
        <f t="shared" si="17"/>
        <v>Weekend</v>
      </c>
      <c r="S136" s="4" t="str">
        <f t="shared" si="18"/>
        <v>Regular</v>
      </c>
    </row>
    <row r="137" spans="1:19" x14ac:dyDescent="0.3">
      <c r="A137">
        <v>1659</v>
      </c>
      <c r="B137" t="s">
        <v>15</v>
      </c>
      <c r="C137" s="1">
        <v>45737</v>
      </c>
      <c r="D137" t="s">
        <v>9</v>
      </c>
      <c r="E137" t="s">
        <v>18</v>
      </c>
      <c r="F137">
        <v>1</v>
      </c>
      <c r="G137">
        <v>4.83</v>
      </c>
      <c r="H137">
        <v>4.83</v>
      </c>
      <c r="I137" t="str">
        <f t="shared" si="14"/>
        <v>Low</v>
      </c>
      <c r="J137">
        <v>0.97</v>
      </c>
      <c r="K137">
        <f t="shared" si="19"/>
        <v>3.8600000000000003</v>
      </c>
      <c r="L137" t="str">
        <f t="shared" si="20"/>
        <v>March</v>
      </c>
      <c r="M137">
        <f>YEAR(C137)</f>
        <v>2025</v>
      </c>
      <c r="N137">
        <v>371</v>
      </c>
      <c r="O137" t="str">
        <f>IF(N137&gt;=200,"Platinum",IF(N137&gt;=100,"Gold",IF(N137&gt;=50,"Silver","Regular")))</f>
        <v>Platinum</v>
      </c>
      <c r="P137" s="4" t="str">
        <f t="shared" si="15"/>
        <v>Friday</v>
      </c>
      <c r="Q137" s="4" t="str">
        <f t="shared" si="16"/>
        <v>Small Order</v>
      </c>
      <c r="R137" s="4" t="str">
        <f t="shared" si="17"/>
        <v>Weekday</v>
      </c>
      <c r="S137" s="4" t="str">
        <f t="shared" si="18"/>
        <v>Regular</v>
      </c>
    </row>
    <row r="138" spans="1:19" x14ac:dyDescent="0.3">
      <c r="A138">
        <v>3900</v>
      </c>
      <c r="B138" t="s">
        <v>19</v>
      </c>
      <c r="C138" s="1">
        <v>45829</v>
      </c>
      <c r="D138" t="s">
        <v>34</v>
      </c>
      <c r="E138" t="s">
        <v>33</v>
      </c>
      <c r="F138">
        <v>1</v>
      </c>
      <c r="G138">
        <v>4.93</v>
      </c>
      <c r="H138">
        <v>4.93</v>
      </c>
      <c r="I138" t="str">
        <f t="shared" si="14"/>
        <v>Low</v>
      </c>
      <c r="J138">
        <v>0.99</v>
      </c>
      <c r="K138">
        <f t="shared" si="19"/>
        <v>3.9399999999999995</v>
      </c>
      <c r="L138" t="str">
        <f t="shared" si="20"/>
        <v>June</v>
      </c>
      <c r="M138">
        <f>YEAR(C138)</f>
        <v>2025</v>
      </c>
      <c r="N138">
        <v>37</v>
      </c>
      <c r="O138" t="str">
        <f>IF(N138&gt;=200,"Platinum",IF(N138&gt;=100,"Gold",IF(N138&gt;=50,"Silver","Regular")))</f>
        <v>Regular</v>
      </c>
      <c r="P138" s="4" t="str">
        <f t="shared" si="15"/>
        <v>Saturday</v>
      </c>
      <c r="Q138" s="4" t="str">
        <f t="shared" si="16"/>
        <v>Small Order</v>
      </c>
      <c r="R138" s="4" t="str">
        <f t="shared" si="17"/>
        <v>Weekend</v>
      </c>
      <c r="S138" s="4" t="str">
        <f t="shared" si="18"/>
        <v>Regular</v>
      </c>
    </row>
    <row r="139" spans="1:19" x14ac:dyDescent="0.3">
      <c r="A139">
        <v>1539</v>
      </c>
      <c r="B139" t="s">
        <v>13</v>
      </c>
      <c r="C139" s="1">
        <v>45284</v>
      </c>
      <c r="D139" t="s">
        <v>17</v>
      </c>
      <c r="E139" t="s">
        <v>29</v>
      </c>
      <c r="F139">
        <v>2</v>
      </c>
      <c r="G139">
        <v>12.04</v>
      </c>
      <c r="H139">
        <v>24.08</v>
      </c>
      <c r="I139" t="str">
        <f t="shared" si="14"/>
        <v>Low</v>
      </c>
      <c r="J139">
        <v>4.83</v>
      </c>
      <c r="K139">
        <f t="shared" si="19"/>
        <v>19.25</v>
      </c>
      <c r="L139" t="str">
        <f t="shared" si="20"/>
        <v>December</v>
      </c>
      <c r="M139">
        <f>YEAR(C139)</f>
        <v>2023</v>
      </c>
      <c r="N139">
        <v>332</v>
      </c>
      <c r="O139" t="str">
        <f>IF(N139&gt;=200,"Platinum",IF(N139&gt;=100,"Gold",IF(N139&gt;=50,"Silver","Regular")))</f>
        <v>Platinum</v>
      </c>
      <c r="P139" s="4" t="str">
        <f t="shared" si="15"/>
        <v>Sunday</v>
      </c>
      <c r="Q139" s="4" t="str">
        <f t="shared" si="16"/>
        <v>Small Order</v>
      </c>
      <c r="R139" s="4" t="str">
        <f t="shared" si="17"/>
        <v>Weekend</v>
      </c>
      <c r="S139" s="4" t="str">
        <f t="shared" si="18"/>
        <v>Regular</v>
      </c>
    </row>
    <row r="140" spans="1:19" x14ac:dyDescent="0.3">
      <c r="A140">
        <v>1726</v>
      </c>
      <c r="B140" t="s">
        <v>31</v>
      </c>
      <c r="C140" s="1">
        <v>45418</v>
      </c>
      <c r="D140" t="s">
        <v>9</v>
      </c>
      <c r="E140" t="s">
        <v>7</v>
      </c>
      <c r="F140">
        <v>2</v>
      </c>
      <c r="G140">
        <v>3.49</v>
      </c>
      <c r="H140">
        <v>6.98</v>
      </c>
      <c r="I140" t="str">
        <f t="shared" si="14"/>
        <v>Low</v>
      </c>
      <c r="J140">
        <v>1.4</v>
      </c>
      <c r="K140">
        <f t="shared" si="19"/>
        <v>5.58</v>
      </c>
      <c r="L140" t="str">
        <f t="shared" si="20"/>
        <v>May</v>
      </c>
      <c r="M140">
        <f>YEAR(C140)</f>
        <v>2024</v>
      </c>
      <c r="N140">
        <v>394</v>
      </c>
      <c r="O140" t="str">
        <f>IF(N140&gt;=200,"Platinum",IF(N140&gt;=100,"Gold",IF(N140&gt;=50,"Silver","Regular")))</f>
        <v>Platinum</v>
      </c>
      <c r="P140" s="4" t="str">
        <f t="shared" si="15"/>
        <v>Monday</v>
      </c>
      <c r="Q140" s="4" t="str">
        <f t="shared" si="16"/>
        <v>Small Order</v>
      </c>
      <c r="R140" s="4" t="str">
        <f t="shared" si="17"/>
        <v>Weekday</v>
      </c>
      <c r="S140" s="4" t="str">
        <f t="shared" si="18"/>
        <v>Regular</v>
      </c>
    </row>
    <row r="141" spans="1:19" x14ac:dyDescent="0.3">
      <c r="A141">
        <v>6432</v>
      </c>
      <c r="B141" t="s">
        <v>15</v>
      </c>
      <c r="C141" s="1">
        <v>45763</v>
      </c>
      <c r="D141" t="s">
        <v>9</v>
      </c>
      <c r="E141" t="s">
        <v>18</v>
      </c>
      <c r="F141">
        <v>4</v>
      </c>
      <c r="G141">
        <v>1.01</v>
      </c>
      <c r="H141">
        <v>4.04</v>
      </c>
      <c r="I141" t="str">
        <f t="shared" si="14"/>
        <v>Low</v>
      </c>
      <c r="J141">
        <v>0.81</v>
      </c>
      <c r="K141">
        <f t="shared" si="19"/>
        <v>3.23</v>
      </c>
      <c r="L141" t="str">
        <f t="shared" si="20"/>
        <v>April</v>
      </c>
      <c r="M141">
        <f>YEAR(C141)</f>
        <v>2025</v>
      </c>
      <c r="N141">
        <v>75</v>
      </c>
      <c r="O141" t="str">
        <f>IF(N141&gt;=200,"Platinum",IF(N141&gt;=100,"Gold",IF(N141&gt;=50,"Silver","Regular")))</f>
        <v>Silver</v>
      </c>
      <c r="P141" s="4" t="str">
        <f t="shared" si="15"/>
        <v>Wednesday</v>
      </c>
      <c r="Q141" s="4" t="str">
        <f t="shared" si="16"/>
        <v>Medium Order</v>
      </c>
      <c r="R141" s="4" t="str">
        <f t="shared" si="17"/>
        <v>Weekday</v>
      </c>
      <c r="S141" s="4" t="str">
        <f t="shared" si="18"/>
        <v>Regular</v>
      </c>
    </row>
    <row r="142" spans="1:19" x14ac:dyDescent="0.3">
      <c r="A142">
        <v>3662</v>
      </c>
      <c r="B142" t="s">
        <v>3</v>
      </c>
      <c r="C142" s="1">
        <v>45766</v>
      </c>
      <c r="D142" t="s">
        <v>9</v>
      </c>
      <c r="E142" t="s">
        <v>7</v>
      </c>
      <c r="F142">
        <v>1</v>
      </c>
      <c r="G142">
        <v>8.58</v>
      </c>
      <c r="H142">
        <v>8.58</v>
      </c>
      <c r="I142" t="str">
        <f t="shared" si="14"/>
        <v>Low</v>
      </c>
      <c r="J142">
        <v>1.72</v>
      </c>
      <c r="K142">
        <f t="shared" si="19"/>
        <v>6.86</v>
      </c>
      <c r="L142" t="str">
        <f t="shared" si="20"/>
        <v>April</v>
      </c>
      <c r="M142">
        <f>YEAR(C142)</f>
        <v>2025</v>
      </c>
      <c r="N142">
        <v>133</v>
      </c>
      <c r="O142" t="str">
        <f>IF(N142&gt;=200,"Platinum",IF(N142&gt;=100,"Gold",IF(N142&gt;=50,"Silver","Regular")))</f>
        <v>Gold</v>
      </c>
      <c r="P142" s="4" t="str">
        <f t="shared" si="15"/>
        <v>Saturday</v>
      </c>
      <c r="Q142" s="4" t="str">
        <f t="shared" si="16"/>
        <v>Small Order</v>
      </c>
      <c r="R142" s="4" t="str">
        <f t="shared" si="17"/>
        <v>Weekend</v>
      </c>
      <c r="S142" s="4" t="str">
        <f t="shared" si="18"/>
        <v>Regular</v>
      </c>
    </row>
    <row r="143" spans="1:19" x14ac:dyDescent="0.3">
      <c r="A143">
        <v>5719</v>
      </c>
      <c r="B143" t="s">
        <v>8</v>
      </c>
      <c r="C143" s="1">
        <v>45485</v>
      </c>
      <c r="D143" t="s">
        <v>27</v>
      </c>
      <c r="E143" t="s">
        <v>37</v>
      </c>
      <c r="F143">
        <v>4</v>
      </c>
      <c r="G143">
        <v>2.17</v>
      </c>
      <c r="H143">
        <v>8.68</v>
      </c>
      <c r="I143" t="str">
        <f t="shared" si="14"/>
        <v>Low</v>
      </c>
      <c r="J143">
        <v>1.74</v>
      </c>
      <c r="K143">
        <f t="shared" si="19"/>
        <v>6.9399999999999995</v>
      </c>
      <c r="L143" t="str">
        <f t="shared" si="20"/>
        <v>July</v>
      </c>
      <c r="M143">
        <f>YEAR(C143)</f>
        <v>2024</v>
      </c>
      <c r="N143">
        <v>142</v>
      </c>
      <c r="O143" t="str">
        <f>IF(N143&gt;=200,"Platinum",IF(N143&gt;=100,"Gold",IF(N143&gt;=50,"Silver","Regular")))</f>
        <v>Gold</v>
      </c>
      <c r="P143" s="4" t="str">
        <f t="shared" si="15"/>
        <v>Friday</v>
      </c>
      <c r="Q143" s="4" t="str">
        <f t="shared" si="16"/>
        <v>Medium Order</v>
      </c>
      <c r="R143" s="4" t="str">
        <f t="shared" si="17"/>
        <v>Weekday</v>
      </c>
      <c r="S143" s="4" t="str">
        <f t="shared" si="18"/>
        <v>Regular</v>
      </c>
    </row>
    <row r="144" spans="1:19" x14ac:dyDescent="0.3">
      <c r="A144">
        <v>4257</v>
      </c>
      <c r="B144" t="s">
        <v>20</v>
      </c>
      <c r="C144" s="1">
        <v>45701</v>
      </c>
      <c r="D144" t="s">
        <v>11</v>
      </c>
      <c r="E144" t="s">
        <v>21</v>
      </c>
      <c r="F144">
        <v>3</v>
      </c>
      <c r="G144">
        <v>2.91</v>
      </c>
      <c r="H144">
        <v>8.73</v>
      </c>
      <c r="I144" t="str">
        <f t="shared" si="14"/>
        <v>Low</v>
      </c>
      <c r="J144">
        <v>1.75</v>
      </c>
      <c r="K144">
        <f t="shared" si="19"/>
        <v>6.98</v>
      </c>
      <c r="L144" t="str">
        <f t="shared" si="20"/>
        <v>February</v>
      </c>
      <c r="M144">
        <f>YEAR(C144)</f>
        <v>2025</v>
      </c>
      <c r="N144">
        <v>467</v>
      </c>
      <c r="O144" t="str">
        <f>IF(N144&gt;=200,"Platinum",IF(N144&gt;=100,"Gold",IF(N144&gt;=50,"Silver","Regular")))</f>
        <v>Platinum</v>
      </c>
      <c r="P144" s="4" t="str">
        <f t="shared" si="15"/>
        <v>Thursday</v>
      </c>
      <c r="Q144" s="4" t="str">
        <f t="shared" si="16"/>
        <v>Medium Order</v>
      </c>
      <c r="R144" s="4" t="str">
        <f t="shared" si="17"/>
        <v>Weekday</v>
      </c>
      <c r="S144" s="4" t="str">
        <f t="shared" si="18"/>
        <v>Regular</v>
      </c>
    </row>
    <row r="145" spans="1:19" x14ac:dyDescent="0.3">
      <c r="A145">
        <v>1530</v>
      </c>
      <c r="B145" t="s">
        <v>25</v>
      </c>
      <c r="C145" s="1">
        <v>45614</v>
      </c>
      <c r="D145" t="s">
        <v>23</v>
      </c>
      <c r="E145" t="s">
        <v>28</v>
      </c>
      <c r="F145">
        <v>1</v>
      </c>
      <c r="G145">
        <v>9.6300000000000008</v>
      </c>
      <c r="H145">
        <v>9.6300000000000008</v>
      </c>
      <c r="I145" t="str">
        <f t="shared" si="14"/>
        <v>Low</v>
      </c>
      <c r="J145">
        <v>1.93</v>
      </c>
      <c r="K145">
        <f t="shared" si="19"/>
        <v>7.7000000000000011</v>
      </c>
      <c r="L145" t="str">
        <f t="shared" si="20"/>
        <v>November</v>
      </c>
      <c r="M145">
        <f>YEAR(C145)</f>
        <v>2024</v>
      </c>
      <c r="N145">
        <v>50</v>
      </c>
      <c r="O145" t="str">
        <f>IF(N145&gt;=200,"Platinum",IF(N145&gt;=100,"Gold",IF(N145&gt;=50,"Silver","Regular")))</f>
        <v>Silver</v>
      </c>
      <c r="P145" s="4" t="str">
        <f t="shared" si="15"/>
        <v>Monday</v>
      </c>
      <c r="Q145" s="4" t="str">
        <f t="shared" si="16"/>
        <v>Small Order</v>
      </c>
      <c r="R145" s="4" t="str">
        <f t="shared" si="17"/>
        <v>Weekday</v>
      </c>
      <c r="S145" s="4" t="str">
        <f t="shared" si="18"/>
        <v>Regular</v>
      </c>
    </row>
    <row r="146" spans="1:19" x14ac:dyDescent="0.3">
      <c r="A146">
        <v>3236</v>
      </c>
      <c r="B146" t="s">
        <v>13</v>
      </c>
      <c r="C146" s="1">
        <v>45816</v>
      </c>
      <c r="D146" t="s">
        <v>27</v>
      </c>
      <c r="E146" t="s">
        <v>7</v>
      </c>
      <c r="F146">
        <v>1</v>
      </c>
      <c r="G146">
        <v>9.83</v>
      </c>
      <c r="H146">
        <v>9.83</v>
      </c>
      <c r="I146" t="str">
        <f t="shared" si="14"/>
        <v>Low</v>
      </c>
      <c r="J146">
        <v>1.97</v>
      </c>
      <c r="K146">
        <f t="shared" si="19"/>
        <v>7.86</v>
      </c>
      <c r="L146" t="str">
        <f t="shared" si="20"/>
        <v>June</v>
      </c>
      <c r="M146">
        <f>YEAR(C146)</f>
        <v>2025</v>
      </c>
      <c r="N146">
        <v>383</v>
      </c>
      <c r="O146" t="str">
        <f>IF(N146&gt;=200,"Platinum",IF(N146&gt;=100,"Gold",IF(N146&gt;=50,"Silver","Regular")))</f>
        <v>Platinum</v>
      </c>
      <c r="P146" s="4" t="str">
        <f t="shared" si="15"/>
        <v>Sunday</v>
      </c>
      <c r="Q146" s="4" t="str">
        <f t="shared" si="16"/>
        <v>Small Order</v>
      </c>
      <c r="R146" s="4" t="str">
        <f t="shared" si="17"/>
        <v>Weekend</v>
      </c>
      <c r="S146" s="4" t="str">
        <f t="shared" si="18"/>
        <v>Regular</v>
      </c>
    </row>
    <row r="147" spans="1:19" x14ac:dyDescent="0.3">
      <c r="A147">
        <v>5930</v>
      </c>
      <c r="B147" t="s">
        <v>13</v>
      </c>
      <c r="C147" s="1">
        <v>45460</v>
      </c>
      <c r="D147" t="s">
        <v>9</v>
      </c>
      <c r="E147" t="s">
        <v>35</v>
      </c>
      <c r="F147">
        <v>3</v>
      </c>
      <c r="G147">
        <v>3.51</v>
      </c>
      <c r="H147">
        <v>10.53</v>
      </c>
      <c r="I147" t="str">
        <f t="shared" si="14"/>
        <v>Low</v>
      </c>
      <c r="J147">
        <v>2.11</v>
      </c>
      <c r="K147">
        <f t="shared" si="19"/>
        <v>8.42</v>
      </c>
      <c r="L147" t="str">
        <f t="shared" si="20"/>
        <v>June</v>
      </c>
      <c r="M147">
        <f>YEAR(C147)</f>
        <v>2024</v>
      </c>
      <c r="N147">
        <v>342</v>
      </c>
      <c r="O147" t="str">
        <f>IF(N147&gt;=200,"Platinum",IF(N147&gt;=100,"Gold",IF(N147&gt;=50,"Silver","Regular")))</f>
        <v>Platinum</v>
      </c>
      <c r="P147" s="4" t="str">
        <f t="shared" si="15"/>
        <v>Monday</v>
      </c>
      <c r="Q147" s="4" t="str">
        <f t="shared" si="16"/>
        <v>Medium Order</v>
      </c>
      <c r="R147" s="4" t="str">
        <f t="shared" si="17"/>
        <v>Weekday</v>
      </c>
      <c r="S147" s="4" t="str">
        <f t="shared" si="18"/>
        <v>Regular</v>
      </c>
    </row>
    <row r="148" spans="1:19" x14ac:dyDescent="0.3">
      <c r="A148">
        <v>8489</v>
      </c>
      <c r="B148" t="s">
        <v>15</v>
      </c>
      <c r="C148" s="1">
        <v>45193</v>
      </c>
      <c r="D148" t="s">
        <v>4</v>
      </c>
      <c r="E148" t="s">
        <v>30</v>
      </c>
      <c r="F148">
        <v>1</v>
      </c>
      <c r="G148">
        <v>11.13</v>
      </c>
      <c r="H148">
        <v>11.13</v>
      </c>
      <c r="I148" t="str">
        <f t="shared" si="14"/>
        <v>Low</v>
      </c>
      <c r="J148">
        <v>2.23</v>
      </c>
      <c r="K148">
        <f t="shared" si="19"/>
        <v>8.9</v>
      </c>
      <c r="L148" t="str">
        <f t="shared" si="20"/>
        <v>September</v>
      </c>
      <c r="M148">
        <f>YEAR(C148)</f>
        <v>2023</v>
      </c>
      <c r="N148">
        <v>104</v>
      </c>
      <c r="O148" t="str">
        <f>IF(N148&gt;=200,"Platinum",IF(N148&gt;=100,"Gold",IF(N148&gt;=50,"Silver","Regular")))</f>
        <v>Gold</v>
      </c>
      <c r="P148" s="4" t="str">
        <f t="shared" si="15"/>
        <v>Sunday</v>
      </c>
      <c r="Q148" s="4" t="str">
        <f t="shared" si="16"/>
        <v>Small Order</v>
      </c>
      <c r="R148" s="4" t="str">
        <f t="shared" si="17"/>
        <v>Weekend</v>
      </c>
      <c r="S148" s="4" t="str">
        <f t="shared" si="18"/>
        <v>Regular</v>
      </c>
    </row>
    <row r="149" spans="1:19" x14ac:dyDescent="0.3">
      <c r="A149">
        <v>8933</v>
      </c>
      <c r="B149" t="s">
        <v>0</v>
      </c>
      <c r="C149" s="1">
        <v>45752</v>
      </c>
      <c r="D149" t="s">
        <v>9</v>
      </c>
      <c r="E149" t="s">
        <v>30</v>
      </c>
      <c r="F149">
        <v>1</v>
      </c>
      <c r="G149">
        <v>5.69</v>
      </c>
      <c r="H149">
        <v>5.69</v>
      </c>
      <c r="I149" t="str">
        <f t="shared" si="14"/>
        <v>Low</v>
      </c>
      <c r="J149">
        <v>1.1399999999999999</v>
      </c>
      <c r="K149">
        <f t="shared" si="19"/>
        <v>4.5500000000000007</v>
      </c>
      <c r="L149" t="str">
        <f t="shared" si="20"/>
        <v>April</v>
      </c>
      <c r="M149">
        <f>YEAR(C149)</f>
        <v>2025</v>
      </c>
      <c r="N149">
        <v>383</v>
      </c>
      <c r="O149" t="str">
        <f>IF(N149&gt;=200,"Platinum",IF(N149&gt;=100,"Gold",IF(N149&gt;=50,"Silver","Regular")))</f>
        <v>Platinum</v>
      </c>
      <c r="P149" s="4" t="str">
        <f t="shared" si="15"/>
        <v>Saturday</v>
      </c>
      <c r="Q149" s="4" t="str">
        <f t="shared" si="16"/>
        <v>Small Order</v>
      </c>
      <c r="R149" s="4" t="str">
        <f t="shared" si="17"/>
        <v>Weekend</v>
      </c>
      <c r="S149" s="4" t="str">
        <f t="shared" si="18"/>
        <v>Regular</v>
      </c>
    </row>
    <row r="150" spans="1:19" x14ac:dyDescent="0.3">
      <c r="A150">
        <v>6313</v>
      </c>
      <c r="B150" t="s">
        <v>31</v>
      </c>
      <c r="C150" s="1">
        <v>45799</v>
      </c>
      <c r="D150" t="s">
        <v>24</v>
      </c>
      <c r="E150" t="s">
        <v>18</v>
      </c>
      <c r="F150">
        <v>1</v>
      </c>
      <c r="G150">
        <v>12.08</v>
      </c>
      <c r="H150">
        <v>12.08</v>
      </c>
      <c r="I150" t="str">
        <f t="shared" si="14"/>
        <v>Low</v>
      </c>
      <c r="J150">
        <v>2.42</v>
      </c>
      <c r="K150">
        <f t="shared" si="19"/>
        <v>9.66</v>
      </c>
      <c r="L150" t="str">
        <f t="shared" si="20"/>
        <v>May</v>
      </c>
      <c r="M150">
        <f>YEAR(C150)</f>
        <v>2025</v>
      </c>
      <c r="N150">
        <v>19</v>
      </c>
      <c r="O150" t="str">
        <f>IF(N150&gt;=200,"Platinum",IF(N150&gt;=100,"Gold",IF(N150&gt;=50,"Silver","Regular")))</f>
        <v>Regular</v>
      </c>
      <c r="P150" s="4" t="str">
        <f t="shared" si="15"/>
        <v>Thursday</v>
      </c>
      <c r="Q150" s="4" t="str">
        <f t="shared" si="16"/>
        <v>Small Order</v>
      </c>
      <c r="R150" s="4" t="str">
        <f t="shared" si="17"/>
        <v>Weekday</v>
      </c>
      <c r="S150" s="4" t="str">
        <f t="shared" si="18"/>
        <v>Regular</v>
      </c>
    </row>
    <row r="151" spans="1:19" x14ac:dyDescent="0.3">
      <c r="A151">
        <v>8457</v>
      </c>
      <c r="B151" t="s">
        <v>8</v>
      </c>
      <c r="C151" s="1">
        <v>45541</v>
      </c>
      <c r="D151" t="s">
        <v>27</v>
      </c>
      <c r="E151" t="s">
        <v>28</v>
      </c>
      <c r="F151">
        <v>1</v>
      </c>
      <c r="G151">
        <v>6.09</v>
      </c>
      <c r="H151">
        <v>6.09</v>
      </c>
      <c r="I151" t="str">
        <f t="shared" si="14"/>
        <v>Low</v>
      </c>
      <c r="J151">
        <v>1.22</v>
      </c>
      <c r="K151">
        <f t="shared" si="19"/>
        <v>4.87</v>
      </c>
      <c r="L151" t="str">
        <f t="shared" si="20"/>
        <v>September</v>
      </c>
      <c r="M151">
        <f>YEAR(C151)</f>
        <v>2024</v>
      </c>
      <c r="N151">
        <v>101</v>
      </c>
      <c r="O151" t="str">
        <f>IF(N151&gt;=200,"Platinum",IF(N151&gt;=100,"Gold",IF(N151&gt;=50,"Silver","Regular")))</f>
        <v>Gold</v>
      </c>
      <c r="P151" s="4" t="str">
        <f t="shared" si="15"/>
        <v>Friday</v>
      </c>
      <c r="Q151" s="4" t="str">
        <f t="shared" si="16"/>
        <v>Small Order</v>
      </c>
      <c r="R151" s="4" t="str">
        <f t="shared" si="17"/>
        <v>Weekday</v>
      </c>
      <c r="S151" s="4" t="str">
        <f t="shared" si="18"/>
        <v>Regular</v>
      </c>
    </row>
    <row r="152" spans="1:19" x14ac:dyDescent="0.3">
      <c r="A152">
        <v>8933</v>
      </c>
      <c r="B152" t="s">
        <v>19</v>
      </c>
      <c r="C152" s="1">
        <v>45359</v>
      </c>
      <c r="D152" t="s">
        <v>4</v>
      </c>
      <c r="E152" t="s">
        <v>28</v>
      </c>
      <c r="F152">
        <v>1</v>
      </c>
      <c r="G152">
        <v>12.18</v>
      </c>
      <c r="H152">
        <v>12.18</v>
      </c>
      <c r="I152" t="str">
        <f t="shared" si="14"/>
        <v>Low</v>
      </c>
      <c r="J152">
        <v>2.44</v>
      </c>
      <c r="K152">
        <f t="shared" si="19"/>
        <v>9.74</v>
      </c>
      <c r="L152" t="str">
        <f t="shared" si="20"/>
        <v>March</v>
      </c>
      <c r="M152">
        <f>YEAR(C152)</f>
        <v>2024</v>
      </c>
      <c r="N152">
        <v>375</v>
      </c>
      <c r="O152" t="str">
        <f>IF(N152&gt;=200,"Platinum",IF(N152&gt;=100,"Gold",IF(N152&gt;=50,"Silver","Regular")))</f>
        <v>Platinum</v>
      </c>
      <c r="P152" s="4" t="str">
        <f t="shared" si="15"/>
        <v>Friday</v>
      </c>
      <c r="Q152" s="4" t="str">
        <f t="shared" si="16"/>
        <v>Small Order</v>
      </c>
      <c r="R152" s="4" t="str">
        <f t="shared" si="17"/>
        <v>Weekday</v>
      </c>
      <c r="S152" s="4" t="str">
        <f t="shared" si="18"/>
        <v>Regular</v>
      </c>
    </row>
    <row r="153" spans="1:19" x14ac:dyDescent="0.3">
      <c r="A153">
        <v>2848</v>
      </c>
      <c r="B153" t="s">
        <v>0</v>
      </c>
      <c r="C153" s="1">
        <v>45170</v>
      </c>
      <c r="D153" t="s">
        <v>34</v>
      </c>
      <c r="E153" t="s">
        <v>28</v>
      </c>
      <c r="F153">
        <v>4</v>
      </c>
      <c r="G153">
        <v>3.12</v>
      </c>
      <c r="H153">
        <v>12.48</v>
      </c>
      <c r="I153" t="str">
        <f t="shared" si="14"/>
        <v>Low</v>
      </c>
      <c r="J153">
        <v>2.5</v>
      </c>
      <c r="K153">
        <f t="shared" si="19"/>
        <v>9.98</v>
      </c>
      <c r="L153" t="str">
        <f t="shared" si="20"/>
        <v>September</v>
      </c>
      <c r="M153">
        <f>YEAR(C153)</f>
        <v>2023</v>
      </c>
      <c r="N153">
        <v>491</v>
      </c>
      <c r="O153" t="str">
        <f>IF(N153&gt;=200,"Platinum",IF(N153&gt;=100,"Gold",IF(N153&gt;=50,"Silver","Regular")))</f>
        <v>Platinum</v>
      </c>
      <c r="P153" s="4" t="str">
        <f t="shared" si="15"/>
        <v>Friday</v>
      </c>
      <c r="Q153" s="4" t="str">
        <f t="shared" si="16"/>
        <v>Medium Order</v>
      </c>
      <c r="R153" s="4" t="str">
        <f t="shared" si="17"/>
        <v>Weekday</v>
      </c>
      <c r="S153" s="4" t="str">
        <f t="shared" si="18"/>
        <v>Regular</v>
      </c>
    </row>
    <row r="154" spans="1:19" x14ac:dyDescent="0.3">
      <c r="A154">
        <v>3340</v>
      </c>
      <c r="B154" t="s">
        <v>13</v>
      </c>
      <c r="C154" s="1">
        <v>45198</v>
      </c>
      <c r="D154" t="s">
        <v>24</v>
      </c>
      <c r="E154" t="s">
        <v>36</v>
      </c>
      <c r="F154">
        <v>1</v>
      </c>
      <c r="G154">
        <v>6.34</v>
      </c>
      <c r="H154">
        <v>6.34</v>
      </c>
      <c r="I154" t="str">
        <f t="shared" si="14"/>
        <v>Low</v>
      </c>
      <c r="J154">
        <v>1.27</v>
      </c>
      <c r="K154">
        <f t="shared" si="19"/>
        <v>5.07</v>
      </c>
      <c r="L154" t="str">
        <f t="shared" si="20"/>
        <v>September</v>
      </c>
      <c r="M154">
        <f>YEAR(C154)</f>
        <v>2023</v>
      </c>
      <c r="N154">
        <v>205</v>
      </c>
      <c r="O154" t="str">
        <f>IF(N154&gt;=200,"Platinum",IF(N154&gt;=100,"Gold",IF(N154&gt;=50,"Silver","Regular")))</f>
        <v>Platinum</v>
      </c>
      <c r="P154" s="4" t="str">
        <f t="shared" si="15"/>
        <v>Friday</v>
      </c>
      <c r="Q154" s="4" t="str">
        <f t="shared" si="16"/>
        <v>Small Order</v>
      </c>
      <c r="R154" s="4" t="str">
        <f t="shared" si="17"/>
        <v>Weekday</v>
      </c>
      <c r="S154" s="4" t="str">
        <f t="shared" si="18"/>
        <v>Regular</v>
      </c>
    </row>
    <row r="155" spans="1:19" x14ac:dyDescent="0.3">
      <c r="A155">
        <v>6675</v>
      </c>
      <c r="B155" t="s">
        <v>13</v>
      </c>
      <c r="C155" s="1">
        <v>45638</v>
      </c>
      <c r="D155" t="s">
        <v>27</v>
      </c>
      <c r="E155" t="s">
        <v>32</v>
      </c>
      <c r="F155">
        <v>1</v>
      </c>
      <c r="G155">
        <v>6.79</v>
      </c>
      <c r="H155">
        <v>6.79</v>
      </c>
      <c r="I155" t="str">
        <f t="shared" si="14"/>
        <v>Low</v>
      </c>
      <c r="J155">
        <v>1.36</v>
      </c>
      <c r="K155">
        <f t="shared" si="19"/>
        <v>5.43</v>
      </c>
      <c r="L155" t="str">
        <f t="shared" si="20"/>
        <v>December</v>
      </c>
      <c r="M155">
        <f>YEAR(C155)</f>
        <v>2024</v>
      </c>
      <c r="N155">
        <v>18</v>
      </c>
      <c r="O155" t="str">
        <f>IF(N155&gt;=200,"Platinum",IF(N155&gt;=100,"Gold",IF(N155&gt;=50,"Silver","Regular")))</f>
        <v>Regular</v>
      </c>
      <c r="P155" s="4" t="str">
        <f t="shared" si="15"/>
        <v>Thursday</v>
      </c>
      <c r="Q155" s="4" t="str">
        <f t="shared" si="16"/>
        <v>Small Order</v>
      </c>
      <c r="R155" s="4" t="str">
        <f t="shared" si="17"/>
        <v>Weekday</v>
      </c>
      <c r="S155" s="4" t="str">
        <f t="shared" si="18"/>
        <v>Regular</v>
      </c>
    </row>
    <row r="156" spans="1:19" x14ac:dyDescent="0.3">
      <c r="A156">
        <v>3608</v>
      </c>
      <c r="B156" t="s">
        <v>15</v>
      </c>
      <c r="C156" s="1">
        <v>45756</v>
      </c>
      <c r="D156" t="s">
        <v>16</v>
      </c>
      <c r="E156" t="s">
        <v>35</v>
      </c>
      <c r="F156">
        <v>3</v>
      </c>
      <c r="G156">
        <v>4.71</v>
      </c>
      <c r="H156">
        <v>14.13</v>
      </c>
      <c r="I156" t="str">
        <f t="shared" si="14"/>
        <v>Low</v>
      </c>
      <c r="J156">
        <v>2.83</v>
      </c>
      <c r="K156">
        <f t="shared" si="19"/>
        <v>11.3</v>
      </c>
      <c r="L156" t="str">
        <f t="shared" si="20"/>
        <v>April</v>
      </c>
      <c r="M156">
        <f>YEAR(C156)</f>
        <v>2025</v>
      </c>
      <c r="N156">
        <v>424</v>
      </c>
      <c r="O156" t="str">
        <f>IF(N156&gt;=200,"Platinum",IF(N156&gt;=100,"Gold",IF(N156&gt;=50,"Silver","Regular")))</f>
        <v>Platinum</v>
      </c>
      <c r="P156" s="4" t="str">
        <f t="shared" si="15"/>
        <v>Wednesday</v>
      </c>
      <c r="Q156" s="4" t="str">
        <f t="shared" si="16"/>
        <v>Medium Order</v>
      </c>
      <c r="R156" s="4" t="str">
        <f t="shared" si="17"/>
        <v>Weekday</v>
      </c>
      <c r="S156" s="4" t="str">
        <f t="shared" si="18"/>
        <v>Regular</v>
      </c>
    </row>
    <row r="157" spans="1:19" x14ac:dyDescent="0.3">
      <c r="A157">
        <v>8319</v>
      </c>
      <c r="B157" t="s">
        <v>8</v>
      </c>
      <c r="C157" s="1">
        <v>45555</v>
      </c>
      <c r="D157" t="s">
        <v>27</v>
      </c>
      <c r="E157" t="s">
        <v>37</v>
      </c>
      <c r="F157">
        <v>1</v>
      </c>
      <c r="G157">
        <v>7.14</v>
      </c>
      <c r="H157">
        <v>7.14</v>
      </c>
      <c r="I157" t="str">
        <f t="shared" si="14"/>
        <v>Low</v>
      </c>
      <c r="J157">
        <v>1.43</v>
      </c>
      <c r="K157">
        <f t="shared" si="19"/>
        <v>5.71</v>
      </c>
      <c r="L157" t="str">
        <f t="shared" si="20"/>
        <v>September</v>
      </c>
      <c r="M157">
        <f>YEAR(C157)</f>
        <v>2024</v>
      </c>
      <c r="N157">
        <v>5</v>
      </c>
      <c r="O157" t="str">
        <f>IF(N157&gt;=200,"Platinum",IF(N157&gt;=100,"Gold",IF(N157&gt;=50,"Silver","Regular")))</f>
        <v>Regular</v>
      </c>
      <c r="P157" s="4" t="str">
        <f t="shared" si="15"/>
        <v>Friday</v>
      </c>
      <c r="Q157" s="4" t="str">
        <f t="shared" si="16"/>
        <v>Small Order</v>
      </c>
      <c r="R157" s="4" t="str">
        <f t="shared" si="17"/>
        <v>Weekday</v>
      </c>
      <c r="S157" s="4" t="str">
        <f t="shared" si="18"/>
        <v>Regular</v>
      </c>
    </row>
    <row r="158" spans="1:19" x14ac:dyDescent="0.3">
      <c r="A158">
        <v>2559</v>
      </c>
      <c r="B158" t="s">
        <v>3</v>
      </c>
      <c r="C158" s="1">
        <v>45145</v>
      </c>
      <c r="D158" t="s">
        <v>23</v>
      </c>
      <c r="E158" t="s">
        <v>2</v>
      </c>
      <c r="F158">
        <v>1</v>
      </c>
      <c r="G158">
        <v>15.33</v>
      </c>
      <c r="H158">
        <v>15.33</v>
      </c>
      <c r="I158" t="str">
        <f t="shared" si="14"/>
        <v>Low</v>
      </c>
      <c r="J158">
        <v>3.07</v>
      </c>
      <c r="K158">
        <f t="shared" si="19"/>
        <v>12.26</v>
      </c>
      <c r="L158" t="str">
        <f t="shared" si="20"/>
        <v>August</v>
      </c>
      <c r="M158">
        <f>YEAR(C158)</f>
        <v>2023</v>
      </c>
      <c r="N158">
        <v>426</v>
      </c>
      <c r="O158" t="str">
        <f>IF(N158&gt;=200,"Platinum",IF(N158&gt;=100,"Gold",IF(N158&gt;=50,"Silver","Regular")))</f>
        <v>Platinum</v>
      </c>
      <c r="P158" s="4" t="str">
        <f t="shared" si="15"/>
        <v>Monday</v>
      </c>
      <c r="Q158" s="4" t="str">
        <f t="shared" si="16"/>
        <v>Small Order</v>
      </c>
      <c r="R158" s="4" t="str">
        <f t="shared" si="17"/>
        <v>Weekday</v>
      </c>
      <c r="S158" s="4" t="str">
        <f t="shared" si="18"/>
        <v>Regular</v>
      </c>
    </row>
    <row r="159" spans="1:19" x14ac:dyDescent="0.3">
      <c r="A159">
        <v>3078</v>
      </c>
      <c r="B159" t="s">
        <v>20</v>
      </c>
      <c r="C159" s="1">
        <v>45689</v>
      </c>
      <c r="D159" t="s">
        <v>23</v>
      </c>
      <c r="E159" t="s">
        <v>5</v>
      </c>
      <c r="F159">
        <v>1</v>
      </c>
      <c r="G159">
        <v>16.63</v>
      </c>
      <c r="H159">
        <v>16.63</v>
      </c>
      <c r="I159" t="str">
        <f t="shared" si="14"/>
        <v>Low</v>
      </c>
      <c r="J159">
        <v>3.33</v>
      </c>
      <c r="K159">
        <f t="shared" si="19"/>
        <v>13.299999999999999</v>
      </c>
      <c r="L159" t="str">
        <f t="shared" si="20"/>
        <v>February</v>
      </c>
      <c r="M159">
        <f>YEAR(C159)</f>
        <v>2025</v>
      </c>
      <c r="N159">
        <v>390</v>
      </c>
      <c r="O159" t="str">
        <f>IF(N159&gt;=200,"Platinum",IF(N159&gt;=100,"Gold",IF(N159&gt;=50,"Silver","Regular")))</f>
        <v>Platinum</v>
      </c>
      <c r="P159" s="4" t="str">
        <f t="shared" si="15"/>
        <v>Saturday</v>
      </c>
      <c r="Q159" s="4" t="str">
        <f t="shared" si="16"/>
        <v>Small Order</v>
      </c>
      <c r="R159" s="4" t="str">
        <f t="shared" si="17"/>
        <v>Weekend</v>
      </c>
      <c r="S159" s="4" t="str">
        <f t="shared" si="18"/>
        <v>Regular</v>
      </c>
    </row>
    <row r="160" spans="1:19" x14ac:dyDescent="0.3">
      <c r="A160">
        <v>5397</v>
      </c>
      <c r="B160" t="s">
        <v>19</v>
      </c>
      <c r="C160" s="1">
        <v>45395</v>
      </c>
      <c r="D160" t="s">
        <v>24</v>
      </c>
      <c r="E160" t="s">
        <v>10</v>
      </c>
      <c r="F160">
        <v>1</v>
      </c>
      <c r="G160">
        <v>17.03</v>
      </c>
      <c r="H160">
        <v>17.03</v>
      </c>
      <c r="I160" t="str">
        <f t="shared" si="14"/>
        <v>Low</v>
      </c>
      <c r="J160">
        <v>3.41</v>
      </c>
      <c r="K160">
        <f t="shared" si="19"/>
        <v>13.620000000000001</v>
      </c>
      <c r="L160" t="str">
        <f t="shared" si="20"/>
        <v>April</v>
      </c>
      <c r="M160">
        <f>YEAR(C160)</f>
        <v>2024</v>
      </c>
      <c r="N160">
        <v>4</v>
      </c>
      <c r="O160" t="str">
        <f>IF(N160&gt;=200,"Platinum",IF(N160&gt;=100,"Gold",IF(N160&gt;=50,"Silver","Regular")))</f>
        <v>Regular</v>
      </c>
      <c r="P160" s="4" t="str">
        <f t="shared" si="15"/>
        <v>Saturday</v>
      </c>
      <c r="Q160" s="4" t="str">
        <f t="shared" si="16"/>
        <v>Small Order</v>
      </c>
      <c r="R160" s="4" t="str">
        <f t="shared" si="17"/>
        <v>Weekend</v>
      </c>
      <c r="S160" s="4" t="str">
        <f t="shared" si="18"/>
        <v>Regular</v>
      </c>
    </row>
    <row r="161" spans="1:19" x14ac:dyDescent="0.3">
      <c r="A161">
        <v>8167</v>
      </c>
      <c r="B161" t="s">
        <v>15</v>
      </c>
      <c r="C161" s="1">
        <v>45711</v>
      </c>
      <c r="D161" t="s">
        <v>34</v>
      </c>
      <c r="E161" t="s">
        <v>10</v>
      </c>
      <c r="F161">
        <v>2</v>
      </c>
      <c r="G161">
        <v>9.39</v>
      </c>
      <c r="H161">
        <v>18.78</v>
      </c>
      <c r="I161" t="str">
        <f t="shared" si="14"/>
        <v>Low</v>
      </c>
      <c r="J161">
        <v>3.76</v>
      </c>
      <c r="K161">
        <f t="shared" si="19"/>
        <v>15.020000000000001</v>
      </c>
      <c r="L161" t="str">
        <f t="shared" si="20"/>
        <v>February</v>
      </c>
      <c r="M161">
        <f>YEAR(C161)</f>
        <v>2025</v>
      </c>
      <c r="N161">
        <v>51</v>
      </c>
      <c r="O161" t="str">
        <f>IF(N161&gt;=200,"Platinum",IF(N161&gt;=100,"Gold",IF(N161&gt;=50,"Silver","Regular")))</f>
        <v>Silver</v>
      </c>
      <c r="P161" s="4" t="str">
        <f t="shared" si="15"/>
        <v>Sunday</v>
      </c>
      <c r="Q161" s="4" t="str">
        <f t="shared" si="16"/>
        <v>Small Order</v>
      </c>
      <c r="R161" s="4" t="str">
        <f t="shared" si="17"/>
        <v>Weekend</v>
      </c>
      <c r="S161" s="4" t="str">
        <f t="shared" si="18"/>
        <v>Regular</v>
      </c>
    </row>
    <row r="162" spans="1:19" x14ac:dyDescent="0.3">
      <c r="A162">
        <v>2295</v>
      </c>
      <c r="B162" t="s">
        <v>3</v>
      </c>
      <c r="C162" s="1">
        <v>45861</v>
      </c>
      <c r="D162" t="s">
        <v>9</v>
      </c>
      <c r="E162" t="s">
        <v>37</v>
      </c>
      <c r="F162">
        <v>1</v>
      </c>
      <c r="G162">
        <v>19.73</v>
      </c>
      <c r="H162">
        <v>19.73</v>
      </c>
      <c r="I162" t="str">
        <f t="shared" si="14"/>
        <v>Low</v>
      </c>
      <c r="J162">
        <v>3.95</v>
      </c>
      <c r="K162">
        <f t="shared" si="19"/>
        <v>15.780000000000001</v>
      </c>
      <c r="L162" t="str">
        <f t="shared" si="20"/>
        <v>July</v>
      </c>
      <c r="M162">
        <f>YEAR(C162)</f>
        <v>2025</v>
      </c>
      <c r="N162">
        <v>490</v>
      </c>
      <c r="O162" t="str">
        <f>IF(N162&gt;=200,"Platinum",IF(N162&gt;=100,"Gold",IF(N162&gt;=50,"Silver","Regular")))</f>
        <v>Platinum</v>
      </c>
      <c r="P162" s="4" t="str">
        <f t="shared" si="15"/>
        <v>Wednesday</v>
      </c>
      <c r="Q162" s="4" t="str">
        <f t="shared" si="16"/>
        <v>Small Order</v>
      </c>
      <c r="R162" s="4" t="str">
        <f t="shared" si="17"/>
        <v>Weekday</v>
      </c>
      <c r="S162" s="4" t="str">
        <f t="shared" si="18"/>
        <v>Regular</v>
      </c>
    </row>
    <row r="163" spans="1:19" x14ac:dyDescent="0.3">
      <c r="A163">
        <v>8248</v>
      </c>
      <c r="B163" t="s">
        <v>3</v>
      </c>
      <c r="C163" s="1">
        <v>45812</v>
      </c>
      <c r="D163" t="s">
        <v>9</v>
      </c>
      <c r="E163" t="s">
        <v>22</v>
      </c>
      <c r="F163">
        <v>1</v>
      </c>
      <c r="G163">
        <v>20.38</v>
      </c>
      <c r="H163">
        <v>20.38</v>
      </c>
      <c r="I163" t="str">
        <f t="shared" si="14"/>
        <v>Low</v>
      </c>
      <c r="J163">
        <v>4.08</v>
      </c>
      <c r="K163">
        <f t="shared" si="19"/>
        <v>16.299999999999997</v>
      </c>
      <c r="L163" t="str">
        <f t="shared" si="20"/>
        <v>June</v>
      </c>
      <c r="M163">
        <f>YEAR(C163)</f>
        <v>2025</v>
      </c>
      <c r="N163">
        <v>33</v>
      </c>
      <c r="O163" t="str">
        <f>IF(N163&gt;=200,"Platinum",IF(N163&gt;=100,"Gold",IF(N163&gt;=50,"Silver","Regular")))</f>
        <v>Regular</v>
      </c>
      <c r="P163" s="4" t="str">
        <f t="shared" si="15"/>
        <v>Wednesday</v>
      </c>
      <c r="Q163" s="4" t="str">
        <f t="shared" si="16"/>
        <v>Small Order</v>
      </c>
      <c r="R163" s="4" t="str">
        <f t="shared" si="17"/>
        <v>Weekday</v>
      </c>
      <c r="S163" s="4" t="str">
        <f t="shared" si="18"/>
        <v>Regular</v>
      </c>
    </row>
    <row r="164" spans="1:19" x14ac:dyDescent="0.3">
      <c r="A164">
        <v>2698</v>
      </c>
      <c r="B164" t="s">
        <v>25</v>
      </c>
      <c r="C164" s="1">
        <v>45744</v>
      </c>
      <c r="D164" t="s">
        <v>16</v>
      </c>
      <c r="E164" t="s">
        <v>21</v>
      </c>
      <c r="F164">
        <v>3</v>
      </c>
      <c r="G164">
        <v>3.53</v>
      </c>
      <c r="H164">
        <v>10.59</v>
      </c>
      <c r="I164" t="str">
        <f t="shared" si="14"/>
        <v>Low</v>
      </c>
      <c r="J164">
        <v>2.12</v>
      </c>
      <c r="K164">
        <f t="shared" si="19"/>
        <v>8.4699999999999989</v>
      </c>
      <c r="L164" t="str">
        <f t="shared" si="20"/>
        <v>March</v>
      </c>
      <c r="M164">
        <f>YEAR(C164)</f>
        <v>2025</v>
      </c>
      <c r="N164">
        <v>69</v>
      </c>
      <c r="O164" t="str">
        <f>IF(N164&gt;=200,"Platinum",IF(N164&gt;=100,"Gold",IF(N164&gt;=50,"Silver","Regular")))</f>
        <v>Silver</v>
      </c>
      <c r="P164" s="4" t="str">
        <f t="shared" si="15"/>
        <v>Friday</v>
      </c>
      <c r="Q164" s="4" t="str">
        <f t="shared" si="16"/>
        <v>Medium Order</v>
      </c>
      <c r="R164" s="4" t="str">
        <f t="shared" si="17"/>
        <v>Weekday</v>
      </c>
      <c r="S164" s="4" t="str">
        <f t="shared" si="18"/>
        <v>Regular</v>
      </c>
    </row>
    <row r="165" spans="1:19" x14ac:dyDescent="0.3">
      <c r="A165">
        <v>8988</v>
      </c>
      <c r="B165" t="s">
        <v>25</v>
      </c>
      <c r="C165" s="1">
        <v>45309</v>
      </c>
      <c r="D165" t="s">
        <v>11</v>
      </c>
      <c r="E165" t="s">
        <v>22</v>
      </c>
      <c r="F165">
        <v>3</v>
      </c>
      <c r="G165">
        <v>7.76</v>
      </c>
      <c r="H165">
        <v>23.28</v>
      </c>
      <c r="I165" t="str">
        <f t="shared" si="14"/>
        <v>Low</v>
      </c>
      <c r="J165">
        <v>4.66</v>
      </c>
      <c r="K165">
        <f t="shared" si="19"/>
        <v>18.62</v>
      </c>
      <c r="L165" t="str">
        <f t="shared" si="20"/>
        <v>January</v>
      </c>
      <c r="M165">
        <f>YEAR(C165)</f>
        <v>2024</v>
      </c>
      <c r="N165">
        <v>483</v>
      </c>
      <c r="O165" t="str">
        <f>IF(N165&gt;=200,"Platinum",IF(N165&gt;=100,"Gold",IF(N165&gt;=50,"Silver","Regular")))</f>
        <v>Platinum</v>
      </c>
      <c r="P165" s="4" t="str">
        <f t="shared" si="15"/>
        <v>Thursday</v>
      </c>
      <c r="Q165" s="4" t="str">
        <f t="shared" si="16"/>
        <v>Medium Order</v>
      </c>
      <c r="R165" s="4" t="str">
        <f t="shared" si="17"/>
        <v>Weekday</v>
      </c>
      <c r="S165" s="4" t="str">
        <f t="shared" si="18"/>
        <v>Regular</v>
      </c>
    </row>
    <row r="166" spans="1:19" x14ac:dyDescent="0.3">
      <c r="A166">
        <v>1379</v>
      </c>
      <c r="B166" t="s">
        <v>15</v>
      </c>
      <c r="C166" s="1">
        <v>45214</v>
      </c>
      <c r="D166" t="s">
        <v>24</v>
      </c>
      <c r="E166" t="s">
        <v>33</v>
      </c>
      <c r="F166">
        <v>2</v>
      </c>
      <c r="G166">
        <v>11.89</v>
      </c>
      <c r="H166">
        <v>23.78</v>
      </c>
      <c r="I166" t="str">
        <f t="shared" si="14"/>
        <v>Low</v>
      </c>
      <c r="J166">
        <v>4.76</v>
      </c>
      <c r="K166">
        <f t="shared" si="19"/>
        <v>19.020000000000003</v>
      </c>
      <c r="L166" t="str">
        <f t="shared" si="20"/>
        <v>October</v>
      </c>
      <c r="M166">
        <f>YEAR(C166)</f>
        <v>2023</v>
      </c>
      <c r="N166">
        <v>328</v>
      </c>
      <c r="O166" t="str">
        <f>IF(N166&gt;=200,"Platinum",IF(N166&gt;=100,"Gold",IF(N166&gt;=50,"Silver","Regular")))</f>
        <v>Platinum</v>
      </c>
      <c r="P166" s="4" t="str">
        <f t="shared" si="15"/>
        <v>Sunday</v>
      </c>
      <c r="Q166" s="4" t="str">
        <f t="shared" si="16"/>
        <v>Small Order</v>
      </c>
      <c r="R166" s="4" t="str">
        <f t="shared" si="17"/>
        <v>Weekend</v>
      </c>
      <c r="S166" s="4" t="str">
        <f t="shared" si="18"/>
        <v>Regular</v>
      </c>
    </row>
    <row r="167" spans="1:19" x14ac:dyDescent="0.3">
      <c r="A167">
        <v>1762</v>
      </c>
      <c r="B167" t="s">
        <v>31</v>
      </c>
      <c r="C167" s="1">
        <v>45862</v>
      </c>
      <c r="D167" t="s">
        <v>11</v>
      </c>
      <c r="E167" t="s">
        <v>12</v>
      </c>
      <c r="F167">
        <v>4</v>
      </c>
      <c r="G167">
        <v>3.06</v>
      </c>
      <c r="H167">
        <v>12.24</v>
      </c>
      <c r="I167" t="str">
        <f t="shared" si="14"/>
        <v>Low</v>
      </c>
      <c r="J167">
        <v>2.4500000000000002</v>
      </c>
      <c r="K167">
        <f t="shared" si="19"/>
        <v>9.7899999999999991</v>
      </c>
      <c r="L167" t="str">
        <f t="shared" si="20"/>
        <v>July</v>
      </c>
      <c r="M167">
        <f>YEAR(C167)</f>
        <v>2025</v>
      </c>
      <c r="N167">
        <v>218</v>
      </c>
      <c r="O167" t="str">
        <f>IF(N167&gt;=200,"Platinum",IF(N167&gt;=100,"Gold",IF(N167&gt;=50,"Silver","Regular")))</f>
        <v>Platinum</v>
      </c>
      <c r="P167" s="4" t="str">
        <f t="shared" si="15"/>
        <v>Thursday</v>
      </c>
      <c r="Q167" s="4" t="str">
        <f t="shared" si="16"/>
        <v>Medium Order</v>
      </c>
      <c r="R167" s="4" t="str">
        <f t="shared" si="17"/>
        <v>Weekday</v>
      </c>
      <c r="S167" s="4" t="str">
        <f t="shared" si="18"/>
        <v>Regular</v>
      </c>
    </row>
    <row r="168" spans="1:19" x14ac:dyDescent="0.3">
      <c r="A168">
        <v>2376</v>
      </c>
      <c r="B168" t="s">
        <v>15</v>
      </c>
      <c r="C168" s="1">
        <v>45597</v>
      </c>
      <c r="D168" t="s">
        <v>6</v>
      </c>
      <c r="E168" t="s">
        <v>37</v>
      </c>
      <c r="F168">
        <v>2</v>
      </c>
      <c r="G168">
        <v>12.24</v>
      </c>
      <c r="H168">
        <v>24.48</v>
      </c>
      <c r="I168" t="str">
        <f t="shared" si="14"/>
        <v>Low</v>
      </c>
      <c r="J168">
        <v>4.9000000000000004</v>
      </c>
      <c r="K168">
        <f t="shared" si="19"/>
        <v>19.579999999999998</v>
      </c>
      <c r="L168" t="str">
        <f t="shared" si="20"/>
        <v>November</v>
      </c>
      <c r="M168">
        <f>YEAR(C168)</f>
        <v>2024</v>
      </c>
      <c r="N168">
        <v>324</v>
      </c>
      <c r="O168" t="str">
        <f>IF(N168&gt;=200,"Platinum",IF(N168&gt;=100,"Gold",IF(N168&gt;=50,"Silver","Regular")))</f>
        <v>Platinum</v>
      </c>
      <c r="P168" s="4" t="str">
        <f t="shared" si="15"/>
        <v>Friday</v>
      </c>
      <c r="Q168" s="4" t="str">
        <f t="shared" si="16"/>
        <v>Small Order</v>
      </c>
      <c r="R168" s="4" t="str">
        <f t="shared" si="17"/>
        <v>Weekday</v>
      </c>
      <c r="S168" s="4" t="str">
        <f t="shared" si="18"/>
        <v>Regular</v>
      </c>
    </row>
    <row r="169" spans="1:19" x14ac:dyDescent="0.3">
      <c r="A169">
        <v>6180</v>
      </c>
      <c r="B169" t="s">
        <v>13</v>
      </c>
      <c r="C169" s="1">
        <v>45866</v>
      </c>
      <c r="D169" t="s">
        <v>16</v>
      </c>
      <c r="E169" t="s">
        <v>5</v>
      </c>
      <c r="F169">
        <v>3</v>
      </c>
      <c r="G169">
        <v>4.33</v>
      </c>
      <c r="H169">
        <v>12.99</v>
      </c>
      <c r="I169" t="str">
        <f t="shared" si="14"/>
        <v>Low</v>
      </c>
      <c r="J169">
        <v>2.6</v>
      </c>
      <c r="K169">
        <f t="shared" si="19"/>
        <v>10.39</v>
      </c>
      <c r="L169" t="str">
        <f t="shared" si="20"/>
        <v>July</v>
      </c>
      <c r="M169">
        <f>YEAR(C169)</f>
        <v>2025</v>
      </c>
      <c r="N169">
        <v>10</v>
      </c>
      <c r="O169" t="str">
        <f>IF(N169&gt;=200,"Platinum",IF(N169&gt;=100,"Gold",IF(N169&gt;=50,"Silver","Regular")))</f>
        <v>Regular</v>
      </c>
      <c r="P169" s="4" t="str">
        <f t="shared" si="15"/>
        <v>Monday</v>
      </c>
      <c r="Q169" s="4" t="str">
        <f t="shared" si="16"/>
        <v>Medium Order</v>
      </c>
      <c r="R169" s="4" t="str">
        <f t="shared" si="17"/>
        <v>Weekday</v>
      </c>
      <c r="S169" s="4" t="str">
        <f t="shared" si="18"/>
        <v>Regular</v>
      </c>
    </row>
    <row r="170" spans="1:19" x14ac:dyDescent="0.3">
      <c r="A170">
        <v>3281</v>
      </c>
      <c r="B170" t="s">
        <v>31</v>
      </c>
      <c r="C170" s="1">
        <v>45754</v>
      </c>
      <c r="D170" t="s">
        <v>6</v>
      </c>
      <c r="E170" t="s">
        <v>26</v>
      </c>
      <c r="F170">
        <v>2</v>
      </c>
      <c r="G170">
        <v>13.29</v>
      </c>
      <c r="H170">
        <v>26.58</v>
      </c>
      <c r="I170" t="str">
        <f t="shared" si="14"/>
        <v>Medium</v>
      </c>
      <c r="J170">
        <v>5.32</v>
      </c>
      <c r="K170">
        <f t="shared" si="19"/>
        <v>21.259999999999998</v>
      </c>
      <c r="L170" t="str">
        <f t="shared" si="20"/>
        <v>April</v>
      </c>
      <c r="M170">
        <f>YEAR(C170)</f>
        <v>2025</v>
      </c>
      <c r="N170">
        <v>138</v>
      </c>
      <c r="O170" t="str">
        <f>IF(N170&gt;=200,"Platinum",IF(N170&gt;=100,"Gold",IF(N170&gt;=50,"Silver","Regular")))</f>
        <v>Gold</v>
      </c>
      <c r="P170" s="4" t="str">
        <f t="shared" si="15"/>
        <v>Monday</v>
      </c>
      <c r="Q170" s="4" t="str">
        <f t="shared" si="16"/>
        <v>Small Order</v>
      </c>
      <c r="R170" s="4" t="str">
        <f t="shared" si="17"/>
        <v>Weekday</v>
      </c>
      <c r="S170" s="4" t="str">
        <f t="shared" si="18"/>
        <v>Regular</v>
      </c>
    </row>
    <row r="171" spans="1:19" x14ac:dyDescent="0.3">
      <c r="A171">
        <v>1672</v>
      </c>
      <c r="B171" t="s">
        <v>15</v>
      </c>
      <c r="C171" s="1">
        <v>45494</v>
      </c>
      <c r="D171" t="s">
        <v>11</v>
      </c>
      <c r="E171" t="s">
        <v>35</v>
      </c>
      <c r="F171">
        <v>1</v>
      </c>
      <c r="G171">
        <v>27.33</v>
      </c>
      <c r="H171">
        <v>27.33</v>
      </c>
      <c r="I171" t="str">
        <f t="shared" si="14"/>
        <v>Medium</v>
      </c>
      <c r="J171">
        <v>5.47</v>
      </c>
      <c r="K171">
        <f t="shared" si="19"/>
        <v>21.86</v>
      </c>
      <c r="L171" t="str">
        <f t="shared" si="20"/>
        <v>July</v>
      </c>
      <c r="M171">
        <f>YEAR(C171)</f>
        <v>2024</v>
      </c>
      <c r="N171">
        <v>184</v>
      </c>
      <c r="O171" t="str">
        <f>IF(N171&gt;=200,"Platinum",IF(N171&gt;=100,"Gold",IF(N171&gt;=50,"Silver","Regular")))</f>
        <v>Gold</v>
      </c>
      <c r="P171" s="4" t="str">
        <f t="shared" si="15"/>
        <v>Sunday</v>
      </c>
      <c r="Q171" s="4" t="str">
        <f t="shared" si="16"/>
        <v>Small Order</v>
      </c>
      <c r="R171" s="4" t="str">
        <f t="shared" si="17"/>
        <v>Weekend</v>
      </c>
      <c r="S171" s="4" t="str">
        <f t="shared" si="18"/>
        <v>Regular</v>
      </c>
    </row>
    <row r="172" spans="1:19" x14ac:dyDescent="0.3">
      <c r="A172">
        <v>4728</v>
      </c>
      <c r="B172" t="s">
        <v>15</v>
      </c>
      <c r="C172" s="1">
        <v>45318</v>
      </c>
      <c r="D172" t="s">
        <v>4</v>
      </c>
      <c r="E172" t="s">
        <v>29</v>
      </c>
      <c r="F172">
        <v>2</v>
      </c>
      <c r="G172">
        <v>13.74</v>
      </c>
      <c r="H172">
        <v>27.48</v>
      </c>
      <c r="I172" t="str">
        <f t="shared" si="14"/>
        <v>Medium</v>
      </c>
      <c r="J172">
        <v>5.5</v>
      </c>
      <c r="K172">
        <f t="shared" si="19"/>
        <v>21.98</v>
      </c>
      <c r="L172" t="str">
        <f t="shared" si="20"/>
        <v>January</v>
      </c>
      <c r="M172">
        <f>YEAR(C172)</f>
        <v>2024</v>
      </c>
      <c r="N172">
        <v>247</v>
      </c>
      <c r="O172" t="str">
        <f>IF(N172&gt;=200,"Platinum",IF(N172&gt;=100,"Gold",IF(N172&gt;=50,"Silver","Regular")))</f>
        <v>Platinum</v>
      </c>
      <c r="P172" s="4" t="str">
        <f t="shared" si="15"/>
        <v>Saturday</v>
      </c>
      <c r="Q172" s="4" t="str">
        <f t="shared" si="16"/>
        <v>Small Order</v>
      </c>
      <c r="R172" s="4" t="str">
        <f t="shared" si="17"/>
        <v>Weekend</v>
      </c>
      <c r="S172" s="4" t="str">
        <f t="shared" si="18"/>
        <v>Regular</v>
      </c>
    </row>
    <row r="173" spans="1:19" x14ac:dyDescent="0.3">
      <c r="A173">
        <v>8851</v>
      </c>
      <c r="B173" t="s">
        <v>3</v>
      </c>
      <c r="C173" s="1">
        <v>45597</v>
      </c>
      <c r="D173" t="s">
        <v>34</v>
      </c>
      <c r="E173" t="s">
        <v>18</v>
      </c>
      <c r="F173">
        <v>1</v>
      </c>
      <c r="G173">
        <v>28.53</v>
      </c>
      <c r="H173">
        <v>28.53</v>
      </c>
      <c r="I173" t="str">
        <f t="shared" si="14"/>
        <v>Medium</v>
      </c>
      <c r="J173">
        <v>5.71</v>
      </c>
      <c r="K173">
        <f t="shared" si="19"/>
        <v>22.82</v>
      </c>
      <c r="L173" t="str">
        <f t="shared" si="20"/>
        <v>November</v>
      </c>
      <c r="M173">
        <f>YEAR(C173)</f>
        <v>2024</v>
      </c>
      <c r="N173">
        <v>299</v>
      </c>
      <c r="O173" t="str">
        <f>IF(N173&gt;=200,"Platinum",IF(N173&gt;=100,"Gold",IF(N173&gt;=50,"Silver","Regular")))</f>
        <v>Platinum</v>
      </c>
      <c r="P173" s="4" t="str">
        <f t="shared" si="15"/>
        <v>Friday</v>
      </c>
      <c r="Q173" s="4" t="str">
        <f t="shared" si="16"/>
        <v>Small Order</v>
      </c>
      <c r="R173" s="4" t="str">
        <f t="shared" si="17"/>
        <v>Weekday</v>
      </c>
      <c r="S173" s="4" t="str">
        <f t="shared" si="18"/>
        <v>Regular</v>
      </c>
    </row>
    <row r="174" spans="1:19" x14ac:dyDescent="0.3">
      <c r="A174">
        <v>7985</v>
      </c>
      <c r="B174" t="s">
        <v>25</v>
      </c>
      <c r="C174" s="1">
        <v>45503</v>
      </c>
      <c r="D174" t="s">
        <v>11</v>
      </c>
      <c r="E174" t="s">
        <v>22</v>
      </c>
      <c r="F174">
        <v>2</v>
      </c>
      <c r="G174">
        <v>14.39</v>
      </c>
      <c r="H174">
        <v>28.78</v>
      </c>
      <c r="I174" t="str">
        <f t="shared" si="14"/>
        <v>Medium</v>
      </c>
      <c r="J174">
        <v>5.76</v>
      </c>
      <c r="K174">
        <f t="shared" si="19"/>
        <v>23.020000000000003</v>
      </c>
      <c r="L174" t="str">
        <f t="shared" si="20"/>
        <v>July</v>
      </c>
      <c r="M174">
        <f>YEAR(C174)</f>
        <v>2024</v>
      </c>
      <c r="N174">
        <v>380</v>
      </c>
      <c r="O174" t="str">
        <f>IF(N174&gt;=200,"Platinum",IF(N174&gt;=100,"Gold",IF(N174&gt;=50,"Silver","Regular")))</f>
        <v>Platinum</v>
      </c>
      <c r="P174" s="4" t="str">
        <f t="shared" si="15"/>
        <v>Tuesday</v>
      </c>
      <c r="Q174" s="4" t="str">
        <f t="shared" si="16"/>
        <v>Small Order</v>
      </c>
      <c r="R174" s="4" t="str">
        <f t="shared" si="17"/>
        <v>Weekday</v>
      </c>
      <c r="S174" s="4" t="str">
        <f t="shared" si="18"/>
        <v>Regular</v>
      </c>
    </row>
    <row r="175" spans="1:19" x14ac:dyDescent="0.3">
      <c r="A175">
        <v>9005</v>
      </c>
      <c r="B175" t="s">
        <v>19</v>
      </c>
      <c r="C175" s="1">
        <v>45707</v>
      </c>
      <c r="D175" t="s">
        <v>9</v>
      </c>
      <c r="E175" t="s">
        <v>21</v>
      </c>
      <c r="F175">
        <v>1</v>
      </c>
      <c r="G175">
        <v>14.44</v>
      </c>
      <c r="H175">
        <v>14.44</v>
      </c>
      <c r="I175" t="str">
        <f t="shared" si="14"/>
        <v>Low</v>
      </c>
      <c r="J175">
        <v>2.89</v>
      </c>
      <c r="K175">
        <f t="shared" si="19"/>
        <v>11.549999999999999</v>
      </c>
      <c r="L175" t="str">
        <f t="shared" si="20"/>
        <v>February</v>
      </c>
      <c r="M175">
        <f>YEAR(C175)</f>
        <v>2025</v>
      </c>
      <c r="N175">
        <v>416</v>
      </c>
      <c r="O175" t="str">
        <f>IF(N175&gt;=200,"Platinum",IF(N175&gt;=100,"Gold",IF(N175&gt;=50,"Silver","Regular")))</f>
        <v>Platinum</v>
      </c>
      <c r="P175" s="4" t="str">
        <f t="shared" si="15"/>
        <v>Wednesday</v>
      </c>
      <c r="Q175" s="4" t="str">
        <f t="shared" si="16"/>
        <v>Small Order</v>
      </c>
      <c r="R175" s="4" t="str">
        <f t="shared" si="17"/>
        <v>Weekday</v>
      </c>
      <c r="S175" s="4" t="str">
        <f t="shared" si="18"/>
        <v>Regular</v>
      </c>
    </row>
    <row r="176" spans="1:19" x14ac:dyDescent="0.3">
      <c r="A176">
        <v>5240</v>
      </c>
      <c r="B176" t="s">
        <v>8</v>
      </c>
      <c r="C176" s="1">
        <v>45857</v>
      </c>
      <c r="D176" t="s">
        <v>27</v>
      </c>
      <c r="E176" t="s">
        <v>30</v>
      </c>
      <c r="F176">
        <v>1</v>
      </c>
      <c r="G176">
        <v>14.84</v>
      </c>
      <c r="H176">
        <v>14.84</v>
      </c>
      <c r="I176" t="str">
        <f t="shared" si="14"/>
        <v>Low</v>
      </c>
      <c r="J176">
        <v>2.97</v>
      </c>
      <c r="K176">
        <f t="shared" si="19"/>
        <v>11.87</v>
      </c>
      <c r="L176" t="str">
        <f t="shared" si="20"/>
        <v>July</v>
      </c>
      <c r="M176">
        <f>YEAR(C176)</f>
        <v>2025</v>
      </c>
      <c r="N176">
        <v>37</v>
      </c>
      <c r="O176" t="str">
        <f>IF(N176&gt;=200,"Platinum",IF(N176&gt;=100,"Gold",IF(N176&gt;=50,"Silver","Regular")))</f>
        <v>Regular</v>
      </c>
      <c r="P176" s="4" t="str">
        <f t="shared" si="15"/>
        <v>Saturday</v>
      </c>
      <c r="Q176" s="4" t="str">
        <f t="shared" si="16"/>
        <v>Small Order</v>
      </c>
      <c r="R176" s="4" t="str">
        <f t="shared" si="17"/>
        <v>Weekend</v>
      </c>
      <c r="S176" s="4" t="str">
        <f t="shared" si="18"/>
        <v>Regular</v>
      </c>
    </row>
    <row r="177" spans="1:19" x14ac:dyDescent="0.3">
      <c r="A177">
        <v>8790</v>
      </c>
      <c r="B177" t="s">
        <v>31</v>
      </c>
      <c r="C177" s="1">
        <v>45355</v>
      </c>
      <c r="D177" t="s">
        <v>11</v>
      </c>
      <c r="E177" t="s">
        <v>37</v>
      </c>
      <c r="F177">
        <v>1</v>
      </c>
      <c r="G177">
        <v>15.69</v>
      </c>
      <c r="H177">
        <v>15.69</v>
      </c>
      <c r="I177" t="str">
        <f t="shared" si="14"/>
        <v>Low</v>
      </c>
      <c r="J177">
        <v>3.14</v>
      </c>
      <c r="K177">
        <f t="shared" si="19"/>
        <v>12.549999999999999</v>
      </c>
      <c r="L177" t="str">
        <f t="shared" si="20"/>
        <v>March</v>
      </c>
      <c r="M177">
        <f>YEAR(C177)</f>
        <v>2024</v>
      </c>
      <c r="N177">
        <v>57</v>
      </c>
      <c r="O177" t="str">
        <f>IF(N177&gt;=200,"Platinum",IF(N177&gt;=100,"Gold",IF(N177&gt;=50,"Silver","Regular")))</f>
        <v>Silver</v>
      </c>
      <c r="P177" s="4" t="str">
        <f t="shared" si="15"/>
        <v>Monday</v>
      </c>
      <c r="Q177" s="4" t="str">
        <f t="shared" si="16"/>
        <v>Small Order</v>
      </c>
      <c r="R177" s="4" t="str">
        <f t="shared" si="17"/>
        <v>Weekday</v>
      </c>
      <c r="S177" s="4" t="str">
        <f t="shared" si="18"/>
        <v>Regular</v>
      </c>
    </row>
    <row r="178" spans="1:19" x14ac:dyDescent="0.3">
      <c r="A178">
        <v>3711</v>
      </c>
      <c r="B178" t="s">
        <v>31</v>
      </c>
      <c r="C178" s="1">
        <v>45185</v>
      </c>
      <c r="D178" t="s">
        <v>24</v>
      </c>
      <c r="E178" t="s">
        <v>36</v>
      </c>
      <c r="F178">
        <v>3</v>
      </c>
      <c r="G178">
        <v>10.76</v>
      </c>
      <c r="H178">
        <v>32.28</v>
      </c>
      <c r="I178" t="str">
        <f t="shared" si="14"/>
        <v>Medium</v>
      </c>
      <c r="J178">
        <v>6.46</v>
      </c>
      <c r="K178">
        <f t="shared" si="19"/>
        <v>25.82</v>
      </c>
      <c r="L178" t="str">
        <f t="shared" si="20"/>
        <v>September</v>
      </c>
      <c r="M178">
        <f>YEAR(C178)</f>
        <v>2023</v>
      </c>
      <c r="N178">
        <v>224</v>
      </c>
      <c r="O178" t="str">
        <f>IF(N178&gt;=200,"Platinum",IF(N178&gt;=100,"Gold",IF(N178&gt;=50,"Silver","Regular")))</f>
        <v>Platinum</v>
      </c>
      <c r="P178" s="4" t="str">
        <f t="shared" si="15"/>
        <v>Saturday</v>
      </c>
      <c r="Q178" s="4" t="str">
        <f t="shared" si="16"/>
        <v>Medium Order</v>
      </c>
      <c r="R178" s="4" t="str">
        <f t="shared" si="17"/>
        <v>Weekend</v>
      </c>
      <c r="S178" s="4" t="str">
        <f t="shared" si="18"/>
        <v>Regular</v>
      </c>
    </row>
    <row r="179" spans="1:19" x14ac:dyDescent="0.3">
      <c r="A179">
        <v>4114</v>
      </c>
      <c r="B179" t="s">
        <v>20</v>
      </c>
      <c r="C179" s="1">
        <v>45342</v>
      </c>
      <c r="D179" t="s">
        <v>17</v>
      </c>
      <c r="E179" t="s">
        <v>36</v>
      </c>
      <c r="F179">
        <v>2</v>
      </c>
      <c r="G179">
        <v>16.190000000000001</v>
      </c>
      <c r="H179">
        <v>32.380000000000003</v>
      </c>
      <c r="I179" t="str">
        <f t="shared" si="14"/>
        <v>Medium</v>
      </c>
      <c r="J179">
        <v>6.48</v>
      </c>
      <c r="K179">
        <f t="shared" si="19"/>
        <v>25.900000000000002</v>
      </c>
      <c r="L179" t="str">
        <f t="shared" si="20"/>
        <v>February</v>
      </c>
      <c r="M179">
        <f>YEAR(C179)</f>
        <v>2024</v>
      </c>
      <c r="N179">
        <v>369</v>
      </c>
      <c r="O179" t="str">
        <f>IF(N179&gt;=200,"Platinum",IF(N179&gt;=100,"Gold",IF(N179&gt;=50,"Silver","Regular")))</f>
        <v>Platinum</v>
      </c>
      <c r="P179" s="4" t="str">
        <f t="shared" si="15"/>
        <v>Tuesday</v>
      </c>
      <c r="Q179" s="4" t="str">
        <f t="shared" si="16"/>
        <v>Small Order</v>
      </c>
      <c r="R179" s="4" t="str">
        <f t="shared" si="17"/>
        <v>Weekday</v>
      </c>
      <c r="S179" s="4" t="str">
        <f t="shared" si="18"/>
        <v>Regular</v>
      </c>
    </row>
    <row r="180" spans="1:19" x14ac:dyDescent="0.3">
      <c r="A180">
        <v>4362</v>
      </c>
      <c r="B180" t="s">
        <v>3</v>
      </c>
      <c r="C180" s="1">
        <v>45198</v>
      </c>
      <c r="D180" t="s">
        <v>23</v>
      </c>
      <c r="E180" t="s">
        <v>33</v>
      </c>
      <c r="F180">
        <v>2</v>
      </c>
      <c r="G180">
        <v>17.84</v>
      </c>
      <c r="H180">
        <v>35.68</v>
      </c>
      <c r="I180" t="str">
        <f t="shared" si="14"/>
        <v>Medium</v>
      </c>
      <c r="J180">
        <v>7.14</v>
      </c>
      <c r="K180">
        <f t="shared" si="19"/>
        <v>28.54</v>
      </c>
      <c r="L180" t="str">
        <f t="shared" si="20"/>
        <v>September</v>
      </c>
      <c r="M180">
        <f>YEAR(C180)</f>
        <v>2023</v>
      </c>
      <c r="N180">
        <v>350</v>
      </c>
      <c r="O180" t="str">
        <f>IF(N180&gt;=200,"Platinum",IF(N180&gt;=100,"Gold",IF(N180&gt;=50,"Silver","Regular")))</f>
        <v>Platinum</v>
      </c>
      <c r="P180" s="4" t="str">
        <f t="shared" si="15"/>
        <v>Friday</v>
      </c>
      <c r="Q180" s="4" t="str">
        <f t="shared" si="16"/>
        <v>Small Order</v>
      </c>
      <c r="R180" s="4" t="str">
        <f t="shared" si="17"/>
        <v>Weekday</v>
      </c>
      <c r="S180" s="4" t="str">
        <f t="shared" si="18"/>
        <v>Regular</v>
      </c>
    </row>
    <row r="181" spans="1:19" x14ac:dyDescent="0.3">
      <c r="A181">
        <v>2499</v>
      </c>
      <c r="B181" t="s">
        <v>0</v>
      </c>
      <c r="C181" s="1">
        <v>45149</v>
      </c>
      <c r="D181" t="s">
        <v>6</v>
      </c>
      <c r="E181" t="s">
        <v>37</v>
      </c>
      <c r="F181">
        <v>3</v>
      </c>
      <c r="G181">
        <v>13.16</v>
      </c>
      <c r="H181">
        <v>39.479999999999997</v>
      </c>
      <c r="I181" t="str">
        <f t="shared" si="14"/>
        <v>Medium</v>
      </c>
      <c r="J181">
        <v>7.9</v>
      </c>
      <c r="K181">
        <f t="shared" si="19"/>
        <v>31.58</v>
      </c>
      <c r="L181" t="str">
        <f t="shared" si="20"/>
        <v>August</v>
      </c>
      <c r="M181">
        <f>YEAR(C181)</f>
        <v>2023</v>
      </c>
      <c r="N181">
        <v>228</v>
      </c>
      <c r="O181" t="str">
        <f>IF(N181&gt;=200,"Platinum",IF(N181&gt;=100,"Gold",IF(N181&gt;=50,"Silver","Regular")))</f>
        <v>Platinum</v>
      </c>
      <c r="P181" s="4" t="str">
        <f t="shared" si="15"/>
        <v>Friday</v>
      </c>
      <c r="Q181" s="4" t="str">
        <f t="shared" si="16"/>
        <v>Medium Order</v>
      </c>
      <c r="R181" s="4" t="str">
        <f t="shared" si="17"/>
        <v>Weekday</v>
      </c>
      <c r="S181" s="4" t="str">
        <f t="shared" si="18"/>
        <v>Regular</v>
      </c>
    </row>
    <row r="182" spans="1:19" x14ac:dyDescent="0.3">
      <c r="A182">
        <v>5837</v>
      </c>
      <c r="B182" t="s">
        <v>8</v>
      </c>
      <c r="C182" s="1">
        <v>45162</v>
      </c>
      <c r="D182" t="s">
        <v>1</v>
      </c>
      <c r="E182" t="s">
        <v>30</v>
      </c>
      <c r="F182">
        <v>2</v>
      </c>
      <c r="G182">
        <v>20.190000000000001</v>
      </c>
      <c r="H182">
        <v>40.380000000000003</v>
      </c>
      <c r="I182" t="str">
        <f t="shared" si="14"/>
        <v>Medium</v>
      </c>
      <c r="J182">
        <v>8.08</v>
      </c>
      <c r="K182">
        <f t="shared" si="19"/>
        <v>32.300000000000004</v>
      </c>
      <c r="L182" t="str">
        <f t="shared" si="20"/>
        <v>August</v>
      </c>
      <c r="M182">
        <f>YEAR(C182)</f>
        <v>2023</v>
      </c>
      <c r="N182">
        <v>481</v>
      </c>
      <c r="O182" t="str">
        <f>IF(N182&gt;=200,"Platinum",IF(N182&gt;=100,"Gold",IF(N182&gt;=50,"Silver","Regular")))</f>
        <v>Platinum</v>
      </c>
      <c r="P182" s="4" t="str">
        <f t="shared" si="15"/>
        <v>Thursday</v>
      </c>
      <c r="Q182" s="4" t="str">
        <f t="shared" si="16"/>
        <v>Small Order</v>
      </c>
      <c r="R182" s="4" t="str">
        <f t="shared" si="17"/>
        <v>Weekday</v>
      </c>
      <c r="S182" s="4" t="str">
        <f t="shared" si="18"/>
        <v>Regular</v>
      </c>
    </row>
    <row r="183" spans="1:19" x14ac:dyDescent="0.3">
      <c r="A183">
        <v>6085</v>
      </c>
      <c r="B183" t="s">
        <v>8</v>
      </c>
      <c r="C183" s="1">
        <v>45503</v>
      </c>
      <c r="D183" t="s">
        <v>6</v>
      </c>
      <c r="E183" t="s">
        <v>7</v>
      </c>
      <c r="F183">
        <v>1</v>
      </c>
      <c r="G183">
        <v>20.29</v>
      </c>
      <c r="H183">
        <v>20.29</v>
      </c>
      <c r="I183" t="str">
        <f t="shared" si="14"/>
        <v>Low</v>
      </c>
      <c r="J183">
        <v>4.0599999999999996</v>
      </c>
      <c r="K183">
        <f t="shared" si="19"/>
        <v>16.23</v>
      </c>
      <c r="L183" t="str">
        <f t="shared" si="20"/>
        <v>July</v>
      </c>
      <c r="M183">
        <f>YEAR(C183)</f>
        <v>2024</v>
      </c>
      <c r="N183">
        <v>500</v>
      </c>
      <c r="O183" t="str">
        <f>IF(N183&gt;=200,"Platinum",IF(N183&gt;=100,"Gold",IF(N183&gt;=50,"Silver","Regular")))</f>
        <v>Platinum</v>
      </c>
      <c r="P183" s="4" t="str">
        <f t="shared" si="15"/>
        <v>Tuesday</v>
      </c>
      <c r="Q183" s="4" t="str">
        <f t="shared" si="16"/>
        <v>Small Order</v>
      </c>
      <c r="R183" s="4" t="str">
        <f t="shared" si="17"/>
        <v>Weekday</v>
      </c>
      <c r="S183" s="4" t="str">
        <f t="shared" si="18"/>
        <v>Regular</v>
      </c>
    </row>
    <row r="184" spans="1:19" x14ac:dyDescent="0.3">
      <c r="A184">
        <v>1434</v>
      </c>
      <c r="B184" t="s">
        <v>19</v>
      </c>
      <c r="C184" s="1">
        <v>45580</v>
      </c>
      <c r="D184" t="s">
        <v>16</v>
      </c>
      <c r="E184" t="s">
        <v>7</v>
      </c>
      <c r="F184">
        <v>2</v>
      </c>
      <c r="G184">
        <v>20.84</v>
      </c>
      <c r="H184">
        <v>41.68</v>
      </c>
      <c r="I184" t="str">
        <f t="shared" si="14"/>
        <v>Medium</v>
      </c>
      <c r="J184">
        <v>8.34</v>
      </c>
      <c r="K184">
        <f t="shared" si="19"/>
        <v>33.340000000000003</v>
      </c>
      <c r="L184" t="str">
        <f t="shared" si="20"/>
        <v>October</v>
      </c>
      <c r="M184">
        <f>YEAR(C184)</f>
        <v>2024</v>
      </c>
      <c r="N184">
        <v>431</v>
      </c>
      <c r="O184" t="str">
        <f>IF(N184&gt;=200,"Platinum",IF(N184&gt;=100,"Gold",IF(N184&gt;=50,"Silver","Regular")))</f>
        <v>Platinum</v>
      </c>
      <c r="P184" s="4" t="str">
        <f t="shared" si="15"/>
        <v>Tuesday</v>
      </c>
      <c r="Q184" s="4" t="str">
        <f t="shared" si="16"/>
        <v>Small Order</v>
      </c>
      <c r="R184" s="4" t="str">
        <f t="shared" si="17"/>
        <v>Weekday</v>
      </c>
      <c r="S184" s="4" t="str">
        <f t="shared" si="18"/>
        <v>Regular</v>
      </c>
    </row>
    <row r="185" spans="1:19" x14ac:dyDescent="0.3">
      <c r="A185">
        <v>7434</v>
      </c>
      <c r="B185" t="s">
        <v>31</v>
      </c>
      <c r="C185" s="1">
        <v>45525</v>
      </c>
      <c r="D185" t="s">
        <v>16</v>
      </c>
      <c r="E185" t="s">
        <v>32</v>
      </c>
      <c r="F185">
        <v>1</v>
      </c>
      <c r="G185">
        <v>21.79</v>
      </c>
      <c r="H185">
        <v>21.79</v>
      </c>
      <c r="I185" t="str">
        <f t="shared" si="14"/>
        <v>Low</v>
      </c>
      <c r="J185">
        <v>4.3600000000000003</v>
      </c>
      <c r="K185">
        <f t="shared" si="19"/>
        <v>17.43</v>
      </c>
      <c r="L185" t="str">
        <f t="shared" si="20"/>
        <v>August</v>
      </c>
      <c r="M185">
        <f>YEAR(C185)</f>
        <v>2024</v>
      </c>
      <c r="N185">
        <v>144</v>
      </c>
      <c r="O185" t="str">
        <f>IF(N185&gt;=200,"Platinum",IF(N185&gt;=100,"Gold",IF(N185&gt;=50,"Silver","Regular")))</f>
        <v>Gold</v>
      </c>
      <c r="P185" s="4" t="str">
        <f t="shared" si="15"/>
        <v>Wednesday</v>
      </c>
      <c r="Q185" s="4" t="str">
        <f t="shared" si="16"/>
        <v>Small Order</v>
      </c>
      <c r="R185" s="4" t="str">
        <f t="shared" si="17"/>
        <v>Weekday</v>
      </c>
      <c r="S185" s="4" t="str">
        <f t="shared" si="18"/>
        <v>Regular</v>
      </c>
    </row>
    <row r="186" spans="1:19" x14ac:dyDescent="0.3">
      <c r="A186">
        <v>8030</v>
      </c>
      <c r="B186" t="s">
        <v>3</v>
      </c>
      <c r="C186" s="1">
        <v>45801</v>
      </c>
      <c r="D186" t="s">
        <v>9</v>
      </c>
      <c r="E186" t="s">
        <v>12</v>
      </c>
      <c r="F186">
        <v>4</v>
      </c>
      <c r="G186">
        <v>5.46</v>
      </c>
      <c r="H186">
        <v>21.84</v>
      </c>
      <c r="I186" t="str">
        <f t="shared" si="14"/>
        <v>Low</v>
      </c>
      <c r="J186">
        <v>4.37</v>
      </c>
      <c r="K186">
        <f t="shared" si="19"/>
        <v>17.47</v>
      </c>
      <c r="L186" t="str">
        <f t="shared" si="20"/>
        <v>May</v>
      </c>
      <c r="M186">
        <f>YEAR(C186)</f>
        <v>2025</v>
      </c>
      <c r="N186">
        <v>446</v>
      </c>
      <c r="O186" t="str">
        <f>IF(N186&gt;=200,"Platinum",IF(N186&gt;=100,"Gold",IF(N186&gt;=50,"Silver","Regular")))</f>
        <v>Platinum</v>
      </c>
      <c r="P186" s="4" t="str">
        <f t="shared" si="15"/>
        <v>Saturday</v>
      </c>
      <c r="Q186" s="4" t="str">
        <f t="shared" si="16"/>
        <v>Medium Order</v>
      </c>
      <c r="R186" s="4" t="str">
        <f t="shared" si="17"/>
        <v>Weekend</v>
      </c>
      <c r="S186" s="4" t="str">
        <f t="shared" si="18"/>
        <v>Regular</v>
      </c>
    </row>
    <row r="187" spans="1:19" x14ac:dyDescent="0.3">
      <c r="A187">
        <v>7267</v>
      </c>
      <c r="B187" t="s">
        <v>8</v>
      </c>
      <c r="C187" s="1">
        <v>45626</v>
      </c>
      <c r="D187" t="s">
        <v>34</v>
      </c>
      <c r="E187" t="s">
        <v>10</v>
      </c>
      <c r="F187">
        <v>3</v>
      </c>
      <c r="G187">
        <v>7.33</v>
      </c>
      <c r="H187">
        <v>21.99</v>
      </c>
      <c r="I187" t="str">
        <f t="shared" si="14"/>
        <v>Low</v>
      </c>
      <c r="J187">
        <v>4.4000000000000004</v>
      </c>
      <c r="K187">
        <f t="shared" si="19"/>
        <v>17.589999999999996</v>
      </c>
      <c r="L187" t="str">
        <f t="shared" si="20"/>
        <v>November</v>
      </c>
      <c r="M187">
        <f>YEAR(C187)</f>
        <v>2024</v>
      </c>
      <c r="N187">
        <v>293</v>
      </c>
      <c r="O187" t="str">
        <f>IF(N187&gt;=200,"Platinum",IF(N187&gt;=100,"Gold",IF(N187&gt;=50,"Silver","Regular")))</f>
        <v>Platinum</v>
      </c>
      <c r="P187" s="4" t="str">
        <f t="shared" si="15"/>
        <v>Saturday</v>
      </c>
      <c r="Q187" s="4" t="str">
        <f t="shared" si="16"/>
        <v>Medium Order</v>
      </c>
      <c r="R187" s="4" t="str">
        <f t="shared" si="17"/>
        <v>Weekend</v>
      </c>
      <c r="S187" s="4" t="str">
        <f t="shared" si="18"/>
        <v>Regular</v>
      </c>
    </row>
    <row r="188" spans="1:19" x14ac:dyDescent="0.3">
      <c r="A188">
        <v>5399</v>
      </c>
      <c r="B188" t="s">
        <v>19</v>
      </c>
      <c r="C188" s="1">
        <v>45395</v>
      </c>
      <c r="D188" t="s">
        <v>23</v>
      </c>
      <c r="E188" t="s">
        <v>21</v>
      </c>
      <c r="F188">
        <v>1</v>
      </c>
      <c r="G188">
        <v>22.04</v>
      </c>
      <c r="H188">
        <v>22.04</v>
      </c>
      <c r="I188" t="str">
        <f t="shared" si="14"/>
        <v>Low</v>
      </c>
      <c r="J188">
        <v>4.41</v>
      </c>
      <c r="K188">
        <f t="shared" si="19"/>
        <v>17.63</v>
      </c>
      <c r="L188" t="str">
        <f t="shared" si="20"/>
        <v>April</v>
      </c>
      <c r="M188">
        <f>YEAR(C188)</f>
        <v>2024</v>
      </c>
      <c r="N188">
        <v>299</v>
      </c>
      <c r="O188" t="str">
        <f>IF(N188&gt;=200,"Platinum",IF(N188&gt;=100,"Gold",IF(N188&gt;=50,"Silver","Regular")))</f>
        <v>Platinum</v>
      </c>
      <c r="P188" s="4" t="str">
        <f t="shared" si="15"/>
        <v>Saturday</v>
      </c>
      <c r="Q188" s="4" t="str">
        <f t="shared" si="16"/>
        <v>Small Order</v>
      </c>
      <c r="R188" s="4" t="str">
        <f t="shared" si="17"/>
        <v>Weekend</v>
      </c>
      <c r="S188" s="4" t="str">
        <f t="shared" si="18"/>
        <v>Regular</v>
      </c>
    </row>
    <row r="189" spans="1:19" x14ac:dyDescent="0.3">
      <c r="A189">
        <v>2317</v>
      </c>
      <c r="B189" t="s">
        <v>31</v>
      </c>
      <c r="C189" s="1">
        <v>45609</v>
      </c>
      <c r="D189" t="s">
        <v>24</v>
      </c>
      <c r="E189" t="s">
        <v>35</v>
      </c>
      <c r="F189">
        <v>2</v>
      </c>
      <c r="G189">
        <v>11.37</v>
      </c>
      <c r="H189">
        <v>22.74</v>
      </c>
      <c r="I189" t="str">
        <f t="shared" si="14"/>
        <v>Low</v>
      </c>
      <c r="J189">
        <v>4.55</v>
      </c>
      <c r="K189">
        <f t="shared" si="19"/>
        <v>18.189999999999998</v>
      </c>
      <c r="L189" t="str">
        <f t="shared" si="20"/>
        <v>November</v>
      </c>
      <c r="M189">
        <f>YEAR(C189)</f>
        <v>2024</v>
      </c>
      <c r="N189">
        <v>209</v>
      </c>
      <c r="O189" t="str">
        <f>IF(N189&gt;=200,"Platinum",IF(N189&gt;=100,"Gold",IF(N189&gt;=50,"Silver","Regular")))</f>
        <v>Platinum</v>
      </c>
      <c r="P189" s="4" t="str">
        <f t="shared" si="15"/>
        <v>Wednesday</v>
      </c>
      <c r="Q189" s="4" t="str">
        <f t="shared" si="16"/>
        <v>Small Order</v>
      </c>
      <c r="R189" s="4" t="str">
        <f t="shared" si="17"/>
        <v>Weekday</v>
      </c>
      <c r="S189" s="4" t="str">
        <f t="shared" si="18"/>
        <v>Regular</v>
      </c>
    </row>
    <row r="190" spans="1:19" x14ac:dyDescent="0.3">
      <c r="A190">
        <v>9947</v>
      </c>
      <c r="B190" t="s">
        <v>25</v>
      </c>
      <c r="C190" s="1">
        <v>45766</v>
      </c>
      <c r="D190" t="s">
        <v>27</v>
      </c>
      <c r="E190" t="s">
        <v>32</v>
      </c>
      <c r="F190">
        <v>1</v>
      </c>
      <c r="G190">
        <v>23.29</v>
      </c>
      <c r="H190">
        <v>23.29</v>
      </c>
      <c r="I190" t="str">
        <f t="shared" si="14"/>
        <v>Low</v>
      </c>
      <c r="J190">
        <v>4.66</v>
      </c>
      <c r="K190">
        <f t="shared" si="19"/>
        <v>18.63</v>
      </c>
      <c r="L190" t="str">
        <f t="shared" si="20"/>
        <v>April</v>
      </c>
      <c r="M190">
        <f>YEAR(C190)</f>
        <v>2025</v>
      </c>
      <c r="N190">
        <v>336</v>
      </c>
      <c r="O190" t="str">
        <f>IF(N190&gt;=200,"Platinum",IF(N190&gt;=100,"Gold",IF(N190&gt;=50,"Silver","Regular")))</f>
        <v>Platinum</v>
      </c>
      <c r="P190" s="4" t="str">
        <f t="shared" si="15"/>
        <v>Saturday</v>
      </c>
      <c r="Q190" s="4" t="str">
        <f t="shared" si="16"/>
        <v>Small Order</v>
      </c>
      <c r="R190" s="4" t="str">
        <f t="shared" si="17"/>
        <v>Weekend</v>
      </c>
      <c r="S190" s="4" t="str">
        <f t="shared" si="18"/>
        <v>Regular</v>
      </c>
    </row>
    <row r="191" spans="1:19" x14ac:dyDescent="0.3">
      <c r="A191">
        <v>1072</v>
      </c>
      <c r="B191" t="s">
        <v>25</v>
      </c>
      <c r="C191" s="1">
        <v>45692</v>
      </c>
      <c r="D191" t="s">
        <v>16</v>
      </c>
      <c r="E191" t="s">
        <v>37</v>
      </c>
      <c r="F191">
        <v>3</v>
      </c>
      <c r="G191">
        <v>15.56</v>
      </c>
      <c r="H191">
        <v>46.68</v>
      </c>
      <c r="I191" t="str">
        <f t="shared" si="14"/>
        <v>Medium</v>
      </c>
      <c r="J191">
        <v>9.34</v>
      </c>
      <c r="K191">
        <f t="shared" si="19"/>
        <v>37.340000000000003</v>
      </c>
      <c r="L191" t="str">
        <f t="shared" si="20"/>
        <v>February</v>
      </c>
      <c r="M191">
        <f>YEAR(C191)</f>
        <v>2025</v>
      </c>
      <c r="N191">
        <v>272</v>
      </c>
      <c r="O191" t="str">
        <f>IF(N191&gt;=200,"Platinum",IF(N191&gt;=100,"Gold",IF(N191&gt;=50,"Silver","Regular")))</f>
        <v>Platinum</v>
      </c>
      <c r="P191" s="4" t="str">
        <f t="shared" si="15"/>
        <v>Tuesday</v>
      </c>
      <c r="Q191" s="4" t="str">
        <f t="shared" si="16"/>
        <v>Medium Order</v>
      </c>
      <c r="R191" s="4" t="str">
        <f t="shared" si="17"/>
        <v>Weekday</v>
      </c>
      <c r="S191" s="4" t="str">
        <f t="shared" si="18"/>
        <v>Regular</v>
      </c>
    </row>
    <row r="192" spans="1:19" x14ac:dyDescent="0.3">
      <c r="A192">
        <v>1832</v>
      </c>
      <c r="B192" t="s">
        <v>20</v>
      </c>
      <c r="C192" s="1">
        <v>45216</v>
      </c>
      <c r="D192" t="s">
        <v>9</v>
      </c>
      <c r="E192" t="s">
        <v>35</v>
      </c>
      <c r="F192">
        <v>3</v>
      </c>
      <c r="G192">
        <v>7.83</v>
      </c>
      <c r="H192">
        <v>23.49</v>
      </c>
      <c r="I192" t="str">
        <f t="shared" si="14"/>
        <v>Low</v>
      </c>
      <c r="J192">
        <v>4.7</v>
      </c>
      <c r="K192">
        <f t="shared" si="19"/>
        <v>18.79</v>
      </c>
      <c r="L192" t="str">
        <f t="shared" si="20"/>
        <v>October</v>
      </c>
      <c r="M192">
        <f>YEAR(C192)</f>
        <v>2023</v>
      </c>
      <c r="N192">
        <v>41</v>
      </c>
      <c r="O192" t="str">
        <f>IF(N192&gt;=200,"Platinum",IF(N192&gt;=100,"Gold",IF(N192&gt;=50,"Silver","Regular")))</f>
        <v>Regular</v>
      </c>
      <c r="P192" s="4" t="str">
        <f t="shared" si="15"/>
        <v>Tuesday</v>
      </c>
      <c r="Q192" s="4" t="str">
        <f t="shared" si="16"/>
        <v>Medium Order</v>
      </c>
      <c r="R192" s="4" t="str">
        <f t="shared" si="17"/>
        <v>Weekday</v>
      </c>
      <c r="S192" s="4" t="str">
        <f t="shared" si="18"/>
        <v>Regular</v>
      </c>
    </row>
    <row r="193" spans="1:19" x14ac:dyDescent="0.3">
      <c r="A193">
        <v>6129</v>
      </c>
      <c r="B193" t="s">
        <v>8</v>
      </c>
      <c r="C193" s="1">
        <v>45592</v>
      </c>
      <c r="D193" t="s">
        <v>6</v>
      </c>
      <c r="E193" t="s">
        <v>30</v>
      </c>
      <c r="F193">
        <v>3</v>
      </c>
      <c r="G193">
        <v>16.16</v>
      </c>
      <c r="H193">
        <v>48.48</v>
      </c>
      <c r="I193" t="str">
        <f t="shared" si="14"/>
        <v>Medium</v>
      </c>
      <c r="J193">
        <v>9.6999999999999993</v>
      </c>
      <c r="K193">
        <f t="shared" si="19"/>
        <v>38.78</v>
      </c>
      <c r="L193" t="str">
        <f t="shared" si="20"/>
        <v>October</v>
      </c>
      <c r="M193">
        <f>YEAR(C193)</f>
        <v>2024</v>
      </c>
      <c r="N193">
        <v>210</v>
      </c>
      <c r="O193" t="str">
        <f>IF(N193&gt;=200,"Platinum",IF(N193&gt;=100,"Gold",IF(N193&gt;=50,"Silver","Regular")))</f>
        <v>Platinum</v>
      </c>
      <c r="P193" s="4" t="str">
        <f t="shared" si="15"/>
        <v>Sunday</v>
      </c>
      <c r="Q193" s="4" t="str">
        <f t="shared" si="16"/>
        <v>Medium Order</v>
      </c>
      <c r="R193" s="4" t="str">
        <f t="shared" si="17"/>
        <v>Weekend</v>
      </c>
      <c r="S193" s="4" t="str">
        <f t="shared" si="18"/>
        <v>Regular</v>
      </c>
    </row>
    <row r="194" spans="1:19" x14ac:dyDescent="0.3">
      <c r="A194">
        <v>4555</v>
      </c>
      <c r="B194" t="s">
        <v>31</v>
      </c>
      <c r="C194" s="1">
        <v>45517</v>
      </c>
      <c r="D194" t="s">
        <v>34</v>
      </c>
      <c r="E194" t="s">
        <v>37</v>
      </c>
      <c r="F194">
        <v>1</v>
      </c>
      <c r="G194">
        <v>24.74</v>
      </c>
      <c r="H194">
        <v>24.74</v>
      </c>
      <c r="I194" t="str">
        <f t="shared" ref="I194:I257" si="21">IF(J194=0,"No Discount",IF(J194&lt;=5,"Low",IF(J194&lt;=10,"Medium",IF(J194&lt;=20,"High","Very High"))))</f>
        <v>Low</v>
      </c>
      <c r="J194">
        <v>4.95</v>
      </c>
      <c r="K194">
        <f t="shared" si="19"/>
        <v>19.79</v>
      </c>
      <c r="L194" t="str">
        <f t="shared" si="20"/>
        <v>August</v>
      </c>
      <c r="M194">
        <f>YEAR(C194)</f>
        <v>2024</v>
      </c>
      <c r="N194">
        <v>290</v>
      </c>
      <c r="O194" t="str">
        <f>IF(N194&gt;=200,"Platinum",IF(N194&gt;=100,"Gold",IF(N194&gt;=50,"Silver","Regular")))</f>
        <v>Platinum</v>
      </c>
      <c r="P194" s="4" t="str">
        <f t="shared" ref="P194:P257" si="22">TEXT(C194,"dddd")</f>
        <v>Tuesday</v>
      </c>
      <c r="Q194" s="4" t="str">
        <f t="shared" ref="Q194:Q257" si="23">IF(F194&lt;=2,"Small Order",IF(F194&lt;=5,"Medium Order",IF(F194&lt;=10,"Large Order","Bulk Order")))</f>
        <v>Small Order</v>
      </c>
      <c r="R194" s="4" t="str">
        <f t="shared" ref="R194:R257" si="24">IF(WEEKDAY(C194,2)&gt;5,"Weekend","Weekday")</f>
        <v>Weekday</v>
      </c>
      <c r="S194" s="4" t="str">
        <f t="shared" ref="S194:S257" si="25">IF(K194&gt;=100,"High Value","Regular")</f>
        <v>Regular</v>
      </c>
    </row>
    <row r="195" spans="1:19" x14ac:dyDescent="0.3">
      <c r="A195">
        <v>7560</v>
      </c>
      <c r="B195" t="s">
        <v>20</v>
      </c>
      <c r="C195" s="1">
        <v>45551</v>
      </c>
      <c r="D195" t="s">
        <v>24</v>
      </c>
      <c r="E195" t="s">
        <v>30</v>
      </c>
      <c r="F195">
        <v>1</v>
      </c>
      <c r="G195">
        <v>25.69</v>
      </c>
      <c r="H195">
        <v>25.69</v>
      </c>
      <c r="I195" t="str">
        <f t="shared" si="21"/>
        <v>Medium</v>
      </c>
      <c r="J195">
        <v>5.14</v>
      </c>
      <c r="K195">
        <f t="shared" ref="K195:K258" si="26">MAX(0,H195-J195)</f>
        <v>20.55</v>
      </c>
      <c r="L195" t="str">
        <f t="shared" ref="L195:L258" si="27">TEXT(C195,"mmmm")</f>
        <v>September</v>
      </c>
      <c r="M195">
        <f>YEAR(C195)</f>
        <v>2024</v>
      </c>
      <c r="N195">
        <v>234</v>
      </c>
      <c r="O195" t="str">
        <f>IF(N195&gt;=200,"Platinum",IF(N195&gt;=100,"Gold",IF(N195&gt;=50,"Silver","Regular")))</f>
        <v>Platinum</v>
      </c>
      <c r="P195" s="4" t="str">
        <f t="shared" si="22"/>
        <v>Monday</v>
      </c>
      <c r="Q195" s="4" t="str">
        <f t="shared" si="23"/>
        <v>Small Order</v>
      </c>
      <c r="R195" s="4" t="str">
        <f t="shared" si="24"/>
        <v>Weekday</v>
      </c>
      <c r="S195" s="4" t="str">
        <f t="shared" si="25"/>
        <v>Regular</v>
      </c>
    </row>
    <row r="196" spans="1:19" x14ac:dyDescent="0.3">
      <c r="A196">
        <v>8994</v>
      </c>
      <c r="B196" t="s">
        <v>19</v>
      </c>
      <c r="C196" s="1">
        <v>45822</v>
      </c>
      <c r="D196" t="s">
        <v>16</v>
      </c>
      <c r="E196" t="s">
        <v>21</v>
      </c>
      <c r="F196">
        <v>2</v>
      </c>
      <c r="G196">
        <v>12.97</v>
      </c>
      <c r="H196">
        <v>25.94</v>
      </c>
      <c r="I196" t="str">
        <f t="shared" si="21"/>
        <v>Medium</v>
      </c>
      <c r="J196">
        <v>5.19</v>
      </c>
      <c r="K196">
        <f t="shared" si="26"/>
        <v>20.75</v>
      </c>
      <c r="L196" t="str">
        <f t="shared" si="27"/>
        <v>June</v>
      </c>
      <c r="M196">
        <f>YEAR(C196)</f>
        <v>2025</v>
      </c>
      <c r="N196">
        <v>401</v>
      </c>
      <c r="O196" t="str">
        <f>IF(N196&gt;=200,"Platinum",IF(N196&gt;=100,"Gold",IF(N196&gt;=50,"Silver","Regular")))</f>
        <v>Platinum</v>
      </c>
      <c r="P196" s="4" t="str">
        <f t="shared" si="22"/>
        <v>Saturday</v>
      </c>
      <c r="Q196" s="4" t="str">
        <f t="shared" si="23"/>
        <v>Small Order</v>
      </c>
      <c r="R196" s="4" t="str">
        <f t="shared" si="24"/>
        <v>Weekend</v>
      </c>
      <c r="S196" s="4" t="str">
        <f t="shared" si="25"/>
        <v>Regular</v>
      </c>
    </row>
    <row r="197" spans="1:19" x14ac:dyDescent="0.3">
      <c r="A197">
        <v>3851</v>
      </c>
      <c r="B197" t="s">
        <v>8</v>
      </c>
      <c r="C197" s="1">
        <v>45623</v>
      </c>
      <c r="D197" t="s">
        <v>1</v>
      </c>
      <c r="E197" t="s">
        <v>10</v>
      </c>
      <c r="F197">
        <v>3</v>
      </c>
      <c r="G197">
        <v>17.46</v>
      </c>
      <c r="H197">
        <v>52.38</v>
      </c>
      <c r="I197" t="str">
        <f t="shared" si="21"/>
        <v>High</v>
      </c>
      <c r="J197">
        <v>10.48</v>
      </c>
      <c r="K197">
        <f t="shared" si="26"/>
        <v>41.900000000000006</v>
      </c>
      <c r="L197" t="str">
        <f t="shared" si="27"/>
        <v>November</v>
      </c>
      <c r="M197">
        <f>YEAR(C197)</f>
        <v>2024</v>
      </c>
      <c r="N197">
        <v>387</v>
      </c>
      <c r="O197" t="str">
        <f>IF(N197&gt;=200,"Platinum",IF(N197&gt;=100,"Gold",IF(N197&gt;=50,"Silver","Regular")))</f>
        <v>Platinum</v>
      </c>
      <c r="P197" s="4" t="str">
        <f t="shared" si="22"/>
        <v>Wednesday</v>
      </c>
      <c r="Q197" s="4" t="str">
        <f t="shared" si="23"/>
        <v>Medium Order</v>
      </c>
      <c r="R197" s="4" t="str">
        <f t="shared" si="24"/>
        <v>Weekday</v>
      </c>
      <c r="S197" s="4" t="str">
        <f t="shared" si="25"/>
        <v>Regular</v>
      </c>
    </row>
    <row r="198" spans="1:19" x14ac:dyDescent="0.3">
      <c r="A198">
        <v>7201</v>
      </c>
      <c r="B198" t="s">
        <v>31</v>
      </c>
      <c r="C198" s="1">
        <v>45206</v>
      </c>
      <c r="D198" t="s">
        <v>27</v>
      </c>
      <c r="E198" t="s">
        <v>22</v>
      </c>
      <c r="F198">
        <v>2</v>
      </c>
      <c r="G198">
        <v>13.22</v>
      </c>
      <c r="H198">
        <v>26.44</v>
      </c>
      <c r="I198" t="str">
        <f t="shared" si="21"/>
        <v>Medium</v>
      </c>
      <c r="J198">
        <v>5.29</v>
      </c>
      <c r="K198">
        <f t="shared" si="26"/>
        <v>21.150000000000002</v>
      </c>
      <c r="L198" t="str">
        <f t="shared" si="27"/>
        <v>October</v>
      </c>
      <c r="M198">
        <f>YEAR(C198)</f>
        <v>2023</v>
      </c>
      <c r="N198">
        <v>142</v>
      </c>
      <c r="O198" t="str">
        <f>IF(N198&gt;=200,"Platinum",IF(N198&gt;=100,"Gold",IF(N198&gt;=50,"Silver","Regular")))</f>
        <v>Gold</v>
      </c>
      <c r="P198" s="4" t="str">
        <f t="shared" si="22"/>
        <v>Saturday</v>
      </c>
      <c r="Q198" s="4" t="str">
        <f t="shared" si="23"/>
        <v>Small Order</v>
      </c>
      <c r="R198" s="4" t="str">
        <f t="shared" si="24"/>
        <v>Weekend</v>
      </c>
      <c r="S198" s="4" t="str">
        <f t="shared" si="25"/>
        <v>Regular</v>
      </c>
    </row>
    <row r="199" spans="1:19" x14ac:dyDescent="0.3">
      <c r="A199">
        <v>6272</v>
      </c>
      <c r="B199" t="s">
        <v>8</v>
      </c>
      <c r="C199" s="1">
        <v>45820</v>
      </c>
      <c r="D199" t="s">
        <v>11</v>
      </c>
      <c r="E199" t="s">
        <v>21</v>
      </c>
      <c r="F199">
        <v>2</v>
      </c>
      <c r="G199">
        <v>26.84</v>
      </c>
      <c r="H199">
        <v>53.68</v>
      </c>
      <c r="I199" t="str">
        <f t="shared" si="21"/>
        <v>High</v>
      </c>
      <c r="J199">
        <v>10.74</v>
      </c>
      <c r="K199">
        <f t="shared" si="26"/>
        <v>42.94</v>
      </c>
      <c r="L199" t="str">
        <f t="shared" si="27"/>
        <v>June</v>
      </c>
      <c r="M199">
        <f>YEAR(C199)</f>
        <v>2025</v>
      </c>
      <c r="N199">
        <v>301</v>
      </c>
      <c r="O199" t="str">
        <f>IF(N199&gt;=200,"Platinum",IF(N199&gt;=100,"Gold",IF(N199&gt;=50,"Silver","Regular")))</f>
        <v>Platinum</v>
      </c>
      <c r="P199" s="4" t="str">
        <f t="shared" si="22"/>
        <v>Thursday</v>
      </c>
      <c r="Q199" s="4" t="str">
        <f t="shared" si="23"/>
        <v>Small Order</v>
      </c>
      <c r="R199" s="4" t="str">
        <f t="shared" si="24"/>
        <v>Weekday</v>
      </c>
      <c r="S199" s="4" t="str">
        <f t="shared" si="25"/>
        <v>Regular</v>
      </c>
    </row>
    <row r="200" spans="1:19" x14ac:dyDescent="0.3">
      <c r="A200">
        <v>6325</v>
      </c>
      <c r="B200" t="s">
        <v>3</v>
      </c>
      <c r="C200" s="1">
        <v>45659</v>
      </c>
      <c r="D200" t="s">
        <v>16</v>
      </c>
      <c r="E200" t="s">
        <v>37</v>
      </c>
      <c r="F200">
        <v>2</v>
      </c>
      <c r="G200">
        <v>28.99</v>
      </c>
      <c r="H200">
        <v>57.98</v>
      </c>
      <c r="I200" t="str">
        <f t="shared" si="21"/>
        <v>High</v>
      </c>
      <c r="J200">
        <v>11.6</v>
      </c>
      <c r="K200">
        <f t="shared" si="26"/>
        <v>46.379999999999995</v>
      </c>
      <c r="L200" t="str">
        <f t="shared" si="27"/>
        <v>January</v>
      </c>
      <c r="M200">
        <f>YEAR(C200)</f>
        <v>2025</v>
      </c>
      <c r="N200">
        <v>459</v>
      </c>
      <c r="O200" t="str">
        <f>IF(N200&gt;=200,"Platinum",IF(N200&gt;=100,"Gold",IF(N200&gt;=50,"Silver","Regular")))</f>
        <v>Platinum</v>
      </c>
      <c r="P200" s="4" t="str">
        <f t="shared" si="22"/>
        <v>Thursday</v>
      </c>
      <c r="Q200" s="4" t="str">
        <f t="shared" si="23"/>
        <v>Small Order</v>
      </c>
      <c r="R200" s="4" t="str">
        <f t="shared" si="24"/>
        <v>Weekday</v>
      </c>
      <c r="S200" s="4" t="str">
        <f t="shared" si="25"/>
        <v>Regular</v>
      </c>
    </row>
    <row r="201" spans="1:19" x14ac:dyDescent="0.3">
      <c r="A201">
        <v>8325</v>
      </c>
      <c r="B201" t="s">
        <v>0</v>
      </c>
      <c r="C201" s="1">
        <v>45177</v>
      </c>
      <c r="D201" t="s">
        <v>11</v>
      </c>
      <c r="E201" t="s">
        <v>26</v>
      </c>
      <c r="F201">
        <v>3</v>
      </c>
      <c r="G201">
        <v>9.7799999999999994</v>
      </c>
      <c r="H201">
        <v>29.34</v>
      </c>
      <c r="I201" t="str">
        <f t="shared" si="21"/>
        <v>Medium</v>
      </c>
      <c r="J201">
        <v>5.87</v>
      </c>
      <c r="K201">
        <f t="shared" si="26"/>
        <v>23.47</v>
      </c>
      <c r="L201" t="str">
        <f t="shared" si="27"/>
        <v>September</v>
      </c>
      <c r="M201">
        <f>YEAR(C201)</f>
        <v>2023</v>
      </c>
      <c r="N201">
        <v>248</v>
      </c>
      <c r="O201" t="str">
        <f>IF(N201&gt;=200,"Platinum",IF(N201&gt;=100,"Gold",IF(N201&gt;=50,"Silver","Regular")))</f>
        <v>Platinum</v>
      </c>
      <c r="P201" s="4" t="str">
        <f t="shared" si="22"/>
        <v>Friday</v>
      </c>
      <c r="Q201" s="4" t="str">
        <f t="shared" si="23"/>
        <v>Medium Order</v>
      </c>
      <c r="R201" s="4" t="str">
        <f t="shared" si="24"/>
        <v>Weekday</v>
      </c>
      <c r="S201" s="4" t="str">
        <f t="shared" si="25"/>
        <v>Regular</v>
      </c>
    </row>
    <row r="202" spans="1:19" x14ac:dyDescent="0.3">
      <c r="A202">
        <v>1653</v>
      </c>
      <c r="B202" t="s">
        <v>0</v>
      </c>
      <c r="C202" s="1">
        <v>45843</v>
      </c>
      <c r="D202" t="s">
        <v>4</v>
      </c>
      <c r="E202" t="s">
        <v>10</v>
      </c>
      <c r="F202">
        <v>3</v>
      </c>
      <c r="G202">
        <v>9.8800000000000008</v>
      </c>
      <c r="H202">
        <v>29.64</v>
      </c>
      <c r="I202" t="str">
        <f t="shared" si="21"/>
        <v>Medium</v>
      </c>
      <c r="J202">
        <v>5.93</v>
      </c>
      <c r="K202">
        <f t="shared" si="26"/>
        <v>23.71</v>
      </c>
      <c r="L202" t="str">
        <f t="shared" si="27"/>
        <v>July</v>
      </c>
      <c r="M202">
        <f>YEAR(C202)</f>
        <v>2025</v>
      </c>
      <c r="N202">
        <v>308</v>
      </c>
      <c r="O202" t="str">
        <f>IF(N202&gt;=200,"Platinum",IF(N202&gt;=100,"Gold",IF(N202&gt;=50,"Silver","Regular")))</f>
        <v>Platinum</v>
      </c>
      <c r="P202" s="4" t="str">
        <f t="shared" si="22"/>
        <v>Saturday</v>
      </c>
      <c r="Q202" s="4" t="str">
        <f t="shared" si="23"/>
        <v>Medium Order</v>
      </c>
      <c r="R202" s="4" t="str">
        <f t="shared" si="24"/>
        <v>Weekend</v>
      </c>
      <c r="S202" s="4" t="str">
        <f t="shared" si="25"/>
        <v>Regular</v>
      </c>
    </row>
    <row r="203" spans="1:19" x14ac:dyDescent="0.3">
      <c r="A203">
        <v>7916</v>
      </c>
      <c r="B203" t="s">
        <v>0</v>
      </c>
      <c r="C203" s="1">
        <v>45608</v>
      </c>
      <c r="D203" t="s">
        <v>24</v>
      </c>
      <c r="E203" t="s">
        <v>14</v>
      </c>
      <c r="F203">
        <v>3</v>
      </c>
      <c r="G203">
        <v>10.73</v>
      </c>
      <c r="H203">
        <v>32.19</v>
      </c>
      <c r="I203" t="str">
        <f t="shared" si="21"/>
        <v>Medium</v>
      </c>
      <c r="J203">
        <v>6.44</v>
      </c>
      <c r="K203">
        <f t="shared" si="26"/>
        <v>25.749999999999996</v>
      </c>
      <c r="L203" t="str">
        <f t="shared" si="27"/>
        <v>November</v>
      </c>
      <c r="M203">
        <f>YEAR(C203)</f>
        <v>2024</v>
      </c>
      <c r="N203">
        <v>457</v>
      </c>
      <c r="O203" t="str">
        <f>IF(N203&gt;=200,"Platinum",IF(N203&gt;=100,"Gold",IF(N203&gt;=50,"Silver","Regular")))</f>
        <v>Platinum</v>
      </c>
      <c r="P203" s="4" t="str">
        <f t="shared" si="22"/>
        <v>Tuesday</v>
      </c>
      <c r="Q203" s="4" t="str">
        <f t="shared" si="23"/>
        <v>Medium Order</v>
      </c>
      <c r="R203" s="4" t="str">
        <f t="shared" si="24"/>
        <v>Weekday</v>
      </c>
      <c r="S203" s="4" t="str">
        <f t="shared" si="25"/>
        <v>Regular</v>
      </c>
    </row>
    <row r="204" spans="1:19" x14ac:dyDescent="0.3">
      <c r="A204">
        <v>4262</v>
      </c>
      <c r="B204" t="s">
        <v>19</v>
      </c>
      <c r="C204" s="1">
        <v>45259</v>
      </c>
      <c r="D204" t="s">
        <v>34</v>
      </c>
      <c r="E204" t="s">
        <v>7</v>
      </c>
      <c r="F204">
        <v>4</v>
      </c>
      <c r="G204">
        <v>16.420000000000002</v>
      </c>
      <c r="H204">
        <v>65.680000000000007</v>
      </c>
      <c r="I204" t="str">
        <f t="shared" si="21"/>
        <v>High</v>
      </c>
      <c r="J204">
        <v>13.14</v>
      </c>
      <c r="K204">
        <f t="shared" si="26"/>
        <v>52.540000000000006</v>
      </c>
      <c r="L204" t="str">
        <f t="shared" si="27"/>
        <v>November</v>
      </c>
      <c r="M204">
        <f>YEAR(C204)</f>
        <v>2023</v>
      </c>
      <c r="N204">
        <v>421</v>
      </c>
      <c r="O204" t="str">
        <f>IF(N204&gt;=200,"Platinum",IF(N204&gt;=100,"Gold",IF(N204&gt;=50,"Silver","Regular")))</f>
        <v>Platinum</v>
      </c>
      <c r="P204" s="4" t="str">
        <f t="shared" si="22"/>
        <v>Wednesday</v>
      </c>
      <c r="Q204" s="4" t="str">
        <f t="shared" si="23"/>
        <v>Medium Order</v>
      </c>
      <c r="R204" s="4" t="str">
        <f t="shared" si="24"/>
        <v>Weekday</v>
      </c>
      <c r="S204" s="4" t="str">
        <f t="shared" si="25"/>
        <v>Regular</v>
      </c>
    </row>
    <row r="205" spans="1:19" x14ac:dyDescent="0.3">
      <c r="A205">
        <v>7739</v>
      </c>
      <c r="B205" t="s">
        <v>20</v>
      </c>
      <c r="C205" s="1">
        <v>45154</v>
      </c>
      <c r="D205" t="s">
        <v>1</v>
      </c>
      <c r="E205" t="s">
        <v>10</v>
      </c>
      <c r="F205">
        <v>4</v>
      </c>
      <c r="G205">
        <v>8.56</v>
      </c>
      <c r="H205">
        <v>34.24</v>
      </c>
      <c r="I205" t="str">
        <f t="shared" si="21"/>
        <v>Medium</v>
      </c>
      <c r="J205">
        <v>6.85</v>
      </c>
      <c r="K205">
        <f t="shared" si="26"/>
        <v>27.39</v>
      </c>
      <c r="L205" t="str">
        <f t="shared" si="27"/>
        <v>August</v>
      </c>
      <c r="M205">
        <f>YEAR(C205)</f>
        <v>2023</v>
      </c>
      <c r="N205">
        <v>171</v>
      </c>
      <c r="O205" t="str">
        <f>IF(N205&gt;=200,"Platinum",IF(N205&gt;=100,"Gold",IF(N205&gt;=50,"Silver","Regular")))</f>
        <v>Gold</v>
      </c>
      <c r="P205" s="4" t="str">
        <f t="shared" si="22"/>
        <v>Wednesday</v>
      </c>
      <c r="Q205" s="4" t="str">
        <f t="shared" si="23"/>
        <v>Medium Order</v>
      </c>
      <c r="R205" s="4" t="str">
        <f t="shared" si="24"/>
        <v>Weekday</v>
      </c>
      <c r="S205" s="4" t="str">
        <f t="shared" si="25"/>
        <v>Regular</v>
      </c>
    </row>
    <row r="206" spans="1:19" x14ac:dyDescent="0.3">
      <c r="A206">
        <v>8575</v>
      </c>
      <c r="B206" t="s">
        <v>0</v>
      </c>
      <c r="C206" s="1">
        <v>45667</v>
      </c>
      <c r="D206" t="s">
        <v>24</v>
      </c>
      <c r="E206" t="s">
        <v>21</v>
      </c>
      <c r="F206">
        <v>2</v>
      </c>
      <c r="G206">
        <v>17.52</v>
      </c>
      <c r="H206">
        <v>35.04</v>
      </c>
      <c r="I206" t="str">
        <f t="shared" si="21"/>
        <v>Medium</v>
      </c>
      <c r="J206">
        <v>7.01</v>
      </c>
      <c r="K206">
        <f t="shared" si="26"/>
        <v>28.03</v>
      </c>
      <c r="L206" t="str">
        <f t="shared" si="27"/>
        <v>January</v>
      </c>
      <c r="M206">
        <f>YEAR(C206)</f>
        <v>2025</v>
      </c>
      <c r="N206">
        <v>437</v>
      </c>
      <c r="O206" t="str">
        <f>IF(N206&gt;=200,"Platinum",IF(N206&gt;=100,"Gold",IF(N206&gt;=50,"Silver","Regular")))</f>
        <v>Platinum</v>
      </c>
      <c r="P206" s="4" t="str">
        <f t="shared" si="22"/>
        <v>Friday</v>
      </c>
      <c r="Q206" s="4" t="str">
        <f t="shared" si="23"/>
        <v>Small Order</v>
      </c>
      <c r="R206" s="4" t="str">
        <f t="shared" si="24"/>
        <v>Weekday</v>
      </c>
      <c r="S206" s="4" t="str">
        <f t="shared" si="25"/>
        <v>Regular</v>
      </c>
    </row>
    <row r="207" spans="1:19" x14ac:dyDescent="0.3">
      <c r="A207">
        <v>2294</v>
      </c>
      <c r="B207" t="s">
        <v>8</v>
      </c>
      <c r="C207" s="1">
        <v>45542</v>
      </c>
      <c r="D207" t="s">
        <v>24</v>
      </c>
      <c r="E207" t="s">
        <v>30</v>
      </c>
      <c r="F207">
        <v>4</v>
      </c>
      <c r="G207">
        <v>17.670000000000002</v>
      </c>
      <c r="H207">
        <v>70.680000000000007</v>
      </c>
      <c r="I207" t="str">
        <f t="shared" si="21"/>
        <v>High</v>
      </c>
      <c r="J207">
        <v>14.14</v>
      </c>
      <c r="K207">
        <f t="shared" si="26"/>
        <v>56.540000000000006</v>
      </c>
      <c r="L207" t="str">
        <f t="shared" si="27"/>
        <v>September</v>
      </c>
      <c r="M207">
        <f>YEAR(C207)</f>
        <v>2024</v>
      </c>
      <c r="N207">
        <v>410</v>
      </c>
      <c r="O207" t="str">
        <f>IF(N207&gt;=200,"Platinum",IF(N207&gt;=100,"Gold",IF(N207&gt;=50,"Silver","Regular")))</f>
        <v>Platinum</v>
      </c>
      <c r="P207" s="4" t="str">
        <f t="shared" si="22"/>
        <v>Saturday</v>
      </c>
      <c r="Q207" s="4" t="str">
        <f t="shared" si="23"/>
        <v>Medium Order</v>
      </c>
      <c r="R207" s="4" t="str">
        <f t="shared" si="24"/>
        <v>Weekend</v>
      </c>
      <c r="S207" s="4" t="str">
        <f t="shared" si="25"/>
        <v>Regular</v>
      </c>
    </row>
    <row r="208" spans="1:19" x14ac:dyDescent="0.3">
      <c r="A208">
        <v>6238</v>
      </c>
      <c r="B208" t="s">
        <v>13</v>
      </c>
      <c r="C208" s="1">
        <v>45838</v>
      </c>
      <c r="D208" t="s">
        <v>11</v>
      </c>
      <c r="E208" t="s">
        <v>28</v>
      </c>
      <c r="F208">
        <v>3</v>
      </c>
      <c r="G208">
        <v>23.71</v>
      </c>
      <c r="H208">
        <v>71.13</v>
      </c>
      <c r="I208" t="str">
        <f t="shared" si="21"/>
        <v>High</v>
      </c>
      <c r="J208">
        <v>14.23</v>
      </c>
      <c r="K208">
        <f t="shared" si="26"/>
        <v>56.899999999999991</v>
      </c>
      <c r="L208" t="str">
        <f t="shared" si="27"/>
        <v>June</v>
      </c>
      <c r="M208">
        <f>YEAR(C208)</f>
        <v>2025</v>
      </c>
      <c r="N208">
        <v>230</v>
      </c>
      <c r="O208" t="str">
        <f>IF(N208&gt;=200,"Platinum",IF(N208&gt;=100,"Gold",IF(N208&gt;=50,"Silver","Regular")))</f>
        <v>Platinum</v>
      </c>
      <c r="P208" s="4" t="str">
        <f t="shared" si="22"/>
        <v>Monday</v>
      </c>
      <c r="Q208" s="4" t="str">
        <f t="shared" si="23"/>
        <v>Medium Order</v>
      </c>
      <c r="R208" s="4" t="str">
        <f t="shared" si="24"/>
        <v>Weekday</v>
      </c>
      <c r="S208" s="4" t="str">
        <f t="shared" si="25"/>
        <v>Regular</v>
      </c>
    </row>
    <row r="209" spans="1:19" x14ac:dyDescent="0.3">
      <c r="A209">
        <v>3838</v>
      </c>
      <c r="B209" t="s">
        <v>3</v>
      </c>
      <c r="C209" s="1">
        <v>45576</v>
      </c>
      <c r="D209" t="s">
        <v>6</v>
      </c>
      <c r="E209" t="s">
        <v>14</v>
      </c>
      <c r="F209">
        <v>3</v>
      </c>
      <c r="G209">
        <v>24.11</v>
      </c>
      <c r="H209">
        <v>72.33</v>
      </c>
      <c r="I209" t="str">
        <f t="shared" si="21"/>
        <v>High</v>
      </c>
      <c r="J209">
        <v>14.47</v>
      </c>
      <c r="K209">
        <f t="shared" si="26"/>
        <v>57.86</v>
      </c>
      <c r="L209" t="str">
        <f t="shared" si="27"/>
        <v>October</v>
      </c>
      <c r="M209">
        <f>YEAR(C209)</f>
        <v>2024</v>
      </c>
      <c r="N209">
        <v>93</v>
      </c>
      <c r="O209" t="str">
        <f>IF(N209&gt;=200,"Platinum",IF(N209&gt;=100,"Gold",IF(N209&gt;=50,"Silver","Regular")))</f>
        <v>Silver</v>
      </c>
      <c r="P209" s="4" t="str">
        <f t="shared" si="22"/>
        <v>Friday</v>
      </c>
      <c r="Q209" s="4" t="str">
        <f t="shared" si="23"/>
        <v>Medium Order</v>
      </c>
      <c r="R209" s="4" t="str">
        <f t="shared" si="24"/>
        <v>Weekday</v>
      </c>
      <c r="S209" s="4" t="str">
        <f t="shared" si="25"/>
        <v>Regular</v>
      </c>
    </row>
    <row r="210" spans="1:19" x14ac:dyDescent="0.3">
      <c r="A210">
        <v>4150</v>
      </c>
      <c r="B210" t="s">
        <v>20</v>
      </c>
      <c r="C210" s="1">
        <v>45692</v>
      </c>
      <c r="D210" t="s">
        <v>9</v>
      </c>
      <c r="E210" t="s">
        <v>2</v>
      </c>
      <c r="F210">
        <v>4</v>
      </c>
      <c r="G210">
        <v>9.26</v>
      </c>
      <c r="H210">
        <v>37.04</v>
      </c>
      <c r="I210" t="str">
        <f t="shared" si="21"/>
        <v>Medium</v>
      </c>
      <c r="J210">
        <v>7.41</v>
      </c>
      <c r="K210">
        <f t="shared" si="26"/>
        <v>29.63</v>
      </c>
      <c r="L210" t="str">
        <f t="shared" si="27"/>
        <v>February</v>
      </c>
      <c r="M210">
        <f>YEAR(C210)</f>
        <v>2025</v>
      </c>
      <c r="N210">
        <v>356</v>
      </c>
      <c r="O210" t="str">
        <f>IF(N210&gt;=200,"Platinum",IF(N210&gt;=100,"Gold",IF(N210&gt;=50,"Silver","Regular")))</f>
        <v>Platinum</v>
      </c>
      <c r="P210" s="4" t="str">
        <f t="shared" si="22"/>
        <v>Tuesday</v>
      </c>
      <c r="Q210" s="4" t="str">
        <f t="shared" si="23"/>
        <v>Medium Order</v>
      </c>
      <c r="R210" s="4" t="str">
        <f t="shared" si="24"/>
        <v>Weekday</v>
      </c>
      <c r="S210" s="4" t="str">
        <f t="shared" si="25"/>
        <v>Regular</v>
      </c>
    </row>
    <row r="211" spans="1:19" x14ac:dyDescent="0.3">
      <c r="A211">
        <v>3353</v>
      </c>
      <c r="B211" t="s">
        <v>0</v>
      </c>
      <c r="C211" s="1">
        <v>45387</v>
      </c>
      <c r="D211" t="s">
        <v>4</v>
      </c>
      <c r="E211" t="s">
        <v>35</v>
      </c>
      <c r="F211">
        <v>3</v>
      </c>
      <c r="G211">
        <v>12.88</v>
      </c>
      <c r="H211">
        <v>38.64</v>
      </c>
      <c r="I211" t="str">
        <f t="shared" si="21"/>
        <v>Medium</v>
      </c>
      <c r="J211">
        <v>7.73</v>
      </c>
      <c r="K211">
        <f t="shared" si="26"/>
        <v>30.91</v>
      </c>
      <c r="L211" t="str">
        <f t="shared" si="27"/>
        <v>April</v>
      </c>
      <c r="M211">
        <f>YEAR(C211)</f>
        <v>2024</v>
      </c>
      <c r="N211">
        <v>84</v>
      </c>
      <c r="O211" t="str">
        <f>IF(N211&gt;=200,"Platinum",IF(N211&gt;=100,"Gold",IF(N211&gt;=50,"Silver","Regular")))</f>
        <v>Silver</v>
      </c>
      <c r="P211" s="4" t="str">
        <f t="shared" si="22"/>
        <v>Friday</v>
      </c>
      <c r="Q211" s="4" t="str">
        <f t="shared" si="23"/>
        <v>Medium Order</v>
      </c>
      <c r="R211" s="4" t="str">
        <f t="shared" si="24"/>
        <v>Weekday</v>
      </c>
      <c r="S211" s="4" t="str">
        <f t="shared" si="25"/>
        <v>Regular</v>
      </c>
    </row>
    <row r="212" spans="1:19" x14ac:dyDescent="0.3">
      <c r="A212">
        <v>5342</v>
      </c>
      <c r="B212" t="s">
        <v>13</v>
      </c>
      <c r="C212" s="1">
        <v>45407</v>
      </c>
      <c r="D212" t="s">
        <v>27</v>
      </c>
      <c r="E212" t="s">
        <v>5</v>
      </c>
      <c r="F212">
        <v>3</v>
      </c>
      <c r="G212">
        <v>26.36</v>
      </c>
      <c r="H212">
        <v>79.08</v>
      </c>
      <c r="I212" t="str">
        <f t="shared" si="21"/>
        <v>High</v>
      </c>
      <c r="J212">
        <v>15.82</v>
      </c>
      <c r="K212">
        <f t="shared" si="26"/>
        <v>63.26</v>
      </c>
      <c r="L212" t="str">
        <f t="shared" si="27"/>
        <v>April</v>
      </c>
      <c r="M212">
        <f>YEAR(C212)</f>
        <v>2024</v>
      </c>
      <c r="N212">
        <v>357</v>
      </c>
      <c r="O212" t="str">
        <f>IF(N212&gt;=200,"Platinum",IF(N212&gt;=100,"Gold",IF(N212&gt;=50,"Silver","Regular")))</f>
        <v>Platinum</v>
      </c>
      <c r="P212" s="4" t="str">
        <f t="shared" si="22"/>
        <v>Thursday</v>
      </c>
      <c r="Q212" s="4" t="str">
        <f t="shared" si="23"/>
        <v>Medium Order</v>
      </c>
      <c r="R212" s="4" t="str">
        <f t="shared" si="24"/>
        <v>Weekday</v>
      </c>
      <c r="S212" s="4" t="str">
        <f t="shared" si="25"/>
        <v>Regular</v>
      </c>
    </row>
    <row r="213" spans="1:19" x14ac:dyDescent="0.3">
      <c r="A213">
        <v>3347</v>
      </c>
      <c r="B213" t="s">
        <v>0</v>
      </c>
      <c r="C213" s="1">
        <v>45657</v>
      </c>
      <c r="D213" t="s">
        <v>17</v>
      </c>
      <c r="E213" t="s">
        <v>5</v>
      </c>
      <c r="F213">
        <v>4</v>
      </c>
      <c r="G213">
        <v>10.210000000000001</v>
      </c>
      <c r="H213">
        <v>40.840000000000003</v>
      </c>
      <c r="I213" t="str">
        <f t="shared" si="21"/>
        <v>Medium</v>
      </c>
      <c r="J213">
        <v>8.17</v>
      </c>
      <c r="K213">
        <f t="shared" si="26"/>
        <v>32.67</v>
      </c>
      <c r="L213" t="str">
        <f t="shared" si="27"/>
        <v>December</v>
      </c>
      <c r="M213">
        <f>YEAR(C213)</f>
        <v>2024</v>
      </c>
      <c r="N213">
        <v>163</v>
      </c>
      <c r="O213" t="str">
        <f>IF(N213&gt;=200,"Platinum",IF(N213&gt;=100,"Gold",IF(N213&gt;=50,"Silver","Regular")))</f>
        <v>Gold</v>
      </c>
      <c r="P213" s="4" t="str">
        <f t="shared" si="22"/>
        <v>Tuesday</v>
      </c>
      <c r="Q213" s="4" t="str">
        <f t="shared" si="23"/>
        <v>Medium Order</v>
      </c>
      <c r="R213" s="4" t="str">
        <f t="shared" si="24"/>
        <v>Weekday</v>
      </c>
      <c r="S213" s="4" t="str">
        <f t="shared" si="25"/>
        <v>Regular</v>
      </c>
    </row>
    <row r="214" spans="1:19" x14ac:dyDescent="0.3">
      <c r="A214">
        <v>5067</v>
      </c>
      <c r="B214" t="s">
        <v>25</v>
      </c>
      <c r="C214" s="1">
        <v>45655</v>
      </c>
      <c r="D214" t="s">
        <v>17</v>
      </c>
      <c r="E214" t="s">
        <v>10</v>
      </c>
      <c r="F214">
        <v>4</v>
      </c>
      <c r="G214">
        <v>20.67</v>
      </c>
      <c r="H214">
        <v>82.68</v>
      </c>
      <c r="I214" t="str">
        <f t="shared" si="21"/>
        <v>High</v>
      </c>
      <c r="J214">
        <v>16.54</v>
      </c>
      <c r="K214">
        <f t="shared" si="26"/>
        <v>66.140000000000015</v>
      </c>
      <c r="L214" t="str">
        <f t="shared" si="27"/>
        <v>December</v>
      </c>
      <c r="M214">
        <f>YEAR(C214)</f>
        <v>2024</v>
      </c>
      <c r="N214">
        <v>153</v>
      </c>
      <c r="O214" t="str">
        <f>IF(N214&gt;=200,"Platinum",IF(N214&gt;=100,"Gold",IF(N214&gt;=50,"Silver","Regular")))</f>
        <v>Gold</v>
      </c>
      <c r="P214" s="4" t="str">
        <f t="shared" si="22"/>
        <v>Sunday</v>
      </c>
      <c r="Q214" s="4" t="str">
        <f t="shared" si="23"/>
        <v>Medium Order</v>
      </c>
      <c r="R214" s="4" t="str">
        <f t="shared" si="24"/>
        <v>Weekend</v>
      </c>
      <c r="S214" s="4" t="str">
        <f t="shared" si="25"/>
        <v>Regular</v>
      </c>
    </row>
    <row r="215" spans="1:19" x14ac:dyDescent="0.3">
      <c r="A215">
        <v>1711</v>
      </c>
      <c r="B215" t="s">
        <v>15</v>
      </c>
      <c r="C215" s="1">
        <v>45711</v>
      </c>
      <c r="D215" t="s">
        <v>6</v>
      </c>
      <c r="E215" t="s">
        <v>7</v>
      </c>
      <c r="F215">
        <v>2</v>
      </c>
      <c r="G215">
        <v>21.97</v>
      </c>
      <c r="H215">
        <v>43.94</v>
      </c>
      <c r="I215" t="str">
        <f t="shared" si="21"/>
        <v>Medium</v>
      </c>
      <c r="J215">
        <v>8.7899999999999991</v>
      </c>
      <c r="K215">
        <f t="shared" si="26"/>
        <v>35.15</v>
      </c>
      <c r="L215" t="str">
        <f t="shared" si="27"/>
        <v>February</v>
      </c>
      <c r="M215">
        <f>YEAR(C215)</f>
        <v>2025</v>
      </c>
      <c r="N215">
        <v>451</v>
      </c>
      <c r="O215" t="str">
        <f>IF(N215&gt;=200,"Platinum",IF(N215&gt;=100,"Gold",IF(N215&gt;=50,"Silver","Regular")))</f>
        <v>Platinum</v>
      </c>
      <c r="P215" s="4" t="str">
        <f t="shared" si="22"/>
        <v>Sunday</v>
      </c>
      <c r="Q215" s="4" t="str">
        <f t="shared" si="23"/>
        <v>Small Order</v>
      </c>
      <c r="R215" s="4" t="str">
        <f t="shared" si="24"/>
        <v>Weekend</v>
      </c>
      <c r="S215" s="4" t="str">
        <f t="shared" si="25"/>
        <v>Regular</v>
      </c>
    </row>
    <row r="216" spans="1:19" x14ac:dyDescent="0.3">
      <c r="A216">
        <v>7806</v>
      </c>
      <c r="B216" t="s">
        <v>25</v>
      </c>
      <c r="C216" s="1">
        <v>45474</v>
      </c>
      <c r="D216" t="s">
        <v>11</v>
      </c>
      <c r="E216" t="s">
        <v>21</v>
      </c>
      <c r="F216">
        <v>2</v>
      </c>
      <c r="G216">
        <v>21.97</v>
      </c>
      <c r="H216">
        <v>43.94</v>
      </c>
      <c r="I216" t="str">
        <f t="shared" si="21"/>
        <v>Medium</v>
      </c>
      <c r="J216">
        <v>8.7899999999999991</v>
      </c>
      <c r="K216">
        <f t="shared" si="26"/>
        <v>35.15</v>
      </c>
      <c r="L216" t="str">
        <f t="shared" si="27"/>
        <v>July</v>
      </c>
      <c r="M216">
        <f>YEAR(C216)</f>
        <v>2024</v>
      </c>
      <c r="N216">
        <v>105</v>
      </c>
      <c r="O216" t="str">
        <f>IF(N216&gt;=200,"Platinum",IF(N216&gt;=100,"Gold",IF(N216&gt;=50,"Silver","Regular")))</f>
        <v>Gold</v>
      </c>
      <c r="P216" s="4" t="str">
        <f t="shared" si="22"/>
        <v>Monday</v>
      </c>
      <c r="Q216" s="4" t="str">
        <f t="shared" si="23"/>
        <v>Small Order</v>
      </c>
      <c r="R216" s="4" t="str">
        <f t="shared" si="24"/>
        <v>Weekday</v>
      </c>
      <c r="S216" s="4" t="str">
        <f t="shared" si="25"/>
        <v>Regular</v>
      </c>
    </row>
    <row r="217" spans="1:19" x14ac:dyDescent="0.3">
      <c r="A217">
        <v>2858</v>
      </c>
      <c r="B217" t="s">
        <v>0</v>
      </c>
      <c r="C217" s="1">
        <v>45165</v>
      </c>
      <c r="D217" t="s">
        <v>9</v>
      </c>
      <c r="E217" t="s">
        <v>37</v>
      </c>
      <c r="F217">
        <v>2</v>
      </c>
      <c r="G217">
        <v>22.02</v>
      </c>
      <c r="H217">
        <v>44.04</v>
      </c>
      <c r="I217" t="str">
        <f t="shared" si="21"/>
        <v>Medium</v>
      </c>
      <c r="J217">
        <v>8.81</v>
      </c>
      <c r="K217">
        <f t="shared" si="26"/>
        <v>35.229999999999997</v>
      </c>
      <c r="L217" t="str">
        <f t="shared" si="27"/>
        <v>August</v>
      </c>
      <c r="M217">
        <f>YEAR(C217)</f>
        <v>2023</v>
      </c>
      <c r="N217">
        <v>143</v>
      </c>
      <c r="O217" t="str">
        <f>IF(N217&gt;=200,"Platinum",IF(N217&gt;=100,"Gold",IF(N217&gt;=50,"Silver","Regular")))</f>
        <v>Gold</v>
      </c>
      <c r="P217" s="4" t="str">
        <f t="shared" si="22"/>
        <v>Sunday</v>
      </c>
      <c r="Q217" s="4" t="str">
        <f t="shared" si="23"/>
        <v>Small Order</v>
      </c>
      <c r="R217" s="4" t="str">
        <f t="shared" si="24"/>
        <v>Weekend</v>
      </c>
      <c r="S217" s="4" t="str">
        <f t="shared" si="25"/>
        <v>Regular</v>
      </c>
    </row>
    <row r="218" spans="1:19" x14ac:dyDescent="0.3">
      <c r="A218">
        <v>4945</v>
      </c>
      <c r="B218" t="s">
        <v>31</v>
      </c>
      <c r="C218" s="1">
        <v>45531</v>
      </c>
      <c r="D218" t="s">
        <v>34</v>
      </c>
      <c r="E218" t="s">
        <v>33</v>
      </c>
      <c r="F218">
        <v>2</v>
      </c>
      <c r="G218">
        <v>22.32</v>
      </c>
      <c r="H218">
        <v>44.64</v>
      </c>
      <c r="I218" t="str">
        <f t="shared" si="21"/>
        <v>Medium</v>
      </c>
      <c r="J218">
        <v>8.93</v>
      </c>
      <c r="K218">
        <f t="shared" si="26"/>
        <v>35.71</v>
      </c>
      <c r="L218" t="str">
        <f t="shared" si="27"/>
        <v>August</v>
      </c>
      <c r="M218">
        <f>YEAR(C218)</f>
        <v>2024</v>
      </c>
      <c r="N218">
        <v>446</v>
      </c>
      <c r="O218" t="str">
        <f>IF(N218&gt;=200,"Platinum",IF(N218&gt;=100,"Gold",IF(N218&gt;=50,"Silver","Regular")))</f>
        <v>Platinum</v>
      </c>
      <c r="P218" s="4" t="str">
        <f t="shared" si="22"/>
        <v>Tuesday</v>
      </c>
      <c r="Q218" s="4" t="str">
        <f t="shared" si="23"/>
        <v>Small Order</v>
      </c>
      <c r="R218" s="4" t="str">
        <f t="shared" si="24"/>
        <v>Weekday</v>
      </c>
      <c r="S218" s="4" t="str">
        <f t="shared" si="25"/>
        <v>Regular</v>
      </c>
    </row>
    <row r="219" spans="1:19" x14ac:dyDescent="0.3">
      <c r="A219">
        <v>8242</v>
      </c>
      <c r="B219" t="s">
        <v>15</v>
      </c>
      <c r="C219" s="1">
        <v>45735</v>
      </c>
      <c r="D219" t="s">
        <v>4</v>
      </c>
      <c r="E219" t="s">
        <v>7</v>
      </c>
      <c r="F219">
        <v>2</v>
      </c>
      <c r="G219">
        <v>22.52</v>
      </c>
      <c r="H219">
        <v>45.04</v>
      </c>
      <c r="I219" t="str">
        <f t="shared" si="21"/>
        <v>Medium</v>
      </c>
      <c r="J219">
        <v>9.01</v>
      </c>
      <c r="K219">
        <f t="shared" si="26"/>
        <v>36.03</v>
      </c>
      <c r="L219" t="str">
        <f t="shared" si="27"/>
        <v>March</v>
      </c>
      <c r="M219">
        <f>YEAR(C219)</f>
        <v>2025</v>
      </c>
      <c r="N219">
        <v>287</v>
      </c>
      <c r="O219" t="str">
        <f>IF(N219&gt;=200,"Platinum",IF(N219&gt;=100,"Gold",IF(N219&gt;=50,"Silver","Regular")))</f>
        <v>Platinum</v>
      </c>
      <c r="P219" s="4" t="str">
        <f t="shared" si="22"/>
        <v>Wednesday</v>
      </c>
      <c r="Q219" s="4" t="str">
        <f t="shared" si="23"/>
        <v>Small Order</v>
      </c>
      <c r="R219" s="4" t="str">
        <f t="shared" si="24"/>
        <v>Weekday</v>
      </c>
      <c r="S219" s="4" t="str">
        <f t="shared" si="25"/>
        <v>Regular</v>
      </c>
    </row>
    <row r="220" spans="1:19" x14ac:dyDescent="0.3">
      <c r="A220">
        <v>4267</v>
      </c>
      <c r="B220" t="s">
        <v>49</v>
      </c>
      <c r="C220" s="1">
        <v>45732</v>
      </c>
      <c r="D220" t="s">
        <v>34</v>
      </c>
      <c r="E220" t="s">
        <v>26</v>
      </c>
      <c r="F220">
        <v>3</v>
      </c>
      <c r="G220">
        <v>15.08</v>
      </c>
      <c r="H220">
        <v>45.24</v>
      </c>
      <c r="I220" t="str">
        <f t="shared" si="21"/>
        <v>Medium</v>
      </c>
      <c r="J220">
        <v>9.0500000000000007</v>
      </c>
      <c r="K220">
        <f t="shared" si="26"/>
        <v>36.19</v>
      </c>
      <c r="L220" t="str">
        <f t="shared" si="27"/>
        <v>March</v>
      </c>
      <c r="M220">
        <f>M770</f>
        <v>2025</v>
      </c>
      <c r="N220">
        <v>389</v>
      </c>
      <c r="O220" t="str">
        <f>IF(N220&gt;=200,"Platinum",IF(N220&gt;=100,"Gold",IF(N220&gt;=50,"Silver","Regular")))</f>
        <v>Platinum</v>
      </c>
      <c r="P220" s="4" t="str">
        <f t="shared" si="22"/>
        <v>Sunday</v>
      </c>
      <c r="Q220" s="4" t="str">
        <f t="shared" si="23"/>
        <v>Medium Order</v>
      </c>
      <c r="R220" s="4" t="str">
        <f t="shared" si="24"/>
        <v>Weekend</v>
      </c>
      <c r="S220" s="4" t="str">
        <f t="shared" si="25"/>
        <v>Regular</v>
      </c>
    </row>
    <row r="221" spans="1:19" x14ac:dyDescent="0.3">
      <c r="A221">
        <v>8657</v>
      </c>
      <c r="B221" t="s">
        <v>3</v>
      </c>
      <c r="C221" s="1">
        <v>45859</v>
      </c>
      <c r="D221" t="s">
        <v>9</v>
      </c>
      <c r="E221" t="s">
        <v>22</v>
      </c>
      <c r="F221">
        <v>2</v>
      </c>
      <c r="G221">
        <v>24.12</v>
      </c>
      <c r="H221">
        <v>48.24</v>
      </c>
      <c r="I221" t="str">
        <f t="shared" si="21"/>
        <v>Medium</v>
      </c>
      <c r="J221">
        <v>9.65</v>
      </c>
      <c r="K221">
        <f t="shared" si="26"/>
        <v>38.590000000000003</v>
      </c>
      <c r="L221" t="str">
        <f t="shared" si="27"/>
        <v>July</v>
      </c>
      <c r="M221">
        <f>YEAR(C221)</f>
        <v>2025</v>
      </c>
      <c r="N221">
        <v>322</v>
      </c>
      <c r="O221" t="str">
        <f>IF(N221&gt;=200,"Platinum",IF(N221&gt;=100,"Gold",IF(N221&gt;=50,"Silver","Regular")))</f>
        <v>Platinum</v>
      </c>
      <c r="P221" s="4" t="str">
        <f t="shared" si="22"/>
        <v>Monday</v>
      </c>
      <c r="Q221" s="4" t="str">
        <f t="shared" si="23"/>
        <v>Small Order</v>
      </c>
      <c r="R221" s="4" t="str">
        <f t="shared" si="24"/>
        <v>Weekday</v>
      </c>
      <c r="S221" s="4" t="str">
        <f t="shared" si="25"/>
        <v>Regular</v>
      </c>
    </row>
    <row r="222" spans="1:19" x14ac:dyDescent="0.3">
      <c r="A222">
        <v>2323</v>
      </c>
      <c r="B222" t="s">
        <v>19</v>
      </c>
      <c r="C222" s="1">
        <v>45395</v>
      </c>
      <c r="D222" t="s">
        <v>9</v>
      </c>
      <c r="E222" t="s">
        <v>10</v>
      </c>
      <c r="F222">
        <v>3</v>
      </c>
      <c r="G222">
        <v>16.23</v>
      </c>
      <c r="H222">
        <v>48.69</v>
      </c>
      <c r="I222" t="str">
        <f t="shared" si="21"/>
        <v>Medium</v>
      </c>
      <c r="J222">
        <v>9.74</v>
      </c>
      <c r="K222">
        <f t="shared" si="26"/>
        <v>38.949999999999996</v>
      </c>
      <c r="L222" t="str">
        <f t="shared" si="27"/>
        <v>April</v>
      </c>
      <c r="M222">
        <f>YEAR(C222)</f>
        <v>2024</v>
      </c>
      <c r="N222">
        <v>319</v>
      </c>
      <c r="O222" t="str">
        <f>IF(N222&gt;=200,"Platinum",IF(N222&gt;=100,"Gold",IF(N222&gt;=50,"Silver","Regular")))</f>
        <v>Platinum</v>
      </c>
      <c r="P222" s="4" t="str">
        <f t="shared" si="22"/>
        <v>Saturday</v>
      </c>
      <c r="Q222" s="4" t="str">
        <f t="shared" si="23"/>
        <v>Medium Order</v>
      </c>
      <c r="R222" s="4" t="str">
        <f t="shared" si="24"/>
        <v>Weekend</v>
      </c>
      <c r="S222" s="4" t="str">
        <f t="shared" si="25"/>
        <v>Regular</v>
      </c>
    </row>
    <row r="223" spans="1:19" x14ac:dyDescent="0.3">
      <c r="A223">
        <v>3068</v>
      </c>
      <c r="B223" t="s">
        <v>15</v>
      </c>
      <c r="C223" s="1">
        <v>45640</v>
      </c>
      <c r="D223" t="s">
        <v>34</v>
      </c>
      <c r="E223" t="s">
        <v>2</v>
      </c>
      <c r="F223">
        <v>2</v>
      </c>
      <c r="G223">
        <v>25.27</v>
      </c>
      <c r="H223">
        <v>50.54</v>
      </c>
      <c r="I223" t="str">
        <f t="shared" si="21"/>
        <v>High</v>
      </c>
      <c r="J223">
        <v>10.11</v>
      </c>
      <c r="K223">
        <f t="shared" si="26"/>
        <v>40.43</v>
      </c>
      <c r="L223" t="str">
        <f t="shared" si="27"/>
        <v>December</v>
      </c>
      <c r="M223">
        <f>YEAR(C223)</f>
        <v>2024</v>
      </c>
      <c r="N223">
        <v>288</v>
      </c>
      <c r="O223" t="str">
        <f>IF(N223&gt;=200,"Platinum",IF(N223&gt;=100,"Gold",IF(N223&gt;=50,"Silver","Regular")))</f>
        <v>Platinum</v>
      </c>
      <c r="P223" s="4" t="str">
        <f t="shared" si="22"/>
        <v>Saturday</v>
      </c>
      <c r="Q223" s="4" t="str">
        <f t="shared" si="23"/>
        <v>Small Order</v>
      </c>
      <c r="R223" s="4" t="str">
        <f t="shared" si="24"/>
        <v>Weekend</v>
      </c>
      <c r="S223" s="4" t="str">
        <f t="shared" si="25"/>
        <v>Regular</v>
      </c>
    </row>
    <row r="224" spans="1:19" x14ac:dyDescent="0.3">
      <c r="A224">
        <v>8787</v>
      </c>
      <c r="B224" t="s">
        <v>15</v>
      </c>
      <c r="C224" s="1">
        <v>45572</v>
      </c>
      <c r="D224" t="s">
        <v>24</v>
      </c>
      <c r="E224" t="s">
        <v>5</v>
      </c>
      <c r="F224">
        <v>3</v>
      </c>
      <c r="G224">
        <v>17.48</v>
      </c>
      <c r="H224">
        <v>52.44</v>
      </c>
      <c r="I224" t="str">
        <f t="shared" si="21"/>
        <v>High</v>
      </c>
      <c r="J224">
        <v>10.49</v>
      </c>
      <c r="K224">
        <f t="shared" si="26"/>
        <v>41.949999999999996</v>
      </c>
      <c r="L224" t="str">
        <f t="shared" si="27"/>
        <v>October</v>
      </c>
      <c r="M224">
        <f>YEAR(C224)</f>
        <v>2024</v>
      </c>
      <c r="N224">
        <v>30</v>
      </c>
      <c r="O224" t="str">
        <f>IF(N224&gt;=200,"Platinum",IF(N224&gt;=100,"Gold",IF(N224&gt;=50,"Silver","Regular")))</f>
        <v>Regular</v>
      </c>
      <c r="P224" s="4" t="str">
        <f t="shared" si="22"/>
        <v>Monday</v>
      </c>
      <c r="Q224" s="4" t="str">
        <f t="shared" si="23"/>
        <v>Medium Order</v>
      </c>
      <c r="R224" s="4" t="str">
        <f t="shared" si="24"/>
        <v>Weekday</v>
      </c>
      <c r="S224" s="4" t="str">
        <f t="shared" si="25"/>
        <v>Regular</v>
      </c>
    </row>
    <row r="225" spans="1:19" x14ac:dyDescent="0.3">
      <c r="A225">
        <v>9225</v>
      </c>
      <c r="B225" t="s">
        <v>15</v>
      </c>
      <c r="C225" s="1">
        <v>45667</v>
      </c>
      <c r="D225" t="s">
        <v>24</v>
      </c>
      <c r="E225" t="s">
        <v>7</v>
      </c>
      <c r="F225">
        <v>3</v>
      </c>
      <c r="G225">
        <v>17.73</v>
      </c>
      <c r="H225">
        <v>53.19</v>
      </c>
      <c r="I225" t="str">
        <f t="shared" si="21"/>
        <v>High</v>
      </c>
      <c r="J225">
        <v>10.64</v>
      </c>
      <c r="K225">
        <f t="shared" si="26"/>
        <v>42.55</v>
      </c>
      <c r="L225" t="str">
        <f t="shared" si="27"/>
        <v>January</v>
      </c>
      <c r="M225">
        <f>YEAR(C225)</f>
        <v>2025</v>
      </c>
      <c r="N225">
        <v>169</v>
      </c>
      <c r="O225" t="str">
        <f>IF(N225&gt;=200,"Platinum",IF(N225&gt;=100,"Gold",IF(N225&gt;=50,"Silver","Regular")))</f>
        <v>Gold</v>
      </c>
      <c r="P225" s="4" t="str">
        <f t="shared" si="22"/>
        <v>Friday</v>
      </c>
      <c r="Q225" s="4" t="str">
        <f t="shared" si="23"/>
        <v>Medium Order</v>
      </c>
      <c r="R225" s="4" t="str">
        <f t="shared" si="24"/>
        <v>Weekday</v>
      </c>
      <c r="S225" s="4" t="str">
        <f t="shared" si="25"/>
        <v>Regular</v>
      </c>
    </row>
    <row r="226" spans="1:19" x14ac:dyDescent="0.3">
      <c r="A226">
        <v>9313</v>
      </c>
      <c r="B226" t="s">
        <v>20</v>
      </c>
      <c r="C226" s="1">
        <v>45310</v>
      </c>
      <c r="D226" t="s">
        <v>4</v>
      </c>
      <c r="E226" t="s">
        <v>33</v>
      </c>
      <c r="F226">
        <v>2</v>
      </c>
      <c r="G226">
        <v>26.72</v>
      </c>
      <c r="H226">
        <v>53.44</v>
      </c>
      <c r="I226" t="str">
        <f t="shared" si="21"/>
        <v>High</v>
      </c>
      <c r="J226">
        <v>10.69</v>
      </c>
      <c r="K226">
        <f t="shared" si="26"/>
        <v>42.75</v>
      </c>
      <c r="L226" t="str">
        <f t="shared" si="27"/>
        <v>January</v>
      </c>
      <c r="M226">
        <f>YEAR(C226)</f>
        <v>2024</v>
      </c>
      <c r="N226">
        <v>462</v>
      </c>
      <c r="O226" t="str">
        <f>IF(N226&gt;=200,"Platinum",IF(N226&gt;=100,"Gold",IF(N226&gt;=50,"Silver","Regular")))</f>
        <v>Platinum</v>
      </c>
      <c r="P226" s="4" t="str">
        <f t="shared" si="22"/>
        <v>Friday</v>
      </c>
      <c r="Q226" s="4" t="str">
        <f t="shared" si="23"/>
        <v>Small Order</v>
      </c>
      <c r="R226" s="4" t="str">
        <f t="shared" si="24"/>
        <v>Weekday</v>
      </c>
      <c r="S226" s="4" t="str">
        <f t="shared" si="25"/>
        <v>Regular</v>
      </c>
    </row>
    <row r="227" spans="1:19" x14ac:dyDescent="0.3">
      <c r="A227">
        <v>6409</v>
      </c>
      <c r="B227" t="s">
        <v>0</v>
      </c>
      <c r="C227" s="1">
        <v>45629</v>
      </c>
      <c r="D227" t="s">
        <v>17</v>
      </c>
      <c r="E227" t="s">
        <v>7</v>
      </c>
      <c r="F227">
        <v>4</v>
      </c>
      <c r="G227">
        <v>26.97</v>
      </c>
      <c r="H227">
        <v>107.88</v>
      </c>
      <c r="I227" t="str">
        <f t="shared" si="21"/>
        <v>Very High</v>
      </c>
      <c r="J227">
        <v>21.58</v>
      </c>
      <c r="K227">
        <f t="shared" si="26"/>
        <v>86.3</v>
      </c>
      <c r="L227" t="str">
        <f t="shared" si="27"/>
        <v>December</v>
      </c>
      <c r="M227">
        <f>YEAR(C227)</f>
        <v>2024</v>
      </c>
      <c r="N227">
        <v>202</v>
      </c>
      <c r="O227" t="str">
        <f>IF(N227&gt;=200,"Platinum",IF(N227&gt;=100,"Gold",IF(N227&gt;=50,"Silver","Regular")))</f>
        <v>Platinum</v>
      </c>
      <c r="P227" s="4" t="str">
        <f t="shared" si="22"/>
        <v>Tuesday</v>
      </c>
      <c r="Q227" s="4" t="str">
        <f t="shared" si="23"/>
        <v>Medium Order</v>
      </c>
      <c r="R227" s="4" t="str">
        <f t="shared" si="24"/>
        <v>Weekday</v>
      </c>
      <c r="S227" s="4" t="str">
        <f t="shared" si="25"/>
        <v>Regular</v>
      </c>
    </row>
    <row r="228" spans="1:19" x14ac:dyDescent="0.3">
      <c r="A228">
        <v>5374</v>
      </c>
      <c r="B228" t="s">
        <v>8</v>
      </c>
      <c r="C228" s="1">
        <v>45401</v>
      </c>
      <c r="D228" t="s">
        <v>9</v>
      </c>
      <c r="E228" t="s">
        <v>35</v>
      </c>
      <c r="F228">
        <v>3</v>
      </c>
      <c r="G228">
        <v>18.38</v>
      </c>
      <c r="H228">
        <v>55.14</v>
      </c>
      <c r="I228" t="str">
        <f t="shared" si="21"/>
        <v>High</v>
      </c>
      <c r="J228">
        <v>11.03</v>
      </c>
      <c r="K228">
        <f t="shared" si="26"/>
        <v>44.11</v>
      </c>
      <c r="L228" t="str">
        <f t="shared" si="27"/>
        <v>April</v>
      </c>
      <c r="M228">
        <f>YEAR(C228)</f>
        <v>2024</v>
      </c>
      <c r="N228">
        <v>347</v>
      </c>
      <c r="O228" t="str">
        <f>IF(N228&gt;=200,"Platinum",IF(N228&gt;=100,"Gold",IF(N228&gt;=50,"Silver","Regular")))</f>
        <v>Platinum</v>
      </c>
      <c r="P228" s="4" t="str">
        <f t="shared" si="22"/>
        <v>Friday</v>
      </c>
      <c r="Q228" s="4" t="str">
        <f t="shared" si="23"/>
        <v>Medium Order</v>
      </c>
      <c r="R228" s="4" t="str">
        <f t="shared" si="24"/>
        <v>Weekday</v>
      </c>
      <c r="S228" s="4" t="str">
        <f t="shared" si="25"/>
        <v>Regular</v>
      </c>
    </row>
    <row r="229" spans="1:19" x14ac:dyDescent="0.3">
      <c r="A229">
        <v>6302</v>
      </c>
      <c r="B229" t="s">
        <v>25</v>
      </c>
      <c r="C229" s="1">
        <v>45691</v>
      </c>
      <c r="D229" t="s">
        <v>24</v>
      </c>
      <c r="E229" t="s">
        <v>32</v>
      </c>
      <c r="F229">
        <v>4</v>
      </c>
      <c r="G229">
        <v>28.42</v>
      </c>
      <c r="H229">
        <v>113.68</v>
      </c>
      <c r="I229" t="str">
        <f t="shared" si="21"/>
        <v>Very High</v>
      </c>
      <c r="J229">
        <v>22.74</v>
      </c>
      <c r="K229">
        <f t="shared" si="26"/>
        <v>90.940000000000012</v>
      </c>
      <c r="L229" t="str">
        <f t="shared" si="27"/>
        <v>February</v>
      </c>
      <c r="M229">
        <f>YEAR(C229)</f>
        <v>2025</v>
      </c>
      <c r="N229">
        <v>333</v>
      </c>
      <c r="O229" t="str">
        <f>IF(N229&gt;=200,"Platinum",IF(N229&gt;=100,"Gold",IF(N229&gt;=50,"Silver","Regular")))</f>
        <v>Platinum</v>
      </c>
      <c r="P229" s="4" t="str">
        <f t="shared" si="22"/>
        <v>Monday</v>
      </c>
      <c r="Q229" s="4" t="str">
        <f t="shared" si="23"/>
        <v>Medium Order</v>
      </c>
      <c r="R229" s="4" t="str">
        <f t="shared" si="24"/>
        <v>Weekday</v>
      </c>
      <c r="S229" s="4" t="str">
        <f t="shared" si="25"/>
        <v>Regular</v>
      </c>
    </row>
    <row r="230" spans="1:19" x14ac:dyDescent="0.3">
      <c r="A230">
        <v>5308</v>
      </c>
      <c r="B230" t="s">
        <v>20</v>
      </c>
      <c r="C230" s="1">
        <v>45698</v>
      </c>
      <c r="D230" t="s">
        <v>4</v>
      </c>
      <c r="E230" t="s">
        <v>21</v>
      </c>
      <c r="F230">
        <v>3</v>
      </c>
      <c r="G230">
        <v>19.13</v>
      </c>
      <c r="H230">
        <v>57.39</v>
      </c>
      <c r="I230" t="str">
        <f t="shared" si="21"/>
        <v>High</v>
      </c>
      <c r="J230">
        <v>11.48</v>
      </c>
      <c r="K230">
        <f t="shared" si="26"/>
        <v>45.91</v>
      </c>
      <c r="L230" t="str">
        <f t="shared" si="27"/>
        <v>February</v>
      </c>
      <c r="M230">
        <f>YEAR(C230)</f>
        <v>2025</v>
      </c>
      <c r="N230">
        <v>98</v>
      </c>
      <c r="O230" t="str">
        <f>IF(N230&gt;=200,"Platinum",IF(N230&gt;=100,"Gold",IF(N230&gt;=50,"Silver","Regular")))</f>
        <v>Silver</v>
      </c>
      <c r="P230" s="4" t="str">
        <f t="shared" si="22"/>
        <v>Monday</v>
      </c>
      <c r="Q230" s="4" t="str">
        <f t="shared" si="23"/>
        <v>Medium Order</v>
      </c>
      <c r="R230" s="4" t="str">
        <f t="shared" si="24"/>
        <v>Weekday</v>
      </c>
      <c r="S230" s="4" t="str">
        <f t="shared" si="25"/>
        <v>Regular</v>
      </c>
    </row>
    <row r="231" spans="1:19" x14ac:dyDescent="0.3">
      <c r="A231">
        <v>1104</v>
      </c>
      <c r="B231" t="s">
        <v>0</v>
      </c>
      <c r="C231" s="1">
        <v>45465</v>
      </c>
      <c r="D231" t="s">
        <v>34</v>
      </c>
      <c r="E231" t="s">
        <v>21</v>
      </c>
      <c r="F231">
        <v>2</v>
      </c>
      <c r="G231">
        <v>29.67</v>
      </c>
      <c r="H231">
        <v>59.34</v>
      </c>
      <c r="I231" t="str">
        <f t="shared" si="21"/>
        <v>High</v>
      </c>
      <c r="J231">
        <v>11.87</v>
      </c>
      <c r="K231">
        <f t="shared" si="26"/>
        <v>47.470000000000006</v>
      </c>
      <c r="L231" t="str">
        <f t="shared" si="27"/>
        <v>June</v>
      </c>
      <c r="M231">
        <f>YEAR(C231)</f>
        <v>2024</v>
      </c>
      <c r="N231">
        <v>293</v>
      </c>
      <c r="O231" t="str">
        <f>IF(N231&gt;=200,"Platinum",IF(N231&gt;=100,"Gold",IF(N231&gt;=50,"Silver","Regular")))</f>
        <v>Platinum</v>
      </c>
      <c r="P231" s="4" t="str">
        <f t="shared" si="22"/>
        <v>Saturday</v>
      </c>
      <c r="Q231" s="4" t="str">
        <f t="shared" si="23"/>
        <v>Small Order</v>
      </c>
      <c r="R231" s="4" t="str">
        <f t="shared" si="24"/>
        <v>Weekend</v>
      </c>
      <c r="S231" s="4" t="str">
        <f t="shared" si="25"/>
        <v>Regular</v>
      </c>
    </row>
    <row r="232" spans="1:19" x14ac:dyDescent="0.3">
      <c r="A232">
        <v>1969</v>
      </c>
      <c r="B232" t="s">
        <v>3</v>
      </c>
      <c r="C232" s="1">
        <v>45850</v>
      </c>
      <c r="D232" t="s">
        <v>17</v>
      </c>
      <c r="E232" t="s">
        <v>18</v>
      </c>
      <c r="F232">
        <v>2</v>
      </c>
      <c r="G232">
        <v>29.77</v>
      </c>
      <c r="H232">
        <v>59.54</v>
      </c>
      <c r="I232" t="str">
        <f t="shared" si="21"/>
        <v>High</v>
      </c>
      <c r="J232">
        <v>11.91</v>
      </c>
      <c r="K232">
        <f t="shared" si="26"/>
        <v>47.629999999999995</v>
      </c>
      <c r="L232" t="str">
        <f t="shared" si="27"/>
        <v>July</v>
      </c>
      <c r="M232">
        <f>YEAR(C232)</f>
        <v>2025</v>
      </c>
      <c r="N232">
        <v>302</v>
      </c>
      <c r="O232" t="str">
        <f>IF(N232&gt;=200,"Platinum",IF(N232&gt;=100,"Gold",IF(N232&gt;=50,"Silver","Regular")))</f>
        <v>Platinum</v>
      </c>
      <c r="P232" s="4" t="str">
        <f t="shared" si="22"/>
        <v>Saturday</v>
      </c>
      <c r="Q232" s="4" t="str">
        <f t="shared" si="23"/>
        <v>Small Order</v>
      </c>
      <c r="R232" s="4" t="str">
        <f t="shared" si="24"/>
        <v>Weekend</v>
      </c>
      <c r="S232" s="4" t="str">
        <f t="shared" si="25"/>
        <v>Regular</v>
      </c>
    </row>
    <row r="233" spans="1:19" x14ac:dyDescent="0.3">
      <c r="A233">
        <v>7941</v>
      </c>
      <c r="B233" t="s">
        <v>0</v>
      </c>
      <c r="C233" s="1">
        <v>45412</v>
      </c>
      <c r="D233" t="s">
        <v>24</v>
      </c>
      <c r="E233" t="s">
        <v>22</v>
      </c>
      <c r="F233">
        <v>4</v>
      </c>
      <c r="G233">
        <v>16.21</v>
      </c>
      <c r="H233">
        <v>64.84</v>
      </c>
      <c r="I233" t="str">
        <f t="shared" si="21"/>
        <v>High</v>
      </c>
      <c r="J233">
        <v>12.97</v>
      </c>
      <c r="K233">
        <f t="shared" si="26"/>
        <v>51.870000000000005</v>
      </c>
      <c r="L233" t="str">
        <f t="shared" si="27"/>
        <v>April</v>
      </c>
      <c r="M233">
        <f>YEAR(C233)</f>
        <v>2024</v>
      </c>
      <c r="N233">
        <v>342</v>
      </c>
      <c r="O233" t="str">
        <f>IF(N233&gt;=200,"Platinum",IF(N233&gt;=100,"Gold",IF(N233&gt;=50,"Silver","Regular")))</f>
        <v>Platinum</v>
      </c>
      <c r="P233" s="4" t="str">
        <f t="shared" si="22"/>
        <v>Tuesday</v>
      </c>
      <c r="Q233" s="4" t="str">
        <f t="shared" si="23"/>
        <v>Medium Order</v>
      </c>
      <c r="R233" s="4" t="str">
        <f t="shared" si="24"/>
        <v>Weekday</v>
      </c>
      <c r="S233" s="4" t="str">
        <f t="shared" si="25"/>
        <v>Regular</v>
      </c>
    </row>
    <row r="234" spans="1:19" x14ac:dyDescent="0.3">
      <c r="A234">
        <v>1018</v>
      </c>
      <c r="B234" t="s">
        <v>3</v>
      </c>
      <c r="C234" s="1">
        <v>45655</v>
      </c>
      <c r="D234" t="s">
        <v>24</v>
      </c>
      <c r="E234" t="s">
        <v>7</v>
      </c>
      <c r="F234">
        <v>3</v>
      </c>
      <c r="G234">
        <v>21.63</v>
      </c>
      <c r="H234">
        <v>64.89</v>
      </c>
      <c r="I234" t="str">
        <f t="shared" si="21"/>
        <v>High</v>
      </c>
      <c r="J234">
        <v>12.98</v>
      </c>
      <c r="K234">
        <f t="shared" si="26"/>
        <v>51.91</v>
      </c>
      <c r="L234" t="str">
        <f t="shared" si="27"/>
        <v>December</v>
      </c>
      <c r="M234">
        <f>YEAR(C234)</f>
        <v>2024</v>
      </c>
      <c r="N234">
        <v>478</v>
      </c>
      <c r="O234" t="str">
        <f>IF(N234&gt;=200,"Platinum",IF(N234&gt;=100,"Gold",IF(N234&gt;=50,"Silver","Regular")))</f>
        <v>Platinum</v>
      </c>
      <c r="P234" s="4" t="str">
        <f t="shared" si="22"/>
        <v>Sunday</v>
      </c>
      <c r="Q234" s="4" t="str">
        <f t="shared" si="23"/>
        <v>Medium Order</v>
      </c>
      <c r="R234" s="4" t="str">
        <f t="shared" si="24"/>
        <v>Weekend</v>
      </c>
      <c r="S234" s="4" t="str">
        <f t="shared" si="25"/>
        <v>Regular</v>
      </c>
    </row>
    <row r="235" spans="1:19" x14ac:dyDescent="0.3">
      <c r="A235">
        <v>3854</v>
      </c>
      <c r="B235" t="s">
        <v>19</v>
      </c>
      <c r="C235" s="1">
        <v>45351</v>
      </c>
      <c r="D235" t="s">
        <v>34</v>
      </c>
      <c r="E235" t="s">
        <v>21</v>
      </c>
      <c r="F235">
        <v>3</v>
      </c>
      <c r="G235">
        <v>23.43</v>
      </c>
      <c r="H235">
        <v>70.290000000000006</v>
      </c>
      <c r="I235" t="str">
        <f t="shared" si="21"/>
        <v>High</v>
      </c>
      <c r="J235">
        <v>14.06</v>
      </c>
      <c r="K235">
        <f t="shared" si="26"/>
        <v>56.230000000000004</v>
      </c>
      <c r="L235" t="str">
        <f t="shared" si="27"/>
        <v>February</v>
      </c>
      <c r="M235">
        <f>YEAR(C235)</f>
        <v>2024</v>
      </c>
      <c r="N235">
        <v>146</v>
      </c>
      <c r="O235" t="str">
        <f>IF(N235&gt;=200,"Platinum",IF(N235&gt;=100,"Gold",IF(N235&gt;=50,"Silver","Regular")))</f>
        <v>Gold</v>
      </c>
      <c r="P235" s="4" t="str">
        <f t="shared" si="22"/>
        <v>Thursday</v>
      </c>
      <c r="Q235" s="4" t="str">
        <f t="shared" si="23"/>
        <v>Medium Order</v>
      </c>
      <c r="R235" s="4" t="str">
        <f t="shared" si="24"/>
        <v>Weekday</v>
      </c>
      <c r="S235" s="4" t="str">
        <f t="shared" si="25"/>
        <v>Regular</v>
      </c>
    </row>
    <row r="236" spans="1:19" x14ac:dyDescent="0.3">
      <c r="A236">
        <v>7807</v>
      </c>
      <c r="B236" t="s">
        <v>0</v>
      </c>
      <c r="C236" s="1">
        <v>45281</v>
      </c>
      <c r="D236" t="s">
        <v>23</v>
      </c>
      <c r="E236" t="s">
        <v>29</v>
      </c>
      <c r="F236">
        <v>3</v>
      </c>
      <c r="G236">
        <v>23.48</v>
      </c>
      <c r="H236">
        <v>70.44</v>
      </c>
      <c r="I236" t="str">
        <f t="shared" si="21"/>
        <v>High</v>
      </c>
      <c r="J236">
        <v>14.09</v>
      </c>
      <c r="K236">
        <f t="shared" si="26"/>
        <v>56.349999999999994</v>
      </c>
      <c r="L236" t="str">
        <f t="shared" si="27"/>
        <v>December</v>
      </c>
      <c r="M236">
        <f>YEAR(C236)</f>
        <v>2023</v>
      </c>
      <c r="N236">
        <v>36</v>
      </c>
      <c r="O236" t="str">
        <f>IF(N236&gt;=200,"Platinum",IF(N236&gt;=100,"Gold",IF(N236&gt;=50,"Silver","Regular")))</f>
        <v>Regular</v>
      </c>
      <c r="P236" s="4" t="str">
        <f t="shared" si="22"/>
        <v>Thursday</v>
      </c>
      <c r="Q236" s="4" t="str">
        <f t="shared" si="23"/>
        <v>Medium Order</v>
      </c>
      <c r="R236" s="4" t="str">
        <f t="shared" si="24"/>
        <v>Weekday</v>
      </c>
      <c r="S236" s="4" t="str">
        <f t="shared" si="25"/>
        <v>Regular</v>
      </c>
    </row>
    <row r="237" spans="1:19" x14ac:dyDescent="0.3">
      <c r="A237">
        <v>9967</v>
      </c>
      <c r="B237" t="s">
        <v>15</v>
      </c>
      <c r="C237" s="1">
        <v>45593</v>
      </c>
      <c r="D237" t="s">
        <v>6</v>
      </c>
      <c r="E237" t="s">
        <v>22</v>
      </c>
      <c r="F237">
        <v>3</v>
      </c>
      <c r="G237">
        <v>24.83</v>
      </c>
      <c r="H237">
        <v>74.489999999999995</v>
      </c>
      <c r="I237" t="str">
        <f t="shared" si="21"/>
        <v>High</v>
      </c>
      <c r="J237">
        <v>14.9</v>
      </c>
      <c r="K237">
        <f t="shared" si="26"/>
        <v>59.589999999999996</v>
      </c>
      <c r="L237" t="str">
        <f t="shared" si="27"/>
        <v>October</v>
      </c>
      <c r="M237">
        <f>YEAR(C237)</f>
        <v>2024</v>
      </c>
      <c r="N237">
        <v>277</v>
      </c>
      <c r="O237" t="str">
        <f>IF(N237&gt;=200,"Platinum",IF(N237&gt;=100,"Gold",IF(N237&gt;=50,"Silver","Regular")))</f>
        <v>Platinum</v>
      </c>
      <c r="P237" s="4" t="str">
        <f t="shared" si="22"/>
        <v>Monday</v>
      </c>
      <c r="Q237" s="4" t="str">
        <f t="shared" si="23"/>
        <v>Medium Order</v>
      </c>
      <c r="R237" s="4" t="str">
        <f t="shared" si="24"/>
        <v>Weekday</v>
      </c>
      <c r="S237" s="4" t="str">
        <f t="shared" si="25"/>
        <v>Regular</v>
      </c>
    </row>
    <row r="238" spans="1:19" x14ac:dyDescent="0.3">
      <c r="A238">
        <v>7568</v>
      </c>
      <c r="B238" t="s">
        <v>31</v>
      </c>
      <c r="C238" s="1">
        <v>45198</v>
      </c>
      <c r="D238" t="s">
        <v>24</v>
      </c>
      <c r="E238" t="s">
        <v>30</v>
      </c>
      <c r="F238">
        <v>3</v>
      </c>
      <c r="G238">
        <v>25.58</v>
      </c>
      <c r="H238">
        <v>76.739999999999995</v>
      </c>
      <c r="I238" t="str">
        <f t="shared" si="21"/>
        <v>High</v>
      </c>
      <c r="J238">
        <v>15.35</v>
      </c>
      <c r="K238">
        <f t="shared" si="26"/>
        <v>61.389999999999993</v>
      </c>
      <c r="L238" t="str">
        <f t="shared" si="27"/>
        <v>September</v>
      </c>
      <c r="M238">
        <f>YEAR(C238)</f>
        <v>2023</v>
      </c>
      <c r="N238">
        <v>30</v>
      </c>
      <c r="O238" t="str">
        <f>IF(N238&gt;=200,"Platinum",IF(N238&gt;=100,"Gold",IF(N238&gt;=50,"Silver","Regular")))</f>
        <v>Regular</v>
      </c>
      <c r="P238" s="4" t="str">
        <f t="shared" si="22"/>
        <v>Friday</v>
      </c>
      <c r="Q238" s="4" t="str">
        <f t="shared" si="23"/>
        <v>Medium Order</v>
      </c>
      <c r="R238" s="4" t="str">
        <f t="shared" si="24"/>
        <v>Weekday</v>
      </c>
      <c r="S238" s="4" t="str">
        <f t="shared" si="25"/>
        <v>Regular</v>
      </c>
    </row>
    <row r="239" spans="1:19" x14ac:dyDescent="0.3">
      <c r="A239">
        <v>3616</v>
      </c>
      <c r="B239" t="s">
        <v>25</v>
      </c>
      <c r="C239" s="1">
        <v>45776</v>
      </c>
      <c r="D239" t="s">
        <v>23</v>
      </c>
      <c r="E239" t="s">
        <v>28</v>
      </c>
      <c r="F239">
        <v>4</v>
      </c>
      <c r="G239">
        <v>19.96</v>
      </c>
      <c r="H239">
        <v>79.84</v>
      </c>
      <c r="I239" t="str">
        <f t="shared" si="21"/>
        <v>High</v>
      </c>
      <c r="J239">
        <v>15.97</v>
      </c>
      <c r="K239">
        <f t="shared" si="26"/>
        <v>63.870000000000005</v>
      </c>
      <c r="L239" t="str">
        <f t="shared" si="27"/>
        <v>April</v>
      </c>
      <c r="M239">
        <f>YEAR(C239)</f>
        <v>2025</v>
      </c>
      <c r="N239">
        <v>6</v>
      </c>
      <c r="O239" t="str">
        <f>IF(N239&gt;=200,"Platinum",IF(N239&gt;=100,"Gold",IF(N239&gt;=50,"Silver","Regular")))</f>
        <v>Regular</v>
      </c>
      <c r="P239" s="4" t="str">
        <f t="shared" si="22"/>
        <v>Tuesday</v>
      </c>
      <c r="Q239" s="4" t="str">
        <f t="shared" si="23"/>
        <v>Medium Order</v>
      </c>
      <c r="R239" s="4" t="str">
        <f t="shared" si="24"/>
        <v>Weekday</v>
      </c>
      <c r="S239" s="4" t="str">
        <f t="shared" si="25"/>
        <v>Regular</v>
      </c>
    </row>
    <row r="240" spans="1:19" x14ac:dyDescent="0.3">
      <c r="A240">
        <v>9133</v>
      </c>
      <c r="B240" t="s">
        <v>25</v>
      </c>
      <c r="C240" s="1">
        <v>45414</v>
      </c>
      <c r="D240" t="s">
        <v>1</v>
      </c>
      <c r="E240" t="s">
        <v>2</v>
      </c>
      <c r="F240">
        <v>4</v>
      </c>
      <c r="G240">
        <v>20.11</v>
      </c>
      <c r="H240">
        <v>80.44</v>
      </c>
      <c r="I240" t="str">
        <f t="shared" si="21"/>
        <v>High</v>
      </c>
      <c r="J240">
        <v>16.09</v>
      </c>
      <c r="K240">
        <f t="shared" si="26"/>
        <v>64.349999999999994</v>
      </c>
      <c r="L240" t="str">
        <f t="shared" si="27"/>
        <v>May</v>
      </c>
      <c r="M240">
        <f>YEAR(C240)</f>
        <v>2024</v>
      </c>
      <c r="N240">
        <v>170</v>
      </c>
      <c r="O240" t="str">
        <f>IF(N240&gt;=200,"Platinum",IF(N240&gt;=100,"Gold",IF(N240&gt;=50,"Silver","Regular")))</f>
        <v>Gold</v>
      </c>
      <c r="P240" s="4" t="str">
        <f t="shared" si="22"/>
        <v>Thursday</v>
      </c>
      <c r="Q240" s="4" t="str">
        <f t="shared" si="23"/>
        <v>Medium Order</v>
      </c>
      <c r="R240" s="4" t="str">
        <f t="shared" si="24"/>
        <v>Weekday</v>
      </c>
      <c r="S240" s="4" t="str">
        <f t="shared" si="25"/>
        <v>Regular</v>
      </c>
    </row>
    <row r="241" spans="1:19" x14ac:dyDescent="0.3">
      <c r="A241">
        <v>1436</v>
      </c>
      <c r="B241" t="s">
        <v>8</v>
      </c>
      <c r="C241" s="1">
        <v>45608</v>
      </c>
      <c r="D241" t="s">
        <v>24</v>
      </c>
      <c r="E241" t="s">
        <v>14</v>
      </c>
      <c r="F241">
        <v>4</v>
      </c>
      <c r="G241">
        <v>20.71</v>
      </c>
      <c r="H241">
        <v>82.84</v>
      </c>
      <c r="I241" t="str">
        <f t="shared" si="21"/>
        <v>High</v>
      </c>
      <c r="J241">
        <v>16.57</v>
      </c>
      <c r="K241">
        <f t="shared" si="26"/>
        <v>66.27000000000001</v>
      </c>
      <c r="L241" t="str">
        <f t="shared" si="27"/>
        <v>November</v>
      </c>
      <c r="M241">
        <f>YEAR(C241)</f>
        <v>2024</v>
      </c>
      <c r="N241">
        <v>75</v>
      </c>
      <c r="O241" t="str">
        <f>IF(N241&gt;=200,"Platinum",IF(N241&gt;=100,"Gold",IF(N241&gt;=50,"Silver","Regular")))</f>
        <v>Silver</v>
      </c>
      <c r="P241" s="4" t="str">
        <f t="shared" si="22"/>
        <v>Tuesday</v>
      </c>
      <c r="Q241" s="4" t="str">
        <f t="shared" si="23"/>
        <v>Medium Order</v>
      </c>
      <c r="R241" s="4" t="str">
        <f t="shared" si="24"/>
        <v>Weekday</v>
      </c>
      <c r="S241" s="4" t="str">
        <f t="shared" si="25"/>
        <v>Regular</v>
      </c>
    </row>
    <row r="242" spans="1:19" x14ac:dyDescent="0.3">
      <c r="A242">
        <v>2752</v>
      </c>
      <c r="B242" t="s">
        <v>15</v>
      </c>
      <c r="C242" s="1">
        <v>45250</v>
      </c>
      <c r="D242" t="s">
        <v>34</v>
      </c>
      <c r="E242" t="s">
        <v>33</v>
      </c>
      <c r="F242">
        <v>3</v>
      </c>
      <c r="G242">
        <v>27.88</v>
      </c>
      <c r="H242">
        <v>83.64</v>
      </c>
      <c r="I242" t="str">
        <f t="shared" si="21"/>
        <v>High</v>
      </c>
      <c r="J242">
        <v>16.73</v>
      </c>
      <c r="K242">
        <f t="shared" si="26"/>
        <v>66.91</v>
      </c>
      <c r="L242" t="str">
        <f t="shared" si="27"/>
        <v>November</v>
      </c>
      <c r="M242">
        <f>YEAR(C242)</f>
        <v>2023</v>
      </c>
      <c r="N242">
        <v>368</v>
      </c>
      <c r="O242" t="str">
        <f>IF(N242&gt;=200,"Platinum",IF(N242&gt;=100,"Gold",IF(N242&gt;=50,"Silver","Regular")))</f>
        <v>Platinum</v>
      </c>
      <c r="P242" s="4" t="str">
        <f t="shared" si="22"/>
        <v>Monday</v>
      </c>
      <c r="Q242" s="4" t="str">
        <f t="shared" si="23"/>
        <v>Medium Order</v>
      </c>
      <c r="R242" s="4" t="str">
        <f t="shared" si="24"/>
        <v>Weekday</v>
      </c>
      <c r="S242" s="4" t="str">
        <f t="shared" si="25"/>
        <v>Regular</v>
      </c>
    </row>
    <row r="243" spans="1:19" x14ac:dyDescent="0.3">
      <c r="A243">
        <v>1410</v>
      </c>
      <c r="B243" t="s">
        <v>13</v>
      </c>
      <c r="C243" s="1">
        <v>45626</v>
      </c>
      <c r="D243" t="s">
        <v>4</v>
      </c>
      <c r="E243" t="s">
        <v>12</v>
      </c>
      <c r="F243">
        <v>4</v>
      </c>
      <c r="G243">
        <v>21.36</v>
      </c>
      <c r="H243">
        <v>85.44</v>
      </c>
      <c r="I243" t="str">
        <f t="shared" si="21"/>
        <v>High</v>
      </c>
      <c r="J243">
        <v>17.09</v>
      </c>
      <c r="K243">
        <f t="shared" si="26"/>
        <v>68.349999999999994</v>
      </c>
      <c r="L243" t="str">
        <f t="shared" si="27"/>
        <v>November</v>
      </c>
      <c r="M243">
        <f>YEAR(C243)</f>
        <v>2024</v>
      </c>
      <c r="N243">
        <v>218</v>
      </c>
      <c r="O243" t="str">
        <f>IF(N243&gt;=200,"Platinum",IF(N243&gt;=100,"Gold",IF(N243&gt;=50,"Silver","Regular")))</f>
        <v>Platinum</v>
      </c>
      <c r="P243" s="4" t="str">
        <f t="shared" si="22"/>
        <v>Saturday</v>
      </c>
      <c r="Q243" s="4" t="str">
        <f t="shared" si="23"/>
        <v>Medium Order</v>
      </c>
      <c r="R243" s="4" t="str">
        <f t="shared" si="24"/>
        <v>Weekend</v>
      </c>
      <c r="S243" s="4" t="str">
        <f t="shared" si="25"/>
        <v>Regular</v>
      </c>
    </row>
    <row r="244" spans="1:19" x14ac:dyDescent="0.3">
      <c r="A244">
        <v>7932</v>
      </c>
      <c r="B244" t="s">
        <v>8</v>
      </c>
      <c r="C244" s="1">
        <v>45757</v>
      </c>
      <c r="D244" t="s">
        <v>24</v>
      </c>
      <c r="E244" t="s">
        <v>29</v>
      </c>
      <c r="F244">
        <v>4</v>
      </c>
      <c r="G244">
        <v>21.46</v>
      </c>
      <c r="H244">
        <v>85.84</v>
      </c>
      <c r="I244" t="str">
        <f t="shared" si="21"/>
        <v>High</v>
      </c>
      <c r="J244">
        <v>17.170000000000002</v>
      </c>
      <c r="K244">
        <f t="shared" si="26"/>
        <v>68.67</v>
      </c>
      <c r="L244" t="str">
        <f t="shared" si="27"/>
        <v>April</v>
      </c>
      <c r="M244">
        <f>YEAR(C244)</f>
        <v>2025</v>
      </c>
      <c r="N244">
        <v>91</v>
      </c>
      <c r="O244" t="str">
        <f>IF(N244&gt;=200,"Platinum",IF(N244&gt;=100,"Gold",IF(N244&gt;=50,"Silver","Regular")))</f>
        <v>Silver</v>
      </c>
      <c r="P244" s="4" t="str">
        <f t="shared" si="22"/>
        <v>Thursday</v>
      </c>
      <c r="Q244" s="4" t="str">
        <f t="shared" si="23"/>
        <v>Medium Order</v>
      </c>
      <c r="R244" s="4" t="str">
        <f t="shared" si="24"/>
        <v>Weekday</v>
      </c>
      <c r="S244" s="4" t="str">
        <f t="shared" si="25"/>
        <v>Regular</v>
      </c>
    </row>
    <row r="245" spans="1:19" x14ac:dyDescent="0.3">
      <c r="A245">
        <v>8015</v>
      </c>
      <c r="B245" t="s">
        <v>20</v>
      </c>
      <c r="C245" s="1">
        <v>45273</v>
      </c>
      <c r="D245" t="s">
        <v>23</v>
      </c>
      <c r="E245" t="s">
        <v>7</v>
      </c>
      <c r="F245">
        <v>3</v>
      </c>
      <c r="G245">
        <v>28.68</v>
      </c>
      <c r="H245">
        <v>86.04</v>
      </c>
      <c r="I245" t="str">
        <f t="shared" si="21"/>
        <v>High</v>
      </c>
      <c r="J245">
        <v>17.21</v>
      </c>
      <c r="K245">
        <f t="shared" si="26"/>
        <v>68.830000000000013</v>
      </c>
      <c r="L245" t="str">
        <f t="shared" si="27"/>
        <v>December</v>
      </c>
      <c r="M245">
        <f>YEAR(C245)</f>
        <v>2023</v>
      </c>
      <c r="N245">
        <v>167</v>
      </c>
      <c r="O245" t="str">
        <f>IF(N245&gt;=200,"Platinum",IF(N245&gt;=100,"Gold",IF(N245&gt;=50,"Silver","Regular")))</f>
        <v>Gold</v>
      </c>
      <c r="P245" s="4" t="str">
        <f t="shared" si="22"/>
        <v>Wednesday</v>
      </c>
      <c r="Q245" s="4" t="str">
        <f t="shared" si="23"/>
        <v>Medium Order</v>
      </c>
      <c r="R245" s="4" t="str">
        <f t="shared" si="24"/>
        <v>Weekday</v>
      </c>
      <c r="S245" s="4" t="str">
        <f t="shared" si="25"/>
        <v>Regular</v>
      </c>
    </row>
    <row r="246" spans="1:19" x14ac:dyDescent="0.3">
      <c r="A246">
        <v>2044</v>
      </c>
      <c r="B246" t="s">
        <v>20</v>
      </c>
      <c r="C246" s="1">
        <v>45565</v>
      </c>
      <c r="D246" t="s">
        <v>4</v>
      </c>
      <c r="E246" t="s">
        <v>5</v>
      </c>
      <c r="F246">
        <v>3</v>
      </c>
      <c r="G246">
        <v>28.93</v>
      </c>
      <c r="H246">
        <v>86.79</v>
      </c>
      <c r="I246" t="str">
        <f t="shared" si="21"/>
        <v>High</v>
      </c>
      <c r="J246">
        <v>17.36</v>
      </c>
      <c r="K246">
        <f t="shared" si="26"/>
        <v>69.430000000000007</v>
      </c>
      <c r="L246" t="str">
        <f t="shared" si="27"/>
        <v>September</v>
      </c>
      <c r="M246">
        <f>YEAR(C246)</f>
        <v>2024</v>
      </c>
      <c r="N246">
        <v>152</v>
      </c>
      <c r="O246" t="str">
        <f>IF(N246&gt;=200,"Platinum",IF(N246&gt;=100,"Gold",IF(N246&gt;=50,"Silver","Regular")))</f>
        <v>Gold</v>
      </c>
      <c r="P246" s="4" t="str">
        <f t="shared" si="22"/>
        <v>Monday</v>
      </c>
      <c r="Q246" s="4" t="str">
        <f t="shared" si="23"/>
        <v>Medium Order</v>
      </c>
      <c r="R246" s="4" t="str">
        <f t="shared" si="24"/>
        <v>Weekday</v>
      </c>
      <c r="S246" s="4" t="str">
        <f t="shared" si="25"/>
        <v>Regular</v>
      </c>
    </row>
    <row r="247" spans="1:19" x14ac:dyDescent="0.3">
      <c r="A247">
        <v>5186</v>
      </c>
      <c r="B247" t="s">
        <v>25</v>
      </c>
      <c r="C247" s="1">
        <v>45369</v>
      </c>
      <c r="D247" t="s">
        <v>34</v>
      </c>
      <c r="E247" t="s">
        <v>32</v>
      </c>
      <c r="F247">
        <v>4</v>
      </c>
      <c r="G247">
        <v>22.31</v>
      </c>
      <c r="H247">
        <v>89.24</v>
      </c>
      <c r="I247" t="str">
        <f t="shared" si="21"/>
        <v>High</v>
      </c>
      <c r="J247">
        <v>17.850000000000001</v>
      </c>
      <c r="K247">
        <f t="shared" si="26"/>
        <v>71.389999999999986</v>
      </c>
      <c r="L247" t="str">
        <f t="shared" si="27"/>
        <v>March</v>
      </c>
      <c r="M247">
        <f>YEAR(C247)</f>
        <v>2024</v>
      </c>
      <c r="N247">
        <v>71</v>
      </c>
      <c r="O247" t="str">
        <f>IF(N247&gt;=200,"Platinum",IF(N247&gt;=100,"Gold",IF(N247&gt;=50,"Silver","Regular")))</f>
        <v>Silver</v>
      </c>
      <c r="P247" s="4" t="str">
        <f t="shared" si="22"/>
        <v>Monday</v>
      </c>
      <c r="Q247" s="4" t="str">
        <f t="shared" si="23"/>
        <v>Medium Order</v>
      </c>
      <c r="R247" s="4" t="str">
        <f t="shared" si="24"/>
        <v>Weekday</v>
      </c>
      <c r="S247" s="4" t="str">
        <f t="shared" si="25"/>
        <v>Regular</v>
      </c>
    </row>
    <row r="248" spans="1:19" x14ac:dyDescent="0.3">
      <c r="A248">
        <v>7171</v>
      </c>
      <c r="B248" t="s">
        <v>31</v>
      </c>
      <c r="C248" s="1">
        <v>45644</v>
      </c>
      <c r="D248" t="s">
        <v>24</v>
      </c>
      <c r="E248" t="s">
        <v>18</v>
      </c>
      <c r="F248">
        <v>5</v>
      </c>
      <c r="G248">
        <v>1.1200000000000001</v>
      </c>
      <c r="H248">
        <v>5.6</v>
      </c>
      <c r="I248" t="str">
        <f t="shared" si="21"/>
        <v>Low</v>
      </c>
      <c r="J248">
        <v>1.1200000000000001</v>
      </c>
      <c r="K248">
        <f t="shared" si="26"/>
        <v>4.4799999999999995</v>
      </c>
      <c r="L248" t="str">
        <f t="shared" si="27"/>
        <v>December</v>
      </c>
      <c r="M248">
        <f>YEAR(C248)</f>
        <v>2024</v>
      </c>
      <c r="N248">
        <v>371</v>
      </c>
      <c r="O248" t="str">
        <f>IF(N248&gt;=200,"Platinum",IF(N248&gt;=100,"Gold",IF(N248&gt;=50,"Silver","Regular")))</f>
        <v>Platinum</v>
      </c>
      <c r="P248" s="4" t="str">
        <f t="shared" si="22"/>
        <v>Wednesday</v>
      </c>
      <c r="Q248" s="4" t="str">
        <f t="shared" si="23"/>
        <v>Medium Order</v>
      </c>
      <c r="R248" s="4" t="str">
        <f t="shared" si="24"/>
        <v>Weekday</v>
      </c>
      <c r="S248" s="4" t="str">
        <f t="shared" si="25"/>
        <v>Regular</v>
      </c>
    </row>
    <row r="249" spans="1:19" x14ac:dyDescent="0.3">
      <c r="A249">
        <v>8264</v>
      </c>
      <c r="B249" t="s">
        <v>15</v>
      </c>
      <c r="C249" s="1">
        <v>45490</v>
      </c>
      <c r="D249" t="s">
        <v>34</v>
      </c>
      <c r="E249" t="s">
        <v>28</v>
      </c>
      <c r="F249">
        <v>3</v>
      </c>
      <c r="G249">
        <v>7.05</v>
      </c>
      <c r="H249">
        <v>21.15</v>
      </c>
      <c r="I249" t="str">
        <f t="shared" si="21"/>
        <v>Low</v>
      </c>
      <c r="J249">
        <v>4.2300000000000004</v>
      </c>
      <c r="K249">
        <f t="shared" si="26"/>
        <v>16.919999999999998</v>
      </c>
      <c r="L249" t="str">
        <f t="shared" si="27"/>
        <v>July</v>
      </c>
      <c r="M249">
        <f>YEAR(C249)</f>
        <v>2024</v>
      </c>
      <c r="N249">
        <v>275</v>
      </c>
      <c r="O249" t="str">
        <f>IF(N249&gt;=200,"Platinum",IF(N249&gt;=100,"Gold",IF(N249&gt;=50,"Silver","Regular")))</f>
        <v>Platinum</v>
      </c>
      <c r="P249" s="4" t="str">
        <f t="shared" si="22"/>
        <v>Wednesday</v>
      </c>
      <c r="Q249" s="4" t="str">
        <f t="shared" si="23"/>
        <v>Medium Order</v>
      </c>
      <c r="R249" s="4" t="str">
        <f t="shared" si="24"/>
        <v>Weekday</v>
      </c>
      <c r="S249" s="4" t="str">
        <f t="shared" si="25"/>
        <v>Regular</v>
      </c>
    </row>
    <row r="250" spans="1:19" x14ac:dyDescent="0.3">
      <c r="A250">
        <v>1653</v>
      </c>
      <c r="B250" t="s">
        <v>20</v>
      </c>
      <c r="C250" s="1">
        <v>45835</v>
      </c>
      <c r="D250" t="s">
        <v>27</v>
      </c>
      <c r="E250" t="s">
        <v>36</v>
      </c>
      <c r="F250">
        <v>2</v>
      </c>
      <c r="G250">
        <v>20.95</v>
      </c>
      <c r="H250">
        <v>41.9</v>
      </c>
      <c r="I250" t="str">
        <f t="shared" si="21"/>
        <v>Medium</v>
      </c>
      <c r="J250">
        <v>8.3800000000000008</v>
      </c>
      <c r="K250">
        <f t="shared" si="26"/>
        <v>33.519999999999996</v>
      </c>
      <c r="L250" t="str">
        <f t="shared" si="27"/>
        <v>June</v>
      </c>
      <c r="M250">
        <f>YEAR(C250)</f>
        <v>2025</v>
      </c>
      <c r="N250">
        <v>246</v>
      </c>
      <c r="O250" t="str">
        <f>IF(N250&gt;=200,"Platinum",IF(N250&gt;=100,"Gold",IF(N250&gt;=50,"Silver","Regular")))</f>
        <v>Platinum</v>
      </c>
      <c r="P250" s="4" t="str">
        <f t="shared" si="22"/>
        <v>Friday</v>
      </c>
      <c r="Q250" s="4" t="str">
        <f t="shared" si="23"/>
        <v>Small Order</v>
      </c>
      <c r="R250" s="4" t="str">
        <f t="shared" si="24"/>
        <v>Weekday</v>
      </c>
      <c r="S250" s="4" t="str">
        <f t="shared" si="25"/>
        <v>Regular</v>
      </c>
    </row>
    <row r="251" spans="1:19" x14ac:dyDescent="0.3">
      <c r="A251">
        <v>9095</v>
      </c>
      <c r="B251" t="s">
        <v>3</v>
      </c>
      <c r="C251" s="1">
        <v>45505</v>
      </c>
      <c r="D251" t="s">
        <v>16</v>
      </c>
      <c r="E251" t="s">
        <v>7</v>
      </c>
      <c r="F251">
        <v>3</v>
      </c>
      <c r="G251">
        <v>14.1</v>
      </c>
      <c r="H251">
        <v>42.3</v>
      </c>
      <c r="I251" t="str">
        <f t="shared" si="21"/>
        <v>Medium</v>
      </c>
      <c r="J251">
        <v>8.4600000000000009</v>
      </c>
      <c r="K251">
        <f t="shared" si="26"/>
        <v>33.839999999999996</v>
      </c>
      <c r="L251" t="str">
        <f t="shared" si="27"/>
        <v>August</v>
      </c>
      <c r="M251">
        <f>YEAR(C251)</f>
        <v>2024</v>
      </c>
      <c r="N251">
        <v>188</v>
      </c>
      <c r="O251" t="str">
        <f>IF(N251&gt;=200,"Platinum",IF(N251&gt;=100,"Gold",IF(N251&gt;=50,"Silver","Regular")))</f>
        <v>Gold</v>
      </c>
      <c r="P251" s="4" t="str">
        <f t="shared" si="22"/>
        <v>Thursday</v>
      </c>
      <c r="Q251" s="4" t="str">
        <f t="shared" si="23"/>
        <v>Medium Order</v>
      </c>
      <c r="R251" s="4" t="str">
        <f t="shared" si="24"/>
        <v>Weekday</v>
      </c>
      <c r="S251" s="4" t="str">
        <f t="shared" si="25"/>
        <v>Regular</v>
      </c>
    </row>
    <row r="252" spans="1:19" x14ac:dyDescent="0.3">
      <c r="A252">
        <v>1090</v>
      </c>
      <c r="B252" t="s">
        <v>20</v>
      </c>
      <c r="C252" s="1">
        <v>45838</v>
      </c>
      <c r="D252" t="s">
        <v>27</v>
      </c>
      <c r="E252" t="s">
        <v>5</v>
      </c>
      <c r="F252">
        <v>4</v>
      </c>
      <c r="G252">
        <v>17.149999999999999</v>
      </c>
      <c r="H252">
        <v>68.599999999999994</v>
      </c>
      <c r="I252" t="str">
        <f t="shared" si="21"/>
        <v>High</v>
      </c>
      <c r="J252">
        <v>13.72</v>
      </c>
      <c r="K252">
        <f t="shared" si="26"/>
        <v>54.879999999999995</v>
      </c>
      <c r="L252" t="str">
        <f t="shared" si="27"/>
        <v>June</v>
      </c>
      <c r="M252">
        <f>YEAR(C252)</f>
        <v>2025</v>
      </c>
      <c r="N252">
        <v>68</v>
      </c>
      <c r="O252" t="str">
        <f>IF(N252&gt;=200,"Platinum",IF(N252&gt;=100,"Gold",IF(N252&gt;=50,"Silver","Regular")))</f>
        <v>Silver</v>
      </c>
      <c r="P252" s="4" t="str">
        <f t="shared" si="22"/>
        <v>Monday</v>
      </c>
      <c r="Q252" s="4" t="str">
        <f t="shared" si="23"/>
        <v>Medium Order</v>
      </c>
      <c r="R252" s="4" t="str">
        <f t="shared" si="24"/>
        <v>Weekday</v>
      </c>
      <c r="S252" s="4" t="str">
        <f t="shared" si="25"/>
        <v>Regular</v>
      </c>
    </row>
    <row r="253" spans="1:19" x14ac:dyDescent="0.3">
      <c r="A253">
        <v>9899</v>
      </c>
      <c r="B253" t="s">
        <v>8</v>
      </c>
      <c r="C253" s="1">
        <v>45439</v>
      </c>
      <c r="D253" t="s">
        <v>24</v>
      </c>
      <c r="E253" t="s">
        <v>28</v>
      </c>
      <c r="F253">
        <v>5</v>
      </c>
      <c r="G253">
        <v>21.67</v>
      </c>
      <c r="H253">
        <v>108.35</v>
      </c>
      <c r="I253" t="str">
        <f t="shared" si="21"/>
        <v>Very High</v>
      </c>
      <c r="J253">
        <v>21.67</v>
      </c>
      <c r="K253">
        <f t="shared" si="26"/>
        <v>86.679999999999993</v>
      </c>
      <c r="L253" t="str">
        <f t="shared" si="27"/>
        <v>May</v>
      </c>
      <c r="M253">
        <f>YEAR(C253)</f>
        <v>2024</v>
      </c>
      <c r="N253">
        <v>336</v>
      </c>
      <c r="O253" t="str">
        <f>IF(N253&gt;=200,"Platinum",IF(N253&gt;=100,"Gold",IF(N253&gt;=50,"Silver","Regular")))</f>
        <v>Platinum</v>
      </c>
      <c r="P253" s="4" t="str">
        <f t="shared" si="22"/>
        <v>Monday</v>
      </c>
      <c r="Q253" s="4" t="str">
        <f t="shared" si="23"/>
        <v>Medium Order</v>
      </c>
      <c r="R253" s="4" t="str">
        <f t="shared" si="24"/>
        <v>Weekday</v>
      </c>
      <c r="S253" s="4" t="str">
        <f t="shared" si="25"/>
        <v>Regular</v>
      </c>
    </row>
    <row r="254" spans="1:19" x14ac:dyDescent="0.3">
      <c r="A254">
        <v>9582</v>
      </c>
      <c r="B254" t="s">
        <v>0</v>
      </c>
      <c r="C254" s="1">
        <v>45194</v>
      </c>
      <c r="D254" t="s">
        <v>23</v>
      </c>
      <c r="E254" t="s">
        <v>32</v>
      </c>
      <c r="F254">
        <v>1</v>
      </c>
      <c r="G254">
        <v>1.1000000000000001</v>
      </c>
      <c r="H254">
        <v>1.1000000000000001</v>
      </c>
      <c r="I254" t="str">
        <f t="shared" si="21"/>
        <v>Low</v>
      </c>
      <c r="J254">
        <v>0.22</v>
      </c>
      <c r="K254">
        <f t="shared" si="26"/>
        <v>0.88000000000000012</v>
      </c>
      <c r="L254" t="str">
        <f t="shared" si="27"/>
        <v>September</v>
      </c>
      <c r="M254">
        <f>YEAR(C254)</f>
        <v>2023</v>
      </c>
      <c r="N254">
        <v>405</v>
      </c>
      <c r="O254" t="str">
        <f>IF(N254&gt;=200,"Platinum",IF(N254&gt;=100,"Gold",IF(N254&gt;=50,"Silver","Regular")))</f>
        <v>Platinum</v>
      </c>
      <c r="P254" s="4" t="str">
        <f t="shared" si="22"/>
        <v>Monday</v>
      </c>
      <c r="Q254" s="4" t="str">
        <f t="shared" si="23"/>
        <v>Small Order</v>
      </c>
      <c r="R254" s="4" t="str">
        <f t="shared" si="24"/>
        <v>Weekday</v>
      </c>
      <c r="S254" s="4" t="str">
        <f t="shared" si="25"/>
        <v>Regular</v>
      </c>
    </row>
    <row r="255" spans="1:19" x14ac:dyDescent="0.3">
      <c r="A255">
        <v>6003</v>
      </c>
      <c r="B255" t="s">
        <v>19</v>
      </c>
      <c r="C255" s="1">
        <v>45235</v>
      </c>
      <c r="D255" t="s">
        <v>9</v>
      </c>
      <c r="E255" t="s">
        <v>2</v>
      </c>
      <c r="F255">
        <v>2</v>
      </c>
      <c r="G255">
        <v>1.8</v>
      </c>
      <c r="H255">
        <v>3.6</v>
      </c>
      <c r="I255" t="str">
        <f t="shared" si="21"/>
        <v>Low</v>
      </c>
      <c r="J255">
        <v>0.72</v>
      </c>
      <c r="K255">
        <f t="shared" si="26"/>
        <v>2.88</v>
      </c>
      <c r="L255" t="str">
        <f t="shared" si="27"/>
        <v>November</v>
      </c>
      <c r="M255">
        <f>YEAR(C255)</f>
        <v>2023</v>
      </c>
      <c r="N255">
        <v>108</v>
      </c>
      <c r="O255" t="str">
        <f>IF(N255&gt;=200,"Platinum",IF(N255&gt;=100,"Gold",IF(N255&gt;=50,"Silver","Regular")))</f>
        <v>Gold</v>
      </c>
      <c r="P255" s="4" t="str">
        <f t="shared" si="22"/>
        <v>Sunday</v>
      </c>
      <c r="Q255" s="4" t="str">
        <f t="shared" si="23"/>
        <v>Small Order</v>
      </c>
      <c r="R255" s="4" t="str">
        <f t="shared" si="24"/>
        <v>Weekend</v>
      </c>
      <c r="S255" s="4" t="str">
        <f t="shared" si="25"/>
        <v>Regular</v>
      </c>
    </row>
    <row r="256" spans="1:19" x14ac:dyDescent="0.3">
      <c r="A256">
        <v>3141</v>
      </c>
      <c r="B256" t="s">
        <v>19</v>
      </c>
      <c r="C256" s="1">
        <v>45328</v>
      </c>
      <c r="D256" t="s">
        <v>34</v>
      </c>
      <c r="E256" t="s">
        <v>33</v>
      </c>
      <c r="F256">
        <v>3</v>
      </c>
      <c r="G256">
        <v>1.7</v>
      </c>
      <c r="H256">
        <v>5.0999999999999996</v>
      </c>
      <c r="I256" t="str">
        <f t="shared" si="21"/>
        <v>Low</v>
      </c>
      <c r="J256">
        <v>1.02</v>
      </c>
      <c r="K256">
        <f t="shared" si="26"/>
        <v>4.08</v>
      </c>
      <c r="L256" t="str">
        <f t="shared" si="27"/>
        <v>February</v>
      </c>
      <c r="M256">
        <f>YEAR(C256)</f>
        <v>2024</v>
      </c>
      <c r="N256">
        <v>139</v>
      </c>
      <c r="O256" t="str">
        <f>IF(N256&gt;=200,"Platinum",IF(N256&gt;=100,"Gold",IF(N256&gt;=50,"Silver","Regular")))</f>
        <v>Gold</v>
      </c>
      <c r="P256" s="4" t="str">
        <f t="shared" si="22"/>
        <v>Tuesday</v>
      </c>
      <c r="Q256" s="4" t="str">
        <f t="shared" si="23"/>
        <v>Medium Order</v>
      </c>
      <c r="R256" s="4" t="str">
        <f t="shared" si="24"/>
        <v>Weekday</v>
      </c>
      <c r="S256" s="4" t="str">
        <f t="shared" si="25"/>
        <v>Regular</v>
      </c>
    </row>
    <row r="257" spans="1:19" x14ac:dyDescent="0.3">
      <c r="A257">
        <v>3321</v>
      </c>
      <c r="B257" t="s">
        <v>13</v>
      </c>
      <c r="C257" s="1">
        <v>45415</v>
      </c>
      <c r="D257" t="s">
        <v>27</v>
      </c>
      <c r="E257" t="s">
        <v>21</v>
      </c>
      <c r="F257">
        <v>1</v>
      </c>
      <c r="G257">
        <v>5.35</v>
      </c>
      <c r="H257">
        <v>5.35</v>
      </c>
      <c r="I257" t="str">
        <f t="shared" si="21"/>
        <v>Low</v>
      </c>
      <c r="J257">
        <v>1.07</v>
      </c>
      <c r="K257">
        <f t="shared" si="26"/>
        <v>4.2799999999999994</v>
      </c>
      <c r="L257" t="str">
        <f t="shared" si="27"/>
        <v>May</v>
      </c>
      <c r="M257">
        <f>YEAR(C257)</f>
        <v>2024</v>
      </c>
      <c r="N257">
        <v>172</v>
      </c>
      <c r="O257" t="str">
        <f>IF(N257&gt;=200,"Platinum",IF(N257&gt;=100,"Gold",IF(N257&gt;=50,"Silver","Regular")))</f>
        <v>Gold</v>
      </c>
      <c r="P257" s="4" t="str">
        <f t="shared" si="22"/>
        <v>Friday</v>
      </c>
      <c r="Q257" s="4" t="str">
        <f t="shared" si="23"/>
        <v>Small Order</v>
      </c>
      <c r="R257" s="4" t="str">
        <f t="shared" si="24"/>
        <v>Weekday</v>
      </c>
      <c r="S257" s="4" t="str">
        <f t="shared" si="25"/>
        <v>Regular</v>
      </c>
    </row>
    <row r="258" spans="1:19" x14ac:dyDescent="0.3">
      <c r="A258">
        <v>7396</v>
      </c>
      <c r="B258" t="s">
        <v>31</v>
      </c>
      <c r="C258" s="1">
        <v>45350</v>
      </c>
      <c r="D258" t="s">
        <v>11</v>
      </c>
      <c r="E258" t="s">
        <v>30</v>
      </c>
      <c r="F258">
        <v>5</v>
      </c>
      <c r="G258">
        <v>1.07</v>
      </c>
      <c r="H258">
        <v>5.35</v>
      </c>
      <c r="I258" t="str">
        <f t="shared" ref="I258:I321" si="28">IF(J258=0,"No Discount",IF(J258&lt;=5,"Low",IF(J258&lt;=10,"Medium",IF(J258&lt;=20,"High","Very High"))))</f>
        <v>Low</v>
      </c>
      <c r="J258">
        <v>1.07</v>
      </c>
      <c r="K258">
        <f t="shared" si="26"/>
        <v>4.2799999999999994</v>
      </c>
      <c r="L258" t="str">
        <f t="shared" si="27"/>
        <v>February</v>
      </c>
      <c r="M258">
        <f>YEAR(C258)</f>
        <v>2024</v>
      </c>
      <c r="N258">
        <v>439</v>
      </c>
      <c r="O258" t="str">
        <f>IF(N258&gt;=200,"Platinum",IF(N258&gt;=100,"Gold",IF(N258&gt;=50,"Silver","Regular")))</f>
        <v>Platinum</v>
      </c>
      <c r="P258" s="4" t="str">
        <f t="shared" ref="P258:P321" si="29">TEXT(C258,"dddd")</f>
        <v>Wednesday</v>
      </c>
      <c r="Q258" s="4" t="str">
        <f t="shared" ref="Q258:Q321" si="30">IF(F258&lt;=2,"Small Order",IF(F258&lt;=5,"Medium Order",IF(F258&lt;=10,"Large Order","Bulk Order")))</f>
        <v>Medium Order</v>
      </c>
      <c r="R258" s="4" t="str">
        <f t="shared" ref="R258:R321" si="31">IF(WEEKDAY(C258,2)&gt;5,"Weekend","Weekday")</f>
        <v>Weekday</v>
      </c>
      <c r="S258" s="4" t="str">
        <f t="shared" ref="S258:S321" si="32">IF(K258&gt;=100,"High Value","Regular")</f>
        <v>Regular</v>
      </c>
    </row>
    <row r="259" spans="1:19" x14ac:dyDescent="0.3">
      <c r="A259">
        <v>5026</v>
      </c>
      <c r="B259" t="s">
        <v>0</v>
      </c>
      <c r="C259" s="1">
        <v>45532</v>
      </c>
      <c r="D259" t="s">
        <v>9</v>
      </c>
      <c r="E259" t="s">
        <v>30</v>
      </c>
      <c r="F259">
        <v>1</v>
      </c>
      <c r="G259">
        <v>6.35</v>
      </c>
      <c r="H259">
        <v>6.35</v>
      </c>
      <c r="I259" t="str">
        <f t="shared" si="28"/>
        <v>Low</v>
      </c>
      <c r="J259">
        <v>1.27</v>
      </c>
      <c r="K259">
        <f t="shared" ref="K259:K322" si="33">MAX(0,H259-J259)</f>
        <v>5.08</v>
      </c>
      <c r="L259" t="str">
        <f t="shared" ref="L259:L322" si="34">TEXT(C259,"mmmm")</f>
        <v>August</v>
      </c>
      <c r="M259">
        <f>YEAR(C259)</f>
        <v>2024</v>
      </c>
      <c r="N259">
        <v>419</v>
      </c>
      <c r="O259" t="str">
        <f>IF(N259&gt;=200,"Platinum",IF(N259&gt;=100,"Gold",IF(N259&gt;=50,"Silver","Regular")))</f>
        <v>Platinum</v>
      </c>
      <c r="P259" s="4" t="str">
        <f t="shared" si="29"/>
        <v>Wednesday</v>
      </c>
      <c r="Q259" s="4" t="str">
        <f t="shared" si="30"/>
        <v>Small Order</v>
      </c>
      <c r="R259" s="4" t="str">
        <f t="shared" si="31"/>
        <v>Weekday</v>
      </c>
      <c r="S259" s="4" t="str">
        <f t="shared" si="32"/>
        <v>Regular</v>
      </c>
    </row>
    <row r="260" spans="1:19" x14ac:dyDescent="0.3">
      <c r="A260">
        <v>7338</v>
      </c>
      <c r="B260" t="s">
        <v>19</v>
      </c>
      <c r="C260" s="1">
        <v>45434</v>
      </c>
      <c r="D260" t="s">
        <v>17</v>
      </c>
      <c r="E260" t="s">
        <v>32</v>
      </c>
      <c r="F260">
        <v>5</v>
      </c>
      <c r="G260">
        <v>1.46</v>
      </c>
      <c r="H260">
        <v>7.3</v>
      </c>
      <c r="I260" t="str">
        <f t="shared" si="28"/>
        <v>Low</v>
      </c>
      <c r="J260">
        <v>1.46</v>
      </c>
      <c r="K260">
        <f t="shared" si="33"/>
        <v>5.84</v>
      </c>
      <c r="L260" t="str">
        <f t="shared" si="34"/>
        <v>May</v>
      </c>
      <c r="M260">
        <f>YEAR(C260)</f>
        <v>2024</v>
      </c>
      <c r="N260">
        <v>379</v>
      </c>
      <c r="O260" t="str">
        <f>IF(N260&gt;=200,"Platinum",IF(N260&gt;=100,"Gold",IF(N260&gt;=50,"Silver","Regular")))</f>
        <v>Platinum</v>
      </c>
      <c r="P260" s="4" t="str">
        <f t="shared" si="29"/>
        <v>Wednesday</v>
      </c>
      <c r="Q260" s="4" t="str">
        <f t="shared" si="30"/>
        <v>Medium Order</v>
      </c>
      <c r="R260" s="4" t="str">
        <f t="shared" si="31"/>
        <v>Weekday</v>
      </c>
      <c r="S260" s="4" t="str">
        <f t="shared" si="32"/>
        <v>Regular</v>
      </c>
    </row>
    <row r="261" spans="1:19" x14ac:dyDescent="0.3">
      <c r="A261">
        <v>1464</v>
      </c>
      <c r="B261" t="s">
        <v>3</v>
      </c>
      <c r="C261" s="1">
        <v>45208</v>
      </c>
      <c r="D261" t="s">
        <v>24</v>
      </c>
      <c r="E261" t="s">
        <v>10</v>
      </c>
      <c r="F261">
        <v>5</v>
      </c>
      <c r="G261">
        <v>1.66</v>
      </c>
      <c r="H261">
        <v>8.3000000000000007</v>
      </c>
      <c r="I261" t="str">
        <f t="shared" si="28"/>
        <v>Low</v>
      </c>
      <c r="J261">
        <v>1.66</v>
      </c>
      <c r="K261">
        <f t="shared" si="33"/>
        <v>6.6400000000000006</v>
      </c>
      <c r="L261" t="str">
        <f t="shared" si="34"/>
        <v>October</v>
      </c>
      <c r="M261">
        <f>YEAR(C261)</f>
        <v>2023</v>
      </c>
      <c r="N261">
        <v>402</v>
      </c>
      <c r="O261" t="str">
        <f>IF(N261&gt;=200,"Platinum",IF(N261&gt;=100,"Gold",IF(N261&gt;=50,"Silver","Regular")))</f>
        <v>Platinum</v>
      </c>
      <c r="P261" s="4" t="str">
        <f t="shared" si="29"/>
        <v>Monday</v>
      </c>
      <c r="Q261" s="4" t="str">
        <f t="shared" si="30"/>
        <v>Medium Order</v>
      </c>
      <c r="R261" s="4" t="str">
        <f t="shared" si="31"/>
        <v>Weekday</v>
      </c>
      <c r="S261" s="4" t="str">
        <f t="shared" si="32"/>
        <v>Regular</v>
      </c>
    </row>
    <row r="262" spans="1:19" x14ac:dyDescent="0.3">
      <c r="A262">
        <v>6942</v>
      </c>
      <c r="B262" t="s">
        <v>20</v>
      </c>
      <c r="C262" s="1">
        <v>45222</v>
      </c>
      <c r="D262" t="s">
        <v>9</v>
      </c>
      <c r="E262" t="s">
        <v>35</v>
      </c>
      <c r="F262">
        <v>1</v>
      </c>
      <c r="G262">
        <v>8.4</v>
      </c>
      <c r="H262">
        <v>8.4</v>
      </c>
      <c r="I262" t="str">
        <f t="shared" si="28"/>
        <v>Low</v>
      </c>
      <c r="J262">
        <v>1.68</v>
      </c>
      <c r="K262">
        <f t="shared" si="33"/>
        <v>6.7200000000000006</v>
      </c>
      <c r="L262" t="str">
        <f t="shared" si="34"/>
        <v>October</v>
      </c>
      <c r="M262">
        <f>YEAR(C262)</f>
        <v>2023</v>
      </c>
      <c r="N262">
        <v>30</v>
      </c>
      <c r="O262" t="str">
        <f>IF(N262&gt;=200,"Platinum",IF(N262&gt;=100,"Gold",IF(N262&gt;=50,"Silver","Regular")))</f>
        <v>Regular</v>
      </c>
      <c r="P262" s="4" t="str">
        <f t="shared" si="29"/>
        <v>Monday</v>
      </c>
      <c r="Q262" s="4" t="str">
        <f t="shared" si="30"/>
        <v>Small Order</v>
      </c>
      <c r="R262" s="4" t="str">
        <f t="shared" si="31"/>
        <v>Weekday</v>
      </c>
      <c r="S262" s="4" t="str">
        <f t="shared" si="32"/>
        <v>Regular</v>
      </c>
    </row>
    <row r="263" spans="1:19" x14ac:dyDescent="0.3">
      <c r="A263">
        <v>4791</v>
      </c>
      <c r="B263" t="s">
        <v>3</v>
      </c>
      <c r="C263" s="1">
        <v>45197</v>
      </c>
      <c r="D263" t="s">
        <v>6</v>
      </c>
      <c r="E263" t="s">
        <v>32</v>
      </c>
      <c r="F263">
        <v>5</v>
      </c>
      <c r="G263">
        <v>1.69</v>
      </c>
      <c r="H263">
        <v>8.4499999999999993</v>
      </c>
      <c r="I263" t="str">
        <f t="shared" si="28"/>
        <v>Low</v>
      </c>
      <c r="J263">
        <v>1.69</v>
      </c>
      <c r="K263">
        <f t="shared" si="33"/>
        <v>6.76</v>
      </c>
      <c r="L263" t="str">
        <f t="shared" si="34"/>
        <v>September</v>
      </c>
      <c r="M263">
        <f>YEAR(C263)</f>
        <v>2023</v>
      </c>
      <c r="N263">
        <v>491</v>
      </c>
      <c r="O263" t="str">
        <f>IF(N263&gt;=200,"Platinum",IF(N263&gt;=100,"Gold",IF(N263&gt;=50,"Silver","Regular")))</f>
        <v>Platinum</v>
      </c>
      <c r="P263" s="4" t="str">
        <f t="shared" si="29"/>
        <v>Thursday</v>
      </c>
      <c r="Q263" s="4" t="str">
        <f t="shared" si="30"/>
        <v>Medium Order</v>
      </c>
      <c r="R263" s="4" t="str">
        <f t="shared" si="31"/>
        <v>Weekday</v>
      </c>
      <c r="S263" s="4" t="str">
        <f t="shared" si="32"/>
        <v>Regular</v>
      </c>
    </row>
    <row r="264" spans="1:19" x14ac:dyDescent="0.3">
      <c r="A264">
        <v>9499</v>
      </c>
      <c r="B264" t="s">
        <v>0</v>
      </c>
      <c r="C264" s="1">
        <v>45578</v>
      </c>
      <c r="D264" t="s">
        <v>11</v>
      </c>
      <c r="E264" t="s">
        <v>36</v>
      </c>
      <c r="F264">
        <v>5</v>
      </c>
      <c r="G264">
        <v>1.77</v>
      </c>
      <c r="H264">
        <v>8.85</v>
      </c>
      <c r="I264" t="str">
        <f t="shared" si="28"/>
        <v>Low</v>
      </c>
      <c r="J264">
        <v>1.77</v>
      </c>
      <c r="K264">
        <f t="shared" si="33"/>
        <v>7.08</v>
      </c>
      <c r="L264" t="str">
        <f t="shared" si="34"/>
        <v>October</v>
      </c>
      <c r="M264">
        <f>YEAR(C264)</f>
        <v>2024</v>
      </c>
      <c r="N264">
        <v>453</v>
      </c>
      <c r="O264" t="str">
        <f>IF(N264&gt;=200,"Platinum",IF(N264&gt;=100,"Gold",IF(N264&gt;=50,"Silver","Regular")))</f>
        <v>Platinum</v>
      </c>
      <c r="P264" s="4" t="str">
        <f t="shared" si="29"/>
        <v>Sunday</v>
      </c>
      <c r="Q264" s="4" t="str">
        <f t="shared" si="30"/>
        <v>Medium Order</v>
      </c>
      <c r="R264" s="4" t="str">
        <f t="shared" si="31"/>
        <v>Weekend</v>
      </c>
      <c r="S264" s="4" t="str">
        <f t="shared" si="32"/>
        <v>Regular</v>
      </c>
    </row>
    <row r="265" spans="1:19" x14ac:dyDescent="0.3">
      <c r="A265">
        <v>9501</v>
      </c>
      <c r="B265" t="s">
        <v>3</v>
      </c>
      <c r="C265" s="1">
        <v>45840</v>
      </c>
      <c r="D265" t="s">
        <v>4</v>
      </c>
      <c r="E265" t="s">
        <v>30</v>
      </c>
      <c r="F265">
        <v>1</v>
      </c>
      <c r="G265">
        <v>9.5500000000000007</v>
      </c>
      <c r="H265">
        <v>9.5500000000000007</v>
      </c>
      <c r="I265" t="str">
        <f t="shared" si="28"/>
        <v>Low</v>
      </c>
      <c r="J265">
        <v>1.91</v>
      </c>
      <c r="K265">
        <f t="shared" si="33"/>
        <v>7.6400000000000006</v>
      </c>
      <c r="L265" t="str">
        <f t="shared" si="34"/>
        <v>July</v>
      </c>
      <c r="M265">
        <f>YEAR(C265)</f>
        <v>2025</v>
      </c>
      <c r="N265">
        <v>265</v>
      </c>
      <c r="O265" t="str">
        <f>IF(N265&gt;=200,"Platinum",IF(N265&gt;=100,"Gold",IF(N265&gt;=50,"Silver","Regular")))</f>
        <v>Platinum</v>
      </c>
      <c r="P265" s="4" t="str">
        <f t="shared" si="29"/>
        <v>Wednesday</v>
      </c>
      <c r="Q265" s="4" t="str">
        <f t="shared" si="30"/>
        <v>Small Order</v>
      </c>
      <c r="R265" s="4" t="str">
        <f t="shared" si="31"/>
        <v>Weekday</v>
      </c>
      <c r="S265" s="4" t="str">
        <f t="shared" si="32"/>
        <v>Regular</v>
      </c>
    </row>
    <row r="266" spans="1:19" x14ac:dyDescent="0.3">
      <c r="A266">
        <v>6147</v>
      </c>
      <c r="B266" t="s">
        <v>8</v>
      </c>
      <c r="C266" s="1">
        <v>45282</v>
      </c>
      <c r="D266" t="s">
        <v>34</v>
      </c>
      <c r="E266" t="s">
        <v>28</v>
      </c>
      <c r="F266">
        <v>3</v>
      </c>
      <c r="G266">
        <v>3.25</v>
      </c>
      <c r="H266">
        <v>9.75</v>
      </c>
      <c r="I266" t="str">
        <f t="shared" si="28"/>
        <v>Low</v>
      </c>
      <c r="J266">
        <v>1.95</v>
      </c>
      <c r="K266">
        <f t="shared" si="33"/>
        <v>7.8</v>
      </c>
      <c r="L266" t="str">
        <f t="shared" si="34"/>
        <v>December</v>
      </c>
      <c r="M266">
        <f>YEAR(C266)</f>
        <v>2023</v>
      </c>
      <c r="N266">
        <v>496</v>
      </c>
      <c r="O266" t="str">
        <f>IF(N266&gt;=200,"Platinum",IF(N266&gt;=100,"Gold",IF(N266&gt;=50,"Silver","Regular")))</f>
        <v>Platinum</v>
      </c>
      <c r="P266" s="4" t="str">
        <f t="shared" si="29"/>
        <v>Friday</v>
      </c>
      <c r="Q266" s="4" t="str">
        <f t="shared" si="30"/>
        <v>Medium Order</v>
      </c>
      <c r="R266" s="4" t="str">
        <f t="shared" si="31"/>
        <v>Weekday</v>
      </c>
      <c r="S266" s="4" t="str">
        <f t="shared" si="32"/>
        <v>Regular</v>
      </c>
    </row>
    <row r="267" spans="1:19" x14ac:dyDescent="0.3">
      <c r="A267">
        <v>5331</v>
      </c>
      <c r="B267" t="s">
        <v>20</v>
      </c>
      <c r="C267" s="1">
        <v>45618</v>
      </c>
      <c r="D267" t="s">
        <v>6</v>
      </c>
      <c r="E267" t="s">
        <v>29</v>
      </c>
      <c r="F267">
        <v>2</v>
      </c>
      <c r="G267">
        <v>5.0999999999999996</v>
      </c>
      <c r="H267">
        <v>10.199999999999999</v>
      </c>
      <c r="I267" t="str">
        <f t="shared" si="28"/>
        <v>Low</v>
      </c>
      <c r="J267">
        <v>2.04</v>
      </c>
      <c r="K267">
        <f t="shared" si="33"/>
        <v>8.16</v>
      </c>
      <c r="L267" t="str">
        <f t="shared" si="34"/>
        <v>November</v>
      </c>
      <c r="M267">
        <f>YEAR(C267)</f>
        <v>2024</v>
      </c>
      <c r="N267">
        <v>438</v>
      </c>
      <c r="O267" t="str">
        <f>IF(N267&gt;=200,"Platinum",IF(N267&gt;=100,"Gold",IF(N267&gt;=50,"Silver","Regular")))</f>
        <v>Platinum</v>
      </c>
      <c r="P267" s="4" t="str">
        <f t="shared" si="29"/>
        <v>Friday</v>
      </c>
      <c r="Q267" s="4" t="str">
        <f t="shared" si="30"/>
        <v>Small Order</v>
      </c>
      <c r="R267" s="4" t="str">
        <f t="shared" si="31"/>
        <v>Weekday</v>
      </c>
      <c r="S267" s="4" t="str">
        <f t="shared" si="32"/>
        <v>Regular</v>
      </c>
    </row>
    <row r="268" spans="1:19" x14ac:dyDescent="0.3">
      <c r="A268">
        <v>5945</v>
      </c>
      <c r="B268" t="s">
        <v>31</v>
      </c>
      <c r="C268" s="1">
        <v>45268</v>
      </c>
      <c r="D268" t="s">
        <v>24</v>
      </c>
      <c r="E268" t="s">
        <v>22</v>
      </c>
      <c r="F268">
        <v>1</v>
      </c>
      <c r="G268">
        <v>10.4</v>
      </c>
      <c r="H268">
        <v>10.4</v>
      </c>
      <c r="I268" t="str">
        <f t="shared" si="28"/>
        <v>Low</v>
      </c>
      <c r="J268">
        <v>2.08</v>
      </c>
      <c r="K268">
        <f t="shared" si="33"/>
        <v>8.32</v>
      </c>
      <c r="L268" t="str">
        <f t="shared" si="34"/>
        <v>December</v>
      </c>
      <c r="M268">
        <f>YEAR(C268)</f>
        <v>2023</v>
      </c>
      <c r="N268">
        <v>357</v>
      </c>
      <c r="O268" t="str">
        <f>IF(N268&gt;=200,"Platinum",IF(N268&gt;=100,"Gold",IF(N268&gt;=50,"Silver","Regular")))</f>
        <v>Platinum</v>
      </c>
      <c r="P268" s="4" t="str">
        <f t="shared" si="29"/>
        <v>Friday</v>
      </c>
      <c r="Q268" s="4" t="str">
        <f t="shared" si="30"/>
        <v>Small Order</v>
      </c>
      <c r="R268" s="4" t="str">
        <f t="shared" si="31"/>
        <v>Weekday</v>
      </c>
      <c r="S268" s="4" t="str">
        <f t="shared" si="32"/>
        <v>Regular</v>
      </c>
    </row>
    <row r="269" spans="1:19" x14ac:dyDescent="0.3">
      <c r="A269">
        <v>9653</v>
      </c>
      <c r="B269" t="s">
        <v>15</v>
      </c>
      <c r="C269" s="1">
        <v>45858</v>
      </c>
      <c r="D269" t="s">
        <v>23</v>
      </c>
      <c r="E269" t="s">
        <v>14</v>
      </c>
      <c r="F269">
        <v>2</v>
      </c>
      <c r="G269">
        <v>5.25</v>
      </c>
      <c r="H269">
        <v>10.5</v>
      </c>
      <c r="I269" t="str">
        <f t="shared" si="28"/>
        <v>Low</v>
      </c>
      <c r="J269">
        <v>2.1</v>
      </c>
      <c r="K269">
        <f t="shared" si="33"/>
        <v>8.4</v>
      </c>
      <c r="L269" t="str">
        <f t="shared" si="34"/>
        <v>July</v>
      </c>
      <c r="M269">
        <f>YEAR(C269)</f>
        <v>2025</v>
      </c>
      <c r="N269">
        <v>316</v>
      </c>
      <c r="O269" t="str">
        <f>IF(N269&gt;=200,"Platinum",IF(N269&gt;=100,"Gold",IF(N269&gt;=50,"Silver","Regular")))</f>
        <v>Platinum</v>
      </c>
      <c r="P269" s="4" t="str">
        <f t="shared" si="29"/>
        <v>Sunday</v>
      </c>
      <c r="Q269" s="4" t="str">
        <f t="shared" si="30"/>
        <v>Small Order</v>
      </c>
      <c r="R269" s="4" t="str">
        <f t="shared" si="31"/>
        <v>Weekend</v>
      </c>
      <c r="S269" s="4" t="str">
        <f t="shared" si="32"/>
        <v>Regular</v>
      </c>
    </row>
    <row r="270" spans="1:19" x14ac:dyDescent="0.3">
      <c r="A270">
        <v>6992</v>
      </c>
      <c r="B270" t="s">
        <v>3</v>
      </c>
      <c r="C270" s="1">
        <v>45738</v>
      </c>
      <c r="D270" t="s">
        <v>17</v>
      </c>
      <c r="E270" t="s">
        <v>36</v>
      </c>
      <c r="F270">
        <v>1</v>
      </c>
      <c r="G270">
        <v>10.65</v>
      </c>
      <c r="H270">
        <v>10.65</v>
      </c>
      <c r="I270" t="str">
        <f t="shared" si="28"/>
        <v>Low</v>
      </c>
      <c r="J270">
        <v>2.13</v>
      </c>
      <c r="K270">
        <f t="shared" si="33"/>
        <v>8.52</v>
      </c>
      <c r="L270" t="str">
        <f t="shared" si="34"/>
        <v>March</v>
      </c>
      <c r="M270">
        <f>YEAR(C270)</f>
        <v>2025</v>
      </c>
      <c r="N270">
        <v>366</v>
      </c>
      <c r="O270" t="str">
        <f>IF(N270&gt;=200,"Platinum",IF(N270&gt;=100,"Gold",IF(N270&gt;=50,"Silver","Regular")))</f>
        <v>Platinum</v>
      </c>
      <c r="P270" s="4" t="str">
        <f t="shared" si="29"/>
        <v>Saturday</v>
      </c>
      <c r="Q270" s="4" t="str">
        <f t="shared" si="30"/>
        <v>Small Order</v>
      </c>
      <c r="R270" s="4" t="str">
        <f t="shared" si="31"/>
        <v>Weekend</v>
      </c>
      <c r="S270" s="4" t="str">
        <f t="shared" si="32"/>
        <v>Regular</v>
      </c>
    </row>
    <row r="271" spans="1:19" x14ac:dyDescent="0.3">
      <c r="A271">
        <v>6489</v>
      </c>
      <c r="B271" t="s">
        <v>25</v>
      </c>
      <c r="C271" s="1">
        <v>45366</v>
      </c>
      <c r="D271" t="s">
        <v>34</v>
      </c>
      <c r="E271" t="s">
        <v>37</v>
      </c>
      <c r="F271">
        <v>4</v>
      </c>
      <c r="G271">
        <v>2.95</v>
      </c>
      <c r="H271">
        <v>11.8</v>
      </c>
      <c r="I271" t="str">
        <f t="shared" si="28"/>
        <v>Low</v>
      </c>
      <c r="J271">
        <v>2.36</v>
      </c>
      <c r="K271">
        <f t="shared" si="33"/>
        <v>9.4400000000000013</v>
      </c>
      <c r="L271" t="str">
        <f t="shared" si="34"/>
        <v>March</v>
      </c>
      <c r="M271">
        <f>YEAR(C271)</f>
        <v>2024</v>
      </c>
      <c r="N271">
        <v>214</v>
      </c>
      <c r="O271" t="str">
        <f>IF(N271&gt;=200,"Platinum",IF(N271&gt;=100,"Gold",IF(N271&gt;=50,"Silver","Regular")))</f>
        <v>Platinum</v>
      </c>
      <c r="P271" s="4" t="str">
        <f t="shared" si="29"/>
        <v>Friday</v>
      </c>
      <c r="Q271" s="4" t="str">
        <f t="shared" si="30"/>
        <v>Medium Order</v>
      </c>
      <c r="R271" s="4" t="str">
        <f t="shared" si="31"/>
        <v>Weekday</v>
      </c>
      <c r="S271" s="4" t="str">
        <f t="shared" si="32"/>
        <v>Regular</v>
      </c>
    </row>
    <row r="272" spans="1:19" x14ac:dyDescent="0.3">
      <c r="A272">
        <v>9452</v>
      </c>
      <c r="B272" t="s">
        <v>0</v>
      </c>
      <c r="C272" s="1">
        <v>45806</v>
      </c>
      <c r="D272" t="s">
        <v>9</v>
      </c>
      <c r="E272" t="s">
        <v>12</v>
      </c>
      <c r="F272">
        <v>1</v>
      </c>
      <c r="G272">
        <v>12.5</v>
      </c>
      <c r="H272">
        <v>12.5</v>
      </c>
      <c r="I272" t="str">
        <f t="shared" si="28"/>
        <v>Low</v>
      </c>
      <c r="J272">
        <v>2.5</v>
      </c>
      <c r="K272">
        <f t="shared" si="33"/>
        <v>10</v>
      </c>
      <c r="L272" t="str">
        <f t="shared" si="34"/>
        <v>May</v>
      </c>
      <c r="M272">
        <f>YEAR(C272)</f>
        <v>2025</v>
      </c>
      <c r="N272">
        <v>429</v>
      </c>
      <c r="O272" t="str">
        <f>IF(N272&gt;=200,"Platinum",IF(N272&gt;=100,"Gold",IF(N272&gt;=50,"Silver","Regular")))</f>
        <v>Platinum</v>
      </c>
      <c r="P272" s="4" t="str">
        <f t="shared" si="29"/>
        <v>Thursday</v>
      </c>
      <c r="Q272" s="4" t="str">
        <f t="shared" si="30"/>
        <v>Small Order</v>
      </c>
      <c r="R272" s="4" t="str">
        <f t="shared" si="31"/>
        <v>Weekday</v>
      </c>
      <c r="S272" s="4" t="str">
        <f t="shared" si="32"/>
        <v>Regular</v>
      </c>
    </row>
    <row r="273" spans="1:19" x14ac:dyDescent="0.3">
      <c r="A273">
        <v>9090</v>
      </c>
      <c r="B273" t="s">
        <v>0</v>
      </c>
      <c r="C273" s="1">
        <v>45485</v>
      </c>
      <c r="D273" t="s">
        <v>27</v>
      </c>
      <c r="E273" t="s">
        <v>37</v>
      </c>
      <c r="F273">
        <v>3</v>
      </c>
      <c r="G273">
        <v>4.3</v>
      </c>
      <c r="H273">
        <v>12.9</v>
      </c>
      <c r="I273" t="str">
        <f t="shared" si="28"/>
        <v>Low</v>
      </c>
      <c r="J273">
        <v>2.58</v>
      </c>
      <c r="K273">
        <f t="shared" si="33"/>
        <v>10.32</v>
      </c>
      <c r="L273" t="str">
        <f t="shared" si="34"/>
        <v>July</v>
      </c>
      <c r="M273">
        <f>YEAR(C273)</f>
        <v>2024</v>
      </c>
      <c r="N273">
        <v>54</v>
      </c>
      <c r="O273" t="str">
        <f>IF(N273&gt;=200,"Platinum",IF(N273&gt;=100,"Gold",IF(N273&gt;=50,"Silver","Regular")))</f>
        <v>Silver</v>
      </c>
      <c r="P273" s="4" t="str">
        <f t="shared" si="29"/>
        <v>Friday</v>
      </c>
      <c r="Q273" s="4" t="str">
        <f t="shared" si="30"/>
        <v>Medium Order</v>
      </c>
      <c r="R273" s="4" t="str">
        <f t="shared" si="31"/>
        <v>Weekday</v>
      </c>
      <c r="S273" s="4" t="str">
        <f t="shared" si="32"/>
        <v>Regular</v>
      </c>
    </row>
    <row r="274" spans="1:19" x14ac:dyDescent="0.3">
      <c r="A274">
        <v>2545</v>
      </c>
      <c r="B274" t="s">
        <v>15</v>
      </c>
      <c r="C274" s="1">
        <v>45220</v>
      </c>
      <c r="D274" t="s">
        <v>27</v>
      </c>
      <c r="E274" t="s">
        <v>29</v>
      </c>
      <c r="F274">
        <v>5</v>
      </c>
      <c r="G274">
        <v>2.97</v>
      </c>
      <c r="H274">
        <v>14.85</v>
      </c>
      <c r="I274" t="str">
        <f t="shared" si="28"/>
        <v>Low</v>
      </c>
      <c r="J274">
        <v>2.97</v>
      </c>
      <c r="K274">
        <f t="shared" si="33"/>
        <v>11.879999999999999</v>
      </c>
      <c r="L274" t="str">
        <f t="shared" si="34"/>
        <v>October</v>
      </c>
      <c r="M274">
        <f>YEAR(C274)</f>
        <v>2023</v>
      </c>
      <c r="N274">
        <v>323</v>
      </c>
      <c r="O274" t="str">
        <f>IF(N274&gt;=200,"Platinum",IF(N274&gt;=100,"Gold",IF(N274&gt;=50,"Silver","Regular")))</f>
        <v>Platinum</v>
      </c>
      <c r="P274" s="4" t="str">
        <f t="shared" si="29"/>
        <v>Saturday</v>
      </c>
      <c r="Q274" s="4" t="str">
        <f t="shared" si="30"/>
        <v>Medium Order</v>
      </c>
      <c r="R274" s="4" t="str">
        <f t="shared" si="31"/>
        <v>Weekend</v>
      </c>
      <c r="S274" s="4" t="str">
        <f t="shared" si="32"/>
        <v>Regular</v>
      </c>
    </row>
    <row r="275" spans="1:19" x14ac:dyDescent="0.3">
      <c r="A275">
        <v>3607</v>
      </c>
      <c r="B275" t="s">
        <v>19</v>
      </c>
      <c r="C275" s="1">
        <v>45722</v>
      </c>
      <c r="D275" t="s">
        <v>27</v>
      </c>
      <c r="E275" t="s">
        <v>26</v>
      </c>
      <c r="F275">
        <v>1</v>
      </c>
      <c r="G275">
        <v>15.55</v>
      </c>
      <c r="H275">
        <v>15.55</v>
      </c>
      <c r="I275" t="str">
        <f t="shared" si="28"/>
        <v>Low</v>
      </c>
      <c r="J275">
        <v>3.11</v>
      </c>
      <c r="K275">
        <f t="shared" si="33"/>
        <v>12.440000000000001</v>
      </c>
      <c r="L275" t="str">
        <f t="shared" si="34"/>
        <v>March</v>
      </c>
      <c r="M275">
        <f>YEAR(C275)</f>
        <v>2025</v>
      </c>
      <c r="N275">
        <v>357</v>
      </c>
      <c r="O275" t="str">
        <f>IF(N275&gt;=200,"Platinum",IF(N275&gt;=100,"Gold",IF(N275&gt;=50,"Silver","Regular")))</f>
        <v>Platinum</v>
      </c>
      <c r="P275" s="4" t="str">
        <f t="shared" si="29"/>
        <v>Thursday</v>
      </c>
      <c r="Q275" s="4" t="str">
        <f t="shared" si="30"/>
        <v>Small Order</v>
      </c>
      <c r="R275" s="4" t="str">
        <f t="shared" si="31"/>
        <v>Weekday</v>
      </c>
      <c r="S275" s="4" t="str">
        <f t="shared" si="32"/>
        <v>Regular</v>
      </c>
    </row>
    <row r="276" spans="1:19" x14ac:dyDescent="0.3">
      <c r="A276">
        <v>3705</v>
      </c>
      <c r="B276" t="s">
        <v>31</v>
      </c>
      <c r="C276" s="1">
        <v>45350</v>
      </c>
      <c r="D276" t="s">
        <v>24</v>
      </c>
      <c r="E276" t="s">
        <v>32</v>
      </c>
      <c r="F276">
        <v>2</v>
      </c>
      <c r="G276">
        <v>7.95</v>
      </c>
      <c r="H276">
        <v>15.9</v>
      </c>
      <c r="I276" t="str">
        <f t="shared" si="28"/>
        <v>Low</v>
      </c>
      <c r="J276">
        <v>3.18</v>
      </c>
      <c r="K276">
        <f t="shared" si="33"/>
        <v>12.72</v>
      </c>
      <c r="L276" t="str">
        <f t="shared" si="34"/>
        <v>February</v>
      </c>
      <c r="M276">
        <f>YEAR(C276)</f>
        <v>2024</v>
      </c>
      <c r="N276">
        <v>282</v>
      </c>
      <c r="O276" t="str">
        <f>IF(N276&gt;=200,"Platinum",IF(N276&gt;=100,"Gold",IF(N276&gt;=50,"Silver","Regular")))</f>
        <v>Platinum</v>
      </c>
      <c r="P276" s="4" t="str">
        <f t="shared" si="29"/>
        <v>Wednesday</v>
      </c>
      <c r="Q276" s="4" t="str">
        <f t="shared" si="30"/>
        <v>Small Order</v>
      </c>
      <c r="R276" s="4" t="str">
        <f t="shared" si="31"/>
        <v>Weekday</v>
      </c>
      <c r="S276" s="4" t="str">
        <f t="shared" si="32"/>
        <v>Regular</v>
      </c>
    </row>
    <row r="277" spans="1:19" x14ac:dyDescent="0.3">
      <c r="A277">
        <v>4073</v>
      </c>
      <c r="B277" t="s">
        <v>3</v>
      </c>
      <c r="C277" s="1">
        <v>45547</v>
      </c>
      <c r="D277" t="s">
        <v>24</v>
      </c>
      <c r="E277" t="s">
        <v>5</v>
      </c>
      <c r="F277">
        <v>1</v>
      </c>
      <c r="G277">
        <v>16.149999999999999</v>
      </c>
      <c r="H277">
        <v>16.149999999999999</v>
      </c>
      <c r="I277" t="str">
        <f t="shared" si="28"/>
        <v>Low</v>
      </c>
      <c r="J277">
        <v>3.23</v>
      </c>
      <c r="K277">
        <f t="shared" si="33"/>
        <v>12.919999999999998</v>
      </c>
      <c r="L277" t="str">
        <f t="shared" si="34"/>
        <v>September</v>
      </c>
      <c r="M277">
        <f>YEAR(C277)</f>
        <v>2024</v>
      </c>
      <c r="N277">
        <v>12</v>
      </c>
      <c r="O277" t="str">
        <f>IF(N277&gt;=200,"Platinum",IF(N277&gt;=100,"Gold",IF(N277&gt;=50,"Silver","Regular")))</f>
        <v>Regular</v>
      </c>
      <c r="P277" s="4" t="str">
        <f t="shared" si="29"/>
        <v>Thursday</v>
      </c>
      <c r="Q277" s="4" t="str">
        <f t="shared" si="30"/>
        <v>Small Order</v>
      </c>
      <c r="R277" s="4" t="str">
        <f t="shared" si="31"/>
        <v>Weekday</v>
      </c>
      <c r="S277" s="4" t="str">
        <f t="shared" si="32"/>
        <v>Regular</v>
      </c>
    </row>
    <row r="278" spans="1:19" x14ac:dyDescent="0.3">
      <c r="A278">
        <v>1100</v>
      </c>
      <c r="B278" t="s">
        <v>3</v>
      </c>
      <c r="C278" s="1">
        <v>45285</v>
      </c>
      <c r="D278" t="s">
        <v>24</v>
      </c>
      <c r="E278" t="s">
        <v>22</v>
      </c>
      <c r="F278">
        <v>5</v>
      </c>
      <c r="G278">
        <v>3.26</v>
      </c>
      <c r="H278">
        <v>16.3</v>
      </c>
      <c r="I278" t="str">
        <f t="shared" si="28"/>
        <v>Low</v>
      </c>
      <c r="J278">
        <v>3.26</v>
      </c>
      <c r="K278">
        <f t="shared" si="33"/>
        <v>13.040000000000001</v>
      </c>
      <c r="L278" t="str">
        <f t="shared" si="34"/>
        <v>December</v>
      </c>
      <c r="M278">
        <f>YEAR(C278)</f>
        <v>2023</v>
      </c>
      <c r="N278">
        <v>455</v>
      </c>
      <c r="O278" t="str">
        <f>IF(N278&gt;=200,"Platinum",IF(N278&gt;=100,"Gold",IF(N278&gt;=50,"Silver","Regular")))</f>
        <v>Platinum</v>
      </c>
      <c r="P278" s="4" t="str">
        <f t="shared" si="29"/>
        <v>Monday</v>
      </c>
      <c r="Q278" s="4" t="str">
        <f t="shared" si="30"/>
        <v>Medium Order</v>
      </c>
      <c r="R278" s="4" t="str">
        <f t="shared" si="31"/>
        <v>Weekday</v>
      </c>
      <c r="S278" s="4" t="str">
        <f t="shared" si="32"/>
        <v>Regular</v>
      </c>
    </row>
    <row r="279" spans="1:19" x14ac:dyDescent="0.3">
      <c r="A279">
        <v>7001</v>
      </c>
      <c r="B279" t="s">
        <v>19</v>
      </c>
      <c r="C279" s="1">
        <v>45426</v>
      </c>
      <c r="D279" t="s">
        <v>4</v>
      </c>
      <c r="E279" t="s">
        <v>37</v>
      </c>
      <c r="F279">
        <v>1</v>
      </c>
      <c r="G279">
        <v>16.7</v>
      </c>
      <c r="H279">
        <v>16.7</v>
      </c>
      <c r="I279" t="str">
        <f t="shared" si="28"/>
        <v>Low</v>
      </c>
      <c r="J279">
        <v>3.34</v>
      </c>
      <c r="K279">
        <f t="shared" si="33"/>
        <v>13.36</v>
      </c>
      <c r="L279" t="str">
        <f t="shared" si="34"/>
        <v>May</v>
      </c>
      <c r="M279">
        <f>YEAR(C279)</f>
        <v>2024</v>
      </c>
      <c r="N279">
        <v>146</v>
      </c>
      <c r="O279" t="str">
        <f>IF(N279&gt;=200,"Platinum",IF(N279&gt;=100,"Gold",IF(N279&gt;=50,"Silver","Regular")))</f>
        <v>Gold</v>
      </c>
      <c r="P279" s="4" t="str">
        <f t="shared" si="29"/>
        <v>Tuesday</v>
      </c>
      <c r="Q279" s="4" t="str">
        <f t="shared" si="30"/>
        <v>Small Order</v>
      </c>
      <c r="R279" s="4" t="str">
        <f t="shared" si="31"/>
        <v>Weekday</v>
      </c>
      <c r="S279" s="4" t="str">
        <f t="shared" si="32"/>
        <v>Regular</v>
      </c>
    </row>
    <row r="280" spans="1:19" x14ac:dyDescent="0.3">
      <c r="A280">
        <v>5193</v>
      </c>
      <c r="B280" t="s">
        <v>25</v>
      </c>
      <c r="C280" s="1">
        <v>45298</v>
      </c>
      <c r="D280" t="s">
        <v>23</v>
      </c>
      <c r="E280" t="s">
        <v>7</v>
      </c>
      <c r="F280">
        <v>1</v>
      </c>
      <c r="G280">
        <v>17.25</v>
      </c>
      <c r="H280">
        <v>17.25</v>
      </c>
      <c r="I280" t="str">
        <f t="shared" si="28"/>
        <v>Low</v>
      </c>
      <c r="J280">
        <v>3.45</v>
      </c>
      <c r="K280">
        <f t="shared" si="33"/>
        <v>13.8</v>
      </c>
      <c r="L280" t="str">
        <f t="shared" si="34"/>
        <v>January</v>
      </c>
      <c r="M280">
        <f>YEAR(C280)</f>
        <v>2024</v>
      </c>
      <c r="N280">
        <v>396</v>
      </c>
      <c r="O280" t="str">
        <f>IF(N280&gt;=200,"Platinum",IF(N280&gt;=100,"Gold",IF(N280&gt;=50,"Silver","Regular")))</f>
        <v>Platinum</v>
      </c>
      <c r="P280" s="4" t="str">
        <f t="shared" si="29"/>
        <v>Sunday</v>
      </c>
      <c r="Q280" s="4" t="str">
        <f t="shared" si="30"/>
        <v>Small Order</v>
      </c>
      <c r="R280" s="4" t="str">
        <f t="shared" si="31"/>
        <v>Weekend</v>
      </c>
      <c r="S280" s="4" t="str">
        <f t="shared" si="32"/>
        <v>Regular</v>
      </c>
    </row>
    <row r="281" spans="1:19" x14ac:dyDescent="0.3">
      <c r="A281">
        <v>1613</v>
      </c>
      <c r="B281" t="s">
        <v>8</v>
      </c>
      <c r="C281" s="1">
        <v>45152</v>
      </c>
      <c r="D281" t="s">
        <v>16</v>
      </c>
      <c r="E281" t="s">
        <v>37</v>
      </c>
      <c r="F281">
        <v>1</v>
      </c>
      <c r="G281">
        <v>18</v>
      </c>
      <c r="H281">
        <v>18</v>
      </c>
      <c r="I281" t="str">
        <f t="shared" si="28"/>
        <v>Low</v>
      </c>
      <c r="J281">
        <v>3.6</v>
      </c>
      <c r="K281">
        <f t="shared" si="33"/>
        <v>14.4</v>
      </c>
      <c r="L281" t="str">
        <f t="shared" si="34"/>
        <v>August</v>
      </c>
      <c r="M281">
        <f>YEAR(C281)</f>
        <v>2023</v>
      </c>
      <c r="N281">
        <v>467</v>
      </c>
      <c r="O281" t="str">
        <f>IF(N281&gt;=200,"Platinum",IF(N281&gt;=100,"Gold",IF(N281&gt;=50,"Silver","Regular")))</f>
        <v>Platinum</v>
      </c>
      <c r="P281" s="4" t="str">
        <f t="shared" si="29"/>
        <v>Monday</v>
      </c>
      <c r="Q281" s="4" t="str">
        <f t="shared" si="30"/>
        <v>Small Order</v>
      </c>
      <c r="R281" s="4" t="str">
        <f t="shared" si="31"/>
        <v>Weekday</v>
      </c>
      <c r="S281" s="4" t="str">
        <f t="shared" si="32"/>
        <v>Regular</v>
      </c>
    </row>
    <row r="282" spans="1:19" x14ac:dyDescent="0.3">
      <c r="A282">
        <v>3181</v>
      </c>
      <c r="B282" t="s">
        <v>13</v>
      </c>
      <c r="C282" s="1">
        <v>45643</v>
      </c>
      <c r="D282" t="s">
        <v>34</v>
      </c>
      <c r="E282" t="s">
        <v>30</v>
      </c>
      <c r="F282">
        <v>3</v>
      </c>
      <c r="G282">
        <v>6.3</v>
      </c>
      <c r="H282">
        <v>18.899999999999999</v>
      </c>
      <c r="I282" t="str">
        <f t="shared" si="28"/>
        <v>Low</v>
      </c>
      <c r="J282">
        <v>3.78</v>
      </c>
      <c r="K282">
        <f t="shared" si="33"/>
        <v>15.12</v>
      </c>
      <c r="L282" t="str">
        <f t="shared" si="34"/>
        <v>December</v>
      </c>
      <c r="M282">
        <f>YEAR(C282)</f>
        <v>2024</v>
      </c>
      <c r="N282">
        <v>159</v>
      </c>
      <c r="O282" t="str">
        <f>IF(N282&gt;=200,"Platinum",IF(N282&gt;=100,"Gold",IF(N282&gt;=50,"Silver","Regular")))</f>
        <v>Gold</v>
      </c>
      <c r="P282" s="4" t="str">
        <f t="shared" si="29"/>
        <v>Tuesday</v>
      </c>
      <c r="Q282" s="4" t="str">
        <f t="shared" si="30"/>
        <v>Medium Order</v>
      </c>
      <c r="R282" s="4" t="str">
        <f t="shared" si="31"/>
        <v>Weekday</v>
      </c>
      <c r="S282" s="4" t="str">
        <f t="shared" si="32"/>
        <v>Regular</v>
      </c>
    </row>
    <row r="283" spans="1:19" x14ac:dyDescent="0.3">
      <c r="A283">
        <v>3274</v>
      </c>
      <c r="B283" t="s">
        <v>15</v>
      </c>
      <c r="C283" s="1">
        <v>45353</v>
      </c>
      <c r="D283" t="s">
        <v>11</v>
      </c>
      <c r="E283" t="s">
        <v>36</v>
      </c>
      <c r="F283">
        <v>5</v>
      </c>
      <c r="G283">
        <v>4.1500000000000004</v>
      </c>
      <c r="H283">
        <v>20.75</v>
      </c>
      <c r="I283" t="str">
        <f t="shared" si="28"/>
        <v>Low</v>
      </c>
      <c r="J283">
        <v>4.1500000000000004</v>
      </c>
      <c r="K283">
        <f t="shared" si="33"/>
        <v>16.600000000000001</v>
      </c>
      <c r="L283" t="str">
        <f t="shared" si="34"/>
        <v>March</v>
      </c>
      <c r="M283">
        <f>YEAR(C283)</f>
        <v>2024</v>
      </c>
      <c r="N283">
        <v>159</v>
      </c>
      <c r="O283" t="str">
        <f>IF(N283&gt;=200,"Platinum",IF(N283&gt;=100,"Gold",IF(N283&gt;=50,"Silver","Regular")))</f>
        <v>Gold</v>
      </c>
      <c r="P283" s="4" t="str">
        <f t="shared" si="29"/>
        <v>Saturday</v>
      </c>
      <c r="Q283" s="4" t="str">
        <f t="shared" si="30"/>
        <v>Medium Order</v>
      </c>
      <c r="R283" s="4" t="str">
        <f t="shared" si="31"/>
        <v>Weekend</v>
      </c>
      <c r="S283" s="4" t="str">
        <f t="shared" si="32"/>
        <v>Regular</v>
      </c>
    </row>
    <row r="284" spans="1:19" x14ac:dyDescent="0.3">
      <c r="A284">
        <v>4898</v>
      </c>
      <c r="B284" t="s">
        <v>3</v>
      </c>
      <c r="C284" s="1">
        <v>45602</v>
      </c>
      <c r="D284" t="s">
        <v>27</v>
      </c>
      <c r="E284" t="s">
        <v>29</v>
      </c>
      <c r="F284">
        <v>5</v>
      </c>
      <c r="G284">
        <v>4.16</v>
      </c>
      <c r="H284">
        <v>20.8</v>
      </c>
      <c r="I284" t="str">
        <f t="shared" si="28"/>
        <v>Low</v>
      </c>
      <c r="J284">
        <v>4.16</v>
      </c>
      <c r="K284">
        <f t="shared" si="33"/>
        <v>16.64</v>
      </c>
      <c r="L284" t="str">
        <f t="shared" si="34"/>
        <v>November</v>
      </c>
      <c r="M284">
        <f>YEAR(C284)</f>
        <v>2024</v>
      </c>
      <c r="N284">
        <v>233</v>
      </c>
      <c r="O284" t="str">
        <f>IF(N284&gt;=200,"Platinum",IF(N284&gt;=100,"Gold",IF(N284&gt;=50,"Silver","Regular")))</f>
        <v>Platinum</v>
      </c>
      <c r="P284" s="4" t="str">
        <f t="shared" si="29"/>
        <v>Wednesday</v>
      </c>
      <c r="Q284" s="4" t="str">
        <f t="shared" si="30"/>
        <v>Medium Order</v>
      </c>
      <c r="R284" s="4" t="str">
        <f t="shared" si="31"/>
        <v>Weekday</v>
      </c>
      <c r="S284" s="4" t="str">
        <f t="shared" si="32"/>
        <v>Regular</v>
      </c>
    </row>
    <row r="285" spans="1:19" x14ac:dyDescent="0.3">
      <c r="A285">
        <v>5201</v>
      </c>
      <c r="B285" t="s">
        <v>20</v>
      </c>
      <c r="C285" s="1">
        <v>45725</v>
      </c>
      <c r="D285" t="s">
        <v>17</v>
      </c>
      <c r="E285" t="s">
        <v>33</v>
      </c>
      <c r="F285">
        <v>1</v>
      </c>
      <c r="G285">
        <v>21.7</v>
      </c>
      <c r="H285">
        <v>21.7</v>
      </c>
      <c r="I285" t="str">
        <f t="shared" si="28"/>
        <v>Low</v>
      </c>
      <c r="J285">
        <v>4.34</v>
      </c>
      <c r="K285">
        <f t="shared" si="33"/>
        <v>17.36</v>
      </c>
      <c r="L285" t="str">
        <f t="shared" si="34"/>
        <v>March</v>
      </c>
      <c r="M285">
        <f>YEAR(C285)</f>
        <v>2025</v>
      </c>
      <c r="N285">
        <v>359</v>
      </c>
      <c r="O285" t="str">
        <f>IF(N285&gt;=200,"Platinum",IF(N285&gt;=100,"Gold",IF(N285&gt;=50,"Silver","Regular")))</f>
        <v>Platinum</v>
      </c>
      <c r="P285" s="4" t="str">
        <f t="shared" si="29"/>
        <v>Sunday</v>
      </c>
      <c r="Q285" s="4" t="str">
        <f t="shared" si="30"/>
        <v>Small Order</v>
      </c>
      <c r="R285" s="4" t="str">
        <f t="shared" si="31"/>
        <v>Weekend</v>
      </c>
      <c r="S285" s="4" t="str">
        <f t="shared" si="32"/>
        <v>Regular</v>
      </c>
    </row>
    <row r="286" spans="1:19" x14ac:dyDescent="0.3">
      <c r="A286">
        <v>3848</v>
      </c>
      <c r="B286" t="s">
        <v>20</v>
      </c>
      <c r="C286" s="1">
        <v>45169</v>
      </c>
      <c r="D286" t="s">
        <v>24</v>
      </c>
      <c r="E286" t="s">
        <v>18</v>
      </c>
      <c r="F286">
        <v>2</v>
      </c>
      <c r="G286">
        <v>10.85</v>
      </c>
      <c r="H286">
        <v>21.7</v>
      </c>
      <c r="I286" t="str">
        <f t="shared" si="28"/>
        <v>Low</v>
      </c>
      <c r="J286">
        <v>4.34</v>
      </c>
      <c r="K286">
        <f t="shared" si="33"/>
        <v>17.36</v>
      </c>
      <c r="L286" t="str">
        <f t="shared" si="34"/>
        <v>August</v>
      </c>
      <c r="M286">
        <f>YEAR(C286)</f>
        <v>2023</v>
      </c>
      <c r="N286">
        <v>349</v>
      </c>
      <c r="O286" t="str">
        <f>IF(N286&gt;=200,"Platinum",IF(N286&gt;=100,"Gold",IF(N286&gt;=50,"Silver","Regular")))</f>
        <v>Platinum</v>
      </c>
      <c r="P286" s="4" t="str">
        <f t="shared" si="29"/>
        <v>Thursday</v>
      </c>
      <c r="Q286" s="4" t="str">
        <f t="shared" si="30"/>
        <v>Small Order</v>
      </c>
      <c r="R286" s="4" t="str">
        <f t="shared" si="31"/>
        <v>Weekday</v>
      </c>
      <c r="S286" s="4" t="str">
        <f t="shared" si="32"/>
        <v>Regular</v>
      </c>
    </row>
    <row r="287" spans="1:19" x14ac:dyDescent="0.3">
      <c r="A287">
        <v>8518</v>
      </c>
      <c r="B287" t="s">
        <v>20</v>
      </c>
      <c r="C287" s="1">
        <v>45648</v>
      </c>
      <c r="D287" t="s">
        <v>16</v>
      </c>
      <c r="E287" t="s">
        <v>28</v>
      </c>
      <c r="F287">
        <v>3</v>
      </c>
      <c r="G287">
        <v>7.35</v>
      </c>
      <c r="H287">
        <v>22.05</v>
      </c>
      <c r="I287" t="str">
        <f t="shared" si="28"/>
        <v>Low</v>
      </c>
      <c r="J287">
        <v>4.41</v>
      </c>
      <c r="K287">
        <f t="shared" si="33"/>
        <v>17.64</v>
      </c>
      <c r="L287" t="str">
        <f t="shared" si="34"/>
        <v>December</v>
      </c>
      <c r="M287">
        <f>YEAR(C287)</f>
        <v>2024</v>
      </c>
      <c r="N287">
        <v>494</v>
      </c>
      <c r="O287" t="str">
        <f>IF(N287&gt;=200,"Platinum",IF(N287&gt;=100,"Gold",IF(N287&gt;=50,"Silver","Regular")))</f>
        <v>Platinum</v>
      </c>
      <c r="P287" s="4" t="str">
        <f t="shared" si="29"/>
        <v>Sunday</v>
      </c>
      <c r="Q287" s="4" t="str">
        <f t="shared" si="30"/>
        <v>Medium Order</v>
      </c>
      <c r="R287" s="4" t="str">
        <f t="shared" si="31"/>
        <v>Weekend</v>
      </c>
      <c r="S287" s="4" t="str">
        <f t="shared" si="32"/>
        <v>Regular</v>
      </c>
    </row>
    <row r="288" spans="1:19" x14ac:dyDescent="0.3">
      <c r="A288">
        <v>8034</v>
      </c>
      <c r="B288" t="s">
        <v>25</v>
      </c>
      <c r="C288" s="1">
        <v>45356</v>
      </c>
      <c r="D288" t="s">
        <v>16</v>
      </c>
      <c r="E288" t="s">
        <v>37</v>
      </c>
      <c r="F288">
        <v>5</v>
      </c>
      <c r="G288">
        <v>4.53</v>
      </c>
      <c r="H288">
        <v>22.65</v>
      </c>
      <c r="I288" t="str">
        <f t="shared" si="28"/>
        <v>Low</v>
      </c>
      <c r="J288">
        <v>4.53</v>
      </c>
      <c r="K288">
        <f t="shared" si="33"/>
        <v>18.119999999999997</v>
      </c>
      <c r="L288" t="str">
        <f t="shared" si="34"/>
        <v>March</v>
      </c>
      <c r="M288">
        <f>YEAR(C288)</f>
        <v>2024</v>
      </c>
      <c r="N288">
        <v>360</v>
      </c>
      <c r="O288" t="str">
        <f>IF(N288&gt;=200,"Platinum",IF(N288&gt;=100,"Gold",IF(N288&gt;=50,"Silver","Regular")))</f>
        <v>Platinum</v>
      </c>
      <c r="P288" s="4" t="str">
        <f t="shared" si="29"/>
        <v>Tuesday</v>
      </c>
      <c r="Q288" s="4" t="str">
        <f t="shared" si="30"/>
        <v>Medium Order</v>
      </c>
      <c r="R288" s="4" t="str">
        <f t="shared" si="31"/>
        <v>Weekday</v>
      </c>
      <c r="S288" s="4" t="str">
        <f t="shared" si="32"/>
        <v>Regular</v>
      </c>
    </row>
    <row r="289" spans="1:19" x14ac:dyDescent="0.3">
      <c r="A289">
        <v>8305</v>
      </c>
      <c r="B289" t="s">
        <v>13</v>
      </c>
      <c r="C289" s="1">
        <v>45613</v>
      </c>
      <c r="D289" t="s">
        <v>23</v>
      </c>
      <c r="E289" t="s">
        <v>30</v>
      </c>
      <c r="F289">
        <v>5</v>
      </c>
      <c r="G289">
        <v>4.68</v>
      </c>
      <c r="H289">
        <v>23.4</v>
      </c>
      <c r="I289" t="str">
        <f t="shared" si="28"/>
        <v>Low</v>
      </c>
      <c r="J289">
        <v>4.68</v>
      </c>
      <c r="K289">
        <f t="shared" si="33"/>
        <v>18.72</v>
      </c>
      <c r="L289" t="str">
        <f t="shared" si="34"/>
        <v>November</v>
      </c>
      <c r="M289">
        <f>YEAR(C289)</f>
        <v>2024</v>
      </c>
      <c r="N289">
        <v>364</v>
      </c>
      <c r="O289" t="str">
        <f>IF(N289&gt;=200,"Platinum",IF(N289&gt;=100,"Gold",IF(N289&gt;=50,"Silver","Regular")))</f>
        <v>Platinum</v>
      </c>
      <c r="P289" s="4" t="str">
        <f t="shared" si="29"/>
        <v>Sunday</v>
      </c>
      <c r="Q289" s="4" t="str">
        <f t="shared" si="30"/>
        <v>Medium Order</v>
      </c>
      <c r="R289" s="4" t="str">
        <f t="shared" si="31"/>
        <v>Weekend</v>
      </c>
      <c r="S289" s="4" t="str">
        <f t="shared" si="32"/>
        <v>Regular</v>
      </c>
    </row>
    <row r="290" spans="1:19" x14ac:dyDescent="0.3">
      <c r="A290">
        <v>5033</v>
      </c>
      <c r="B290" t="s">
        <v>20</v>
      </c>
      <c r="C290" s="1">
        <v>45594</v>
      </c>
      <c r="D290" t="s">
        <v>4</v>
      </c>
      <c r="E290" t="s">
        <v>35</v>
      </c>
      <c r="F290">
        <v>2</v>
      </c>
      <c r="G290">
        <v>11.9</v>
      </c>
      <c r="H290">
        <v>23.8</v>
      </c>
      <c r="I290" t="str">
        <f t="shared" si="28"/>
        <v>Low</v>
      </c>
      <c r="J290">
        <v>4.76</v>
      </c>
      <c r="K290">
        <f t="shared" si="33"/>
        <v>19.04</v>
      </c>
      <c r="L290" t="str">
        <f t="shared" si="34"/>
        <v>October</v>
      </c>
      <c r="M290">
        <f>YEAR(C290)</f>
        <v>2024</v>
      </c>
      <c r="N290">
        <v>232</v>
      </c>
      <c r="O290" t="str">
        <f>IF(N290&gt;=200,"Platinum",IF(N290&gt;=100,"Gold",IF(N290&gt;=50,"Silver","Regular")))</f>
        <v>Platinum</v>
      </c>
      <c r="P290" s="4" t="str">
        <f t="shared" si="29"/>
        <v>Tuesday</v>
      </c>
      <c r="Q290" s="4" t="str">
        <f t="shared" si="30"/>
        <v>Small Order</v>
      </c>
      <c r="R290" s="4" t="str">
        <f t="shared" si="31"/>
        <v>Weekday</v>
      </c>
      <c r="S290" s="4" t="str">
        <f t="shared" si="32"/>
        <v>Regular</v>
      </c>
    </row>
    <row r="291" spans="1:19" x14ac:dyDescent="0.3">
      <c r="A291">
        <v>2753</v>
      </c>
      <c r="B291" t="s">
        <v>3</v>
      </c>
      <c r="C291" s="1">
        <v>45721</v>
      </c>
      <c r="D291" t="s">
        <v>1</v>
      </c>
      <c r="E291" t="s">
        <v>10</v>
      </c>
      <c r="F291">
        <v>5</v>
      </c>
      <c r="G291">
        <v>4.79</v>
      </c>
      <c r="H291">
        <v>23.95</v>
      </c>
      <c r="I291" t="str">
        <f t="shared" si="28"/>
        <v>Low</v>
      </c>
      <c r="J291">
        <v>4.79</v>
      </c>
      <c r="K291">
        <f t="shared" si="33"/>
        <v>19.16</v>
      </c>
      <c r="L291" t="str">
        <f t="shared" si="34"/>
        <v>March</v>
      </c>
      <c r="M291">
        <f>YEAR(C291)</f>
        <v>2025</v>
      </c>
      <c r="N291">
        <v>192</v>
      </c>
      <c r="O291" t="str">
        <f>IF(N291&gt;=200,"Platinum",IF(N291&gt;=100,"Gold",IF(N291&gt;=50,"Silver","Regular")))</f>
        <v>Gold</v>
      </c>
      <c r="P291" s="4" t="str">
        <f t="shared" si="29"/>
        <v>Wednesday</v>
      </c>
      <c r="Q291" s="4" t="str">
        <f t="shared" si="30"/>
        <v>Medium Order</v>
      </c>
      <c r="R291" s="4" t="str">
        <f t="shared" si="31"/>
        <v>Weekday</v>
      </c>
      <c r="S291" s="4" t="str">
        <f t="shared" si="32"/>
        <v>Regular</v>
      </c>
    </row>
    <row r="292" spans="1:19" x14ac:dyDescent="0.3">
      <c r="A292">
        <v>5833</v>
      </c>
      <c r="B292" t="s">
        <v>8</v>
      </c>
      <c r="C292" s="1">
        <v>45586</v>
      </c>
      <c r="D292" t="s">
        <v>34</v>
      </c>
      <c r="E292" t="s">
        <v>32</v>
      </c>
      <c r="F292">
        <v>4</v>
      </c>
      <c r="G292">
        <v>6.25</v>
      </c>
      <c r="H292">
        <v>25</v>
      </c>
      <c r="I292" t="str">
        <f t="shared" si="28"/>
        <v>Low</v>
      </c>
      <c r="J292">
        <v>5</v>
      </c>
      <c r="K292">
        <f t="shared" si="33"/>
        <v>20</v>
      </c>
      <c r="L292" t="str">
        <f t="shared" si="34"/>
        <v>October</v>
      </c>
      <c r="M292">
        <f>YEAR(C292)</f>
        <v>2024</v>
      </c>
      <c r="N292">
        <v>94</v>
      </c>
      <c r="O292" t="str">
        <f>IF(N292&gt;=200,"Platinum",IF(N292&gt;=100,"Gold",IF(N292&gt;=50,"Silver","Regular")))</f>
        <v>Silver</v>
      </c>
      <c r="P292" s="4" t="str">
        <f t="shared" si="29"/>
        <v>Monday</v>
      </c>
      <c r="Q292" s="4" t="str">
        <f t="shared" si="30"/>
        <v>Medium Order</v>
      </c>
      <c r="R292" s="4" t="str">
        <f t="shared" si="31"/>
        <v>Weekday</v>
      </c>
      <c r="S292" s="4" t="str">
        <f t="shared" si="32"/>
        <v>Regular</v>
      </c>
    </row>
    <row r="293" spans="1:19" x14ac:dyDescent="0.3">
      <c r="A293">
        <v>2653</v>
      </c>
      <c r="B293" t="s">
        <v>8</v>
      </c>
      <c r="C293" s="1">
        <v>45606</v>
      </c>
      <c r="D293" t="s">
        <v>6</v>
      </c>
      <c r="E293" t="s">
        <v>12</v>
      </c>
      <c r="F293">
        <v>1</v>
      </c>
      <c r="G293">
        <v>27.05</v>
      </c>
      <c r="H293">
        <v>27.05</v>
      </c>
      <c r="I293" t="str">
        <f t="shared" si="28"/>
        <v>Medium</v>
      </c>
      <c r="J293">
        <v>5.41</v>
      </c>
      <c r="K293">
        <f t="shared" si="33"/>
        <v>21.64</v>
      </c>
      <c r="L293" t="str">
        <f t="shared" si="34"/>
        <v>November</v>
      </c>
      <c r="M293">
        <f>YEAR(C293)</f>
        <v>2024</v>
      </c>
      <c r="N293">
        <v>15</v>
      </c>
      <c r="O293" t="str">
        <f>IF(N293&gt;=200,"Platinum",IF(N293&gt;=100,"Gold",IF(N293&gt;=50,"Silver","Regular")))</f>
        <v>Regular</v>
      </c>
      <c r="P293" s="4" t="str">
        <f t="shared" si="29"/>
        <v>Sunday</v>
      </c>
      <c r="Q293" s="4" t="str">
        <f t="shared" si="30"/>
        <v>Small Order</v>
      </c>
      <c r="R293" s="4" t="str">
        <f t="shared" si="31"/>
        <v>Weekend</v>
      </c>
      <c r="S293" s="4" t="str">
        <f t="shared" si="32"/>
        <v>Regular</v>
      </c>
    </row>
    <row r="294" spans="1:19" x14ac:dyDescent="0.3">
      <c r="A294">
        <v>6886</v>
      </c>
      <c r="B294" t="s">
        <v>25</v>
      </c>
      <c r="C294" s="1">
        <v>45384</v>
      </c>
      <c r="D294" t="s">
        <v>24</v>
      </c>
      <c r="E294" t="s">
        <v>35</v>
      </c>
      <c r="F294">
        <v>5</v>
      </c>
      <c r="G294">
        <v>5.49</v>
      </c>
      <c r="H294">
        <v>27.45</v>
      </c>
      <c r="I294" t="str">
        <f t="shared" si="28"/>
        <v>Medium</v>
      </c>
      <c r="J294">
        <v>5.49</v>
      </c>
      <c r="K294">
        <f t="shared" si="33"/>
        <v>21.96</v>
      </c>
      <c r="L294" t="str">
        <f t="shared" si="34"/>
        <v>April</v>
      </c>
      <c r="M294">
        <f>YEAR(C294)</f>
        <v>2024</v>
      </c>
      <c r="N294">
        <v>44</v>
      </c>
      <c r="O294" t="str">
        <f>IF(N294&gt;=200,"Platinum",IF(N294&gt;=100,"Gold",IF(N294&gt;=50,"Silver","Regular")))</f>
        <v>Regular</v>
      </c>
      <c r="P294" s="4" t="str">
        <f t="shared" si="29"/>
        <v>Tuesday</v>
      </c>
      <c r="Q294" s="4" t="str">
        <f t="shared" si="30"/>
        <v>Medium Order</v>
      </c>
      <c r="R294" s="4" t="str">
        <f t="shared" si="31"/>
        <v>Weekday</v>
      </c>
      <c r="S294" s="4" t="str">
        <f t="shared" si="32"/>
        <v>Regular</v>
      </c>
    </row>
    <row r="295" spans="1:19" x14ac:dyDescent="0.3">
      <c r="A295">
        <v>4290</v>
      </c>
      <c r="B295" t="s">
        <v>20</v>
      </c>
      <c r="C295" s="1">
        <v>45517</v>
      </c>
      <c r="D295" t="s">
        <v>6</v>
      </c>
      <c r="E295" t="s">
        <v>33</v>
      </c>
      <c r="F295">
        <v>1</v>
      </c>
      <c r="G295">
        <v>27.95</v>
      </c>
      <c r="H295">
        <v>27.95</v>
      </c>
      <c r="I295" t="str">
        <f t="shared" si="28"/>
        <v>Medium</v>
      </c>
      <c r="J295">
        <v>5.59</v>
      </c>
      <c r="K295">
        <f t="shared" si="33"/>
        <v>22.36</v>
      </c>
      <c r="L295" t="str">
        <f t="shared" si="34"/>
        <v>August</v>
      </c>
      <c r="M295">
        <f>YEAR(C295)</f>
        <v>2024</v>
      </c>
      <c r="N295">
        <v>314</v>
      </c>
      <c r="O295" t="str">
        <f>IF(N295&gt;=200,"Platinum",IF(N295&gt;=100,"Gold",IF(N295&gt;=50,"Silver","Regular")))</f>
        <v>Platinum</v>
      </c>
      <c r="P295" s="4" t="str">
        <f t="shared" si="29"/>
        <v>Tuesday</v>
      </c>
      <c r="Q295" s="4" t="str">
        <f t="shared" si="30"/>
        <v>Small Order</v>
      </c>
      <c r="R295" s="4" t="str">
        <f t="shared" si="31"/>
        <v>Weekday</v>
      </c>
      <c r="S295" s="4" t="str">
        <f t="shared" si="32"/>
        <v>Regular</v>
      </c>
    </row>
    <row r="296" spans="1:19" x14ac:dyDescent="0.3">
      <c r="A296">
        <v>6286</v>
      </c>
      <c r="B296" t="s">
        <v>20</v>
      </c>
      <c r="C296" s="1">
        <v>45871</v>
      </c>
      <c r="D296" t="s">
        <v>6</v>
      </c>
      <c r="E296" t="s">
        <v>14</v>
      </c>
      <c r="F296">
        <v>2</v>
      </c>
      <c r="G296">
        <v>14.1</v>
      </c>
      <c r="H296">
        <v>28.2</v>
      </c>
      <c r="I296" t="str">
        <f t="shared" si="28"/>
        <v>Medium</v>
      </c>
      <c r="J296">
        <v>5.64</v>
      </c>
      <c r="K296">
        <f t="shared" si="33"/>
        <v>22.56</v>
      </c>
      <c r="L296" t="str">
        <f t="shared" si="34"/>
        <v>August</v>
      </c>
      <c r="M296">
        <f>YEAR(C296)</f>
        <v>2025</v>
      </c>
      <c r="N296">
        <v>120</v>
      </c>
      <c r="O296" t="str">
        <f>IF(N296&gt;=200,"Platinum",IF(N296&gt;=100,"Gold",IF(N296&gt;=50,"Silver","Regular")))</f>
        <v>Gold</v>
      </c>
      <c r="P296" s="4" t="str">
        <f t="shared" si="29"/>
        <v>Saturday</v>
      </c>
      <c r="Q296" s="4" t="str">
        <f t="shared" si="30"/>
        <v>Small Order</v>
      </c>
      <c r="R296" s="4" t="str">
        <f t="shared" si="31"/>
        <v>Weekend</v>
      </c>
      <c r="S296" s="4" t="str">
        <f t="shared" si="32"/>
        <v>Regular</v>
      </c>
    </row>
    <row r="297" spans="1:19" x14ac:dyDescent="0.3">
      <c r="A297">
        <v>5573</v>
      </c>
      <c r="B297" t="s">
        <v>19</v>
      </c>
      <c r="C297" s="1">
        <v>45417</v>
      </c>
      <c r="D297" t="s">
        <v>34</v>
      </c>
      <c r="E297" t="s">
        <v>28</v>
      </c>
      <c r="F297">
        <v>1</v>
      </c>
      <c r="G297">
        <v>28.4</v>
      </c>
      <c r="H297">
        <v>28.4</v>
      </c>
      <c r="I297" t="str">
        <f t="shared" si="28"/>
        <v>Medium</v>
      </c>
      <c r="J297">
        <v>5.68</v>
      </c>
      <c r="K297">
        <f t="shared" si="33"/>
        <v>22.72</v>
      </c>
      <c r="L297" t="str">
        <f t="shared" si="34"/>
        <v>May</v>
      </c>
      <c r="M297">
        <f>YEAR(C297)</f>
        <v>2024</v>
      </c>
      <c r="N297">
        <v>258</v>
      </c>
      <c r="O297" t="str">
        <f>IF(N297&gt;=200,"Platinum",IF(N297&gt;=100,"Gold",IF(N297&gt;=50,"Silver","Regular")))</f>
        <v>Platinum</v>
      </c>
      <c r="P297" s="4" t="str">
        <f t="shared" si="29"/>
        <v>Sunday</v>
      </c>
      <c r="Q297" s="4" t="str">
        <f t="shared" si="30"/>
        <v>Small Order</v>
      </c>
      <c r="R297" s="4" t="str">
        <f t="shared" si="31"/>
        <v>Weekend</v>
      </c>
      <c r="S297" s="4" t="str">
        <f t="shared" si="32"/>
        <v>Regular</v>
      </c>
    </row>
    <row r="298" spans="1:19" x14ac:dyDescent="0.3">
      <c r="A298">
        <v>3837</v>
      </c>
      <c r="B298" t="s">
        <v>3</v>
      </c>
      <c r="C298" s="1">
        <v>45502</v>
      </c>
      <c r="D298" t="s">
        <v>24</v>
      </c>
      <c r="E298" t="s">
        <v>12</v>
      </c>
      <c r="F298">
        <v>5</v>
      </c>
      <c r="G298">
        <v>5.97</v>
      </c>
      <c r="H298">
        <v>29.85</v>
      </c>
      <c r="I298" t="str">
        <f t="shared" si="28"/>
        <v>Medium</v>
      </c>
      <c r="J298">
        <v>5.97</v>
      </c>
      <c r="K298">
        <f t="shared" si="33"/>
        <v>23.880000000000003</v>
      </c>
      <c r="L298" t="str">
        <f t="shared" si="34"/>
        <v>July</v>
      </c>
      <c r="M298">
        <f>YEAR(C298)</f>
        <v>2024</v>
      </c>
      <c r="N298">
        <v>500</v>
      </c>
      <c r="O298" t="str">
        <f>IF(N298&gt;=200,"Platinum",IF(N298&gt;=100,"Gold",IF(N298&gt;=50,"Silver","Regular")))</f>
        <v>Platinum</v>
      </c>
      <c r="P298" s="4" t="str">
        <f t="shared" si="29"/>
        <v>Monday</v>
      </c>
      <c r="Q298" s="4" t="str">
        <f t="shared" si="30"/>
        <v>Medium Order</v>
      </c>
      <c r="R298" s="4" t="str">
        <f t="shared" si="31"/>
        <v>Weekday</v>
      </c>
      <c r="S298" s="4" t="str">
        <f t="shared" si="32"/>
        <v>Regular</v>
      </c>
    </row>
    <row r="299" spans="1:19" x14ac:dyDescent="0.3">
      <c r="A299">
        <v>6381</v>
      </c>
      <c r="B299" t="s">
        <v>3</v>
      </c>
      <c r="C299" s="1">
        <v>45776</v>
      </c>
      <c r="D299" t="s">
        <v>34</v>
      </c>
      <c r="E299" t="s">
        <v>12</v>
      </c>
      <c r="F299">
        <v>5</v>
      </c>
      <c r="G299">
        <v>6.36</v>
      </c>
      <c r="H299">
        <v>31.8</v>
      </c>
      <c r="I299" t="str">
        <f t="shared" si="28"/>
        <v>Medium</v>
      </c>
      <c r="J299">
        <v>6.36</v>
      </c>
      <c r="K299">
        <f t="shared" si="33"/>
        <v>25.44</v>
      </c>
      <c r="L299" t="str">
        <f t="shared" si="34"/>
        <v>April</v>
      </c>
      <c r="M299">
        <f>YEAR(C299)</f>
        <v>2025</v>
      </c>
      <c r="N299">
        <v>344</v>
      </c>
      <c r="O299" t="str">
        <f>IF(N299&gt;=200,"Platinum",IF(N299&gt;=100,"Gold",IF(N299&gt;=50,"Silver","Regular")))</f>
        <v>Platinum</v>
      </c>
      <c r="P299" s="4" t="str">
        <f t="shared" si="29"/>
        <v>Tuesday</v>
      </c>
      <c r="Q299" s="4" t="str">
        <f t="shared" si="30"/>
        <v>Medium Order</v>
      </c>
      <c r="R299" s="4" t="str">
        <f t="shared" si="31"/>
        <v>Weekday</v>
      </c>
      <c r="S299" s="4" t="str">
        <f t="shared" si="32"/>
        <v>Regular</v>
      </c>
    </row>
    <row r="300" spans="1:19" x14ac:dyDescent="0.3">
      <c r="A300">
        <v>5055</v>
      </c>
      <c r="B300" t="s">
        <v>0</v>
      </c>
      <c r="C300" s="1">
        <v>45736</v>
      </c>
      <c r="D300" t="s">
        <v>34</v>
      </c>
      <c r="E300" t="s">
        <v>36</v>
      </c>
      <c r="F300">
        <v>5</v>
      </c>
      <c r="G300">
        <v>6.68</v>
      </c>
      <c r="H300">
        <v>33.4</v>
      </c>
      <c r="I300" t="str">
        <f t="shared" si="28"/>
        <v>Medium</v>
      </c>
      <c r="J300">
        <v>6.68</v>
      </c>
      <c r="K300">
        <f t="shared" si="33"/>
        <v>26.72</v>
      </c>
      <c r="L300" t="str">
        <f t="shared" si="34"/>
        <v>March</v>
      </c>
      <c r="M300">
        <f>YEAR(C300)</f>
        <v>2025</v>
      </c>
      <c r="N300">
        <v>112</v>
      </c>
      <c r="O300" t="str">
        <f>IF(N300&gt;=200,"Platinum",IF(N300&gt;=100,"Gold",IF(N300&gt;=50,"Silver","Regular")))</f>
        <v>Gold</v>
      </c>
      <c r="P300" s="4" t="str">
        <f t="shared" si="29"/>
        <v>Thursday</v>
      </c>
      <c r="Q300" s="4" t="str">
        <f t="shared" si="30"/>
        <v>Medium Order</v>
      </c>
      <c r="R300" s="4" t="str">
        <f t="shared" si="31"/>
        <v>Weekday</v>
      </c>
      <c r="S300" s="4" t="str">
        <f t="shared" si="32"/>
        <v>Regular</v>
      </c>
    </row>
    <row r="301" spans="1:19" x14ac:dyDescent="0.3">
      <c r="A301">
        <v>4501</v>
      </c>
      <c r="B301" t="s">
        <v>0</v>
      </c>
      <c r="C301" s="1">
        <v>45542</v>
      </c>
      <c r="D301" t="s">
        <v>1</v>
      </c>
      <c r="E301" t="s">
        <v>7</v>
      </c>
      <c r="F301">
        <v>5</v>
      </c>
      <c r="G301">
        <v>6.85</v>
      </c>
      <c r="H301">
        <v>34.25</v>
      </c>
      <c r="I301" t="str">
        <f t="shared" si="28"/>
        <v>Medium</v>
      </c>
      <c r="J301">
        <v>6.85</v>
      </c>
      <c r="K301">
        <f t="shared" si="33"/>
        <v>27.4</v>
      </c>
      <c r="L301" t="str">
        <f t="shared" si="34"/>
        <v>September</v>
      </c>
      <c r="M301">
        <f>YEAR(C301)</f>
        <v>2024</v>
      </c>
      <c r="N301">
        <v>274</v>
      </c>
      <c r="O301" t="str">
        <f>IF(N301&gt;=200,"Platinum",IF(N301&gt;=100,"Gold",IF(N301&gt;=50,"Silver","Regular")))</f>
        <v>Platinum</v>
      </c>
      <c r="P301" s="4" t="str">
        <f t="shared" si="29"/>
        <v>Saturday</v>
      </c>
      <c r="Q301" s="4" t="str">
        <f t="shared" si="30"/>
        <v>Medium Order</v>
      </c>
      <c r="R301" s="4" t="str">
        <f t="shared" si="31"/>
        <v>Weekend</v>
      </c>
      <c r="S301" s="4" t="str">
        <f t="shared" si="32"/>
        <v>Regular</v>
      </c>
    </row>
    <row r="302" spans="1:19" x14ac:dyDescent="0.3">
      <c r="A302">
        <v>6731</v>
      </c>
      <c r="B302" t="s">
        <v>20</v>
      </c>
      <c r="C302" s="1">
        <v>45385</v>
      </c>
      <c r="D302" t="s">
        <v>4</v>
      </c>
      <c r="E302" t="s">
        <v>37</v>
      </c>
      <c r="F302">
        <v>5</v>
      </c>
      <c r="G302">
        <v>6.95</v>
      </c>
      <c r="H302">
        <v>34.75</v>
      </c>
      <c r="I302" t="str">
        <f t="shared" si="28"/>
        <v>Medium</v>
      </c>
      <c r="J302">
        <v>6.95</v>
      </c>
      <c r="K302">
        <f t="shared" si="33"/>
        <v>27.8</v>
      </c>
      <c r="L302" t="str">
        <f t="shared" si="34"/>
        <v>April</v>
      </c>
      <c r="M302">
        <f>YEAR(C302)</f>
        <v>2024</v>
      </c>
      <c r="N302">
        <v>461</v>
      </c>
      <c r="O302" t="str">
        <f>IF(N302&gt;=200,"Platinum",IF(N302&gt;=100,"Gold",IF(N302&gt;=50,"Silver","Regular")))</f>
        <v>Platinum</v>
      </c>
      <c r="P302" s="4" t="str">
        <f t="shared" si="29"/>
        <v>Wednesday</v>
      </c>
      <c r="Q302" s="4" t="str">
        <f t="shared" si="30"/>
        <v>Medium Order</v>
      </c>
      <c r="R302" s="4" t="str">
        <f t="shared" si="31"/>
        <v>Weekday</v>
      </c>
      <c r="S302" s="4" t="str">
        <f t="shared" si="32"/>
        <v>Regular</v>
      </c>
    </row>
    <row r="303" spans="1:19" x14ac:dyDescent="0.3">
      <c r="A303">
        <v>6807</v>
      </c>
      <c r="B303" t="s">
        <v>0</v>
      </c>
      <c r="C303" s="1">
        <v>45352</v>
      </c>
      <c r="D303" t="s">
        <v>4</v>
      </c>
      <c r="E303" t="s">
        <v>2</v>
      </c>
      <c r="F303">
        <v>5</v>
      </c>
      <c r="G303">
        <v>6.96</v>
      </c>
      <c r="H303">
        <v>34.799999999999997</v>
      </c>
      <c r="I303" t="str">
        <f t="shared" si="28"/>
        <v>Medium</v>
      </c>
      <c r="J303">
        <v>6.96</v>
      </c>
      <c r="K303">
        <f t="shared" si="33"/>
        <v>27.839999999999996</v>
      </c>
      <c r="L303" t="str">
        <f t="shared" si="34"/>
        <v>March</v>
      </c>
      <c r="M303">
        <f>YEAR(C303)</f>
        <v>2024</v>
      </c>
      <c r="N303">
        <v>361</v>
      </c>
      <c r="O303" t="str">
        <f>IF(N303&gt;=200,"Platinum",IF(N303&gt;=100,"Gold",IF(N303&gt;=50,"Silver","Regular")))</f>
        <v>Platinum</v>
      </c>
      <c r="P303" s="4" t="str">
        <f t="shared" si="29"/>
        <v>Friday</v>
      </c>
      <c r="Q303" s="4" t="str">
        <f t="shared" si="30"/>
        <v>Medium Order</v>
      </c>
      <c r="R303" s="4" t="str">
        <f t="shared" si="31"/>
        <v>Weekday</v>
      </c>
      <c r="S303" s="4" t="str">
        <f t="shared" si="32"/>
        <v>Regular</v>
      </c>
    </row>
    <row r="304" spans="1:19" x14ac:dyDescent="0.3">
      <c r="A304">
        <v>8043</v>
      </c>
      <c r="B304" t="s">
        <v>3</v>
      </c>
      <c r="C304" s="1">
        <v>45755</v>
      </c>
      <c r="D304" t="s">
        <v>24</v>
      </c>
      <c r="E304" t="s">
        <v>37</v>
      </c>
      <c r="F304">
        <v>3</v>
      </c>
      <c r="G304">
        <v>11.65</v>
      </c>
      <c r="H304">
        <v>34.950000000000003</v>
      </c>
      <c r="I304" t="str">
        <f t="shared" si="28"/>
        <v>Medium</v>
      </c>
      <c r="J304">
        <v>6.99</v>
      </c>
      <c r="K304">
        <f t="shared" si="33"/>
        <v>27.96</v>
      </c>
      <c r="L304" t="str">
        <f t="shared" si="34"/>
        <v>April</v>
      </c>
      <c r="M304">
        <f>YEAR(C304)</f>
        <v>2025</v>
      </c>
      <c r="N304">
        <v>113</v>
      </c>
      <c r="O304" t="str">
        <f>IF(N304&gt;=200,"Platinum",IF(N304&gt;=100,"Gold",IF(N304&gt;=50,"Silver","Regular")))</f>
        <v>Gold</v>
      </c>
      <c r="P304" s="4" t="str">
        <f t="shared" si="29"/>
        <v>Tuesday</v>
      </c>
      <c r="Q304" s="4" t="str">
        <f t="shared" si="30"/>
        <v>Medium Order</v>
      </c>
      <c r="R304" s="4" t="str">
        <f t="shared" si="31"/>
        <v>Weekday</v>
      </c>
      <c r="S304" s="4" t="str">
        <f t="shared" si="32"/>
        <v>Regular</v>
      </c>
    </row>
    <row r="305" spans="1:19" x14ac:dyDescent="0.3">
      <c r="A305">
        <v>7237</v>
      </c>
      <c r="B305" t="s">
        <v>3</v>
      </c>
      <c r="C305" s="1">
        <v>45276</v>
      </c>
      <c r="D305" t="s">
        <v>4</v>
      </c>
      <c r="E305" t="s">
        <v>22</v>
      </c>
      <c r="F305">
        <v>2</v>
      </c>
      <c r="G305">
        <v>17.75</v>
      </c>
      <c r="H305">
        <v>35.5</v>
      </c>
      <c r="I305" t="str">
        <f t="shared" si="28"/>
        <v>Medium</v>
      </c>
      <c r="J305">
        <v>7.1</v>
      </c>
      <c r="K305">
        <f t="shared" si="33"/>
        <v>28.4</v>
      </c>
      <c r="L305" t="str">
        <f t="shared" si="34"/>
        <v>December</v>
      </c>
      <c r="M305">
        <f>YEAR(C305)</f>
        <v>2023</v>
      </c>
      <c r="N305">
        <v>12</v>
      </c>
      <c r="O305" t="str">
        <f>IF(N305&gt;=200,"Platinum",IF(N305&gt;=100,"Gold",IF(N305&gt;=50,"Silver","Regular")))</f>
        <v>Regular</v>
      </c>
      <c r="P305" s="4" t="str">
        <f t="shared" si="29"/>
        <v>Saturday</v>
      </c>
      <c r="Q305" s="4" t="str">
        <f t="shared" si="30"/>
        <v>Small Order</v>
      </c>
      <c r="R305" s="4" t="str">
        <f t="shared" si="31"/>
        <v>Weekend</v>
      </c>
      <c r="S305" s="4" t="str">
        <f t="shared" si="32"/>
        <v>Regular</v>
      </c>
    </row>
    <row r="306" spans="1:19" x14ac:dyDescent="0.3">
      <c r="A306">
        <v>3535</v>
      </c>
      <c r="B306" t="s">
        <v>8</v>
      </c>
      <c r="C306" s="1">
        <v>45655</v>
      </c>
      <c r="D306" t="s">
        <v>34</v>
      </c>
      <c r="E306" t="s">
        <v>7</v>
      </c>
      <c r="F306">
        <v>3</v>
      </c>
      <c r="G306">
        <v>12.3</v>
      </c>
      <c r="H306">
        <v>36.9</v>
      </c>
      <c r="I306" t="str">
        <f t="shared" si="28"/>
        <v>Medium</v>
      </c>
      <c r="J306">
        <v>7.38</v>
      </c>
      <c r="K306">
        <f t="shared" si="33"/>
        <v>29.52</v>
      </c>
      <c r="L306" t="str">
        <f t="shared" si="34"/>
        <v>December</v>
      </c>
      <c r="M306">
        <f>YEAR(C306)</f>
        <v>2024</v>
      </c>
      <c r="N306">
        <v>295</v>
      </c>
      <c r="O306" t="str">
        <f>IF(N306&gt;=200,"Platinum",IF(N306&gt;=100,"Gold",IF(N306&gt;=50,"Silver","Regular")))</f>
        <v>Platinum</v>
      </c>
      <c r="P306" s="4" t="str">
        <f t="shared" si="29"/>
        <v>Sunday</v>
      </c>
      <c r="Q306" s="4" t="str">
        <f t="shared" si="30"/>
        <v>Medium Order</v>
      </c>
      <c r="R306" s="4" t="str">
        <f t="shared" si="31"/>
        <v>Weekend</v>
      </c>
      <c r="S306" s="4" t="str">
        <f t="shared" si="32"/>
        <v>Regular</v>
      </c>
    </row>
    <row r="307" spans="1:19" x14ac:dyDescent="0.3">
      <c r="A307">
        <v>5106</v>
      </c>
      <c r="B307" t="s">
        <v>20</v>
      </c>
      <c r="C307" s="1">
        <v>45671</v>
      </c>
      <c r="D307" t="s">
        <v>9</v>
      </c>
      <c r="E307" t="s">
        <v>26</v>
      </c>
      <c r="F307">
        <v>5</v>
      </c>
      <c r="G307">
        <v>7.7</v>
      </c>
      <c r="H307">
        <v>38.5</v>
      </c>
      <c r="I307" t="str">
        <f t="shared" si="28"/>
        <v>Medium</v>
      </c>
      <c r="J307">
        <v>7.7</v>
      </c>
      <c r="K307">
        <f t="shared" si="33"/>
        <v>30.8</v>
      </c>
      <c r="L307" t="str">
        <f t="shared" si="34"/>
        <v>January</v>
      </c>
      <c r="M307">
        <f>YEAR(C307)</f>
        <v>2025</v>
      </c>
      <c r="N307">
        <v>3</v>
      </c>
      <c r="O307" t="str">
        <f>IF(N307&gt;=200,"Platinum",IF(N307&gt;=100,"Gold",IF(N307&gt;=50,"Silver","Regular")))</f>
        <v>Regular</v>
      </c>
      <c r="P307" s="4" t="str">
        <f t="shared" si="29"/>
        <v>Tuesday</v>
      </c>
      <c r="Q307" s="4" t="str">
        <f t="shared" si="30"/>
        <v>Medium Order</v>
      </c>
      <c r="R307" s="4" t="str">
        <f t="shared" si="31"/>
        <v>Weekday</v>
      </c>
      <c r="S307" s="4" t="str">
        <f t="shared" si="32"/>
        <v>Regular</v>
      </c>
    </row>
    <row r="308" spans="1:19" x14ac:dyDescent="0.3">
      <c r="A308">
        <v>9316</v>
      </c>
      <c r="B308" t="s">
        <v>15</v>
      </c>
      <c r="C308" s="1">
        <v>45575</v>
      </c>
      <c r="D308" t="s">
        <v>9</v>
      </c>
      <c r="E308" t="s">
        <v>32</v>
      </c>
      <c r="F308">
        <v>4</v>
      </c>
      <c r="G308">
        <v>9.6999999999999993</v>
      </c>
      <c r="H308">
        <v>38.799999999999997</v>
      </c>
      <c r="I308" t="str">
        <f t="shared" si="28"/>
        <v>Medium</v>
      </c>
      <c r="J308">
        <v>7.76</v>
      </c>
      <c r="K308">
        <f t="shared" si="33"/>
        <v>31.04</v>
      </c>
      <c r="L308" t="str">
        <f t="shared" si="34"/>
        <v>October</v>
      </c>
      <c r="M308">
        <f>YEAR(C308)</f>
        <v>2024</v>
      </c>
      <c r="N308">
        <v>65</v>
      </c>
      <c r="O308" t="str">
        <f>IF(N308&gt;=200,"Platinum",IF(N308&gt;=100,"Gold",IF(N308&gt;=50,"Silver","Regular")))</f>
        <v>Silver</v>
      </c>
      <c r="P308" s="4" t="str">
        <f t="shared" si="29"/>
        <v>Thursday</v>
      </c>
      <c r="Q308" s="4" t="str">
        <f t="shared" si="30"/>
        <v>Medium Order</v>
      </c>
      <c r="R308" s="4" t="str">
        <f t="shared" si="31"/>
        <v>Weekday</v>
      </c>
      <c r="S308" s="4" t="str">
        <f t="shared" si="32"/>
        <v>Regular</v>
      </c>
    </row>
    <row r="309" spans="1:19" x14ac:dyDescent="0.3">
      <c r="A309">
        <v>5616</v>
      </c>
      <c r="B309" t="s">
        <v>19</v>
      </c>
      <c r="C309" s="1">
        <v>45614</v>
      </c>
      <c r="D309" t="s">
        <v>34</v>
      </c>
      <c r="E309" t="s">
        <v>14</v>
      </c>
      <c r="F309">
        <v>5</v>
      </c>
      <c r="G309">
        <v>7.93</v>
      </c>
      <c r="H309">
        <v>39.65</v>
      </c>
      <c r="I309" t="str">
        <f t="shared" si="28"/>
        <v>Medium</v>
      </c>
      <c r="J309">
        <v>7.93</v>
      </c>
      <c r="K309">
        <f t="shared" si="33"/>
        <v>31.72</v>
      </c>
      <c r="L309" t="str">
        <f t="shared" si="34"/>
        <v>November</v>
      </c>
      <c r="M309">
        <f>YEAR(C309)</f>
        <v>2024</v>
      </c>
      <c r="N309">
        <v>494</v>
      </c>
      <c r="O309" t="str">
        <f>IF(N309&gt;=200,"Platinum",IF(N309&gt;=100,"Gold",IF(N309&gt;=50,"Silver","Regular")))</f>
        <v>Platinum</v>
      </c>
      <c r="P309" s="4" t="str">
        <f t="shared" si="29"/>
        <v>Monday</v>
      </c>
      <c r="Q309" s="4" t="str">
        <f t="shared" si="30"/>
        <v>Medium Order</v>
      </c>
      <c r="R309" s="4" t="str">
        <f t="shared" si="31"/>
        <v>Weekday</v>
      </c>
      <c r="S309" s="4" t="str">
        <f t="shared" si="32"/>
        <v>Regular</v>
      </c>
    </row>
    <row r="310" spans="1:19" x14ac:dyDescent="0.3">
      <c r="A310">
        <v>5022</v>
      </c>
      <c r="B310" t="s">
        <v>19</v>
      </c>
      <c r="C310" s="1">
        <v>45790</v>
      </c>
      <c r="D310" t="s">
        <v>17</v>
      </c>
      <c r="E310" t="s">
        <v>26</v>
      </c>
      <c r="F310">
        <v>5</v>
      </c>
      <c r="G310">
        <v>8.02</v>
      </c>
      <c r="H310">
        <v>40.1</v>
      </c>
      <c r="I310" t="str">
        <f t="shared" si="28"/>
        <v>Medium</v>
      </c>
      <c r="J310">
        <v>8.02</v>
      </c>
      <c r="K310">
        <f t="shared" si="33"/>
        <v>32.08</v>
      </c>
      <c r="L310" t="str">
        <f t="shared" si="34"/>
        <v>May</v>
      </c>
      <c r="M310">
        <f>YEAR(C310)</f>
        <v>2025</v>
      </c>
      <c r="N310">
        <v>188</v>
      </c>
      <c r="O310" t="str">
        <f>IF(N310&gt;=200,"Platinum",IF(N310&gt;=100,"Gold",IF(N310&gt;=50,"Silver","Regular")))</f>
        <v>Gold</v>
      </c>
      <c r="P310" s="4" t="str">
        <f t="shared" si="29"/>
        <v>Tuesday</v>
      </c>
      <c r="Q310" s="4" t="str">
        <f t="shared" si="30"/>
        <v>Medium Order</v>
      </c>
      <c r="R310" s="4" t="str">
        <f t="shared" si="31"/>
        <v>Weekday</v>
      </c>
      <c r="S310" s="4" t="str">
        <f t="shared" si="32"/>
        <v>Regular</v>
      </c>
    </row>
    <row r="311" spans="1:19" x14ac:dyDescent="0.3">
      <c r="A311">
        <v>4705</v>
      </c>
      <c r="B311" t="s">
        <v>13</v>
      </c>
      <c r="C311" s="1">
        <v>45771</v>
      </c>
      <c r="D311" t="s">
        <v>9</v>
      </c>
      <c r="E311" t="s">
        <v>7</v>
      </c>
      <c r="F311">
        <v>2</v>
      </c>
      <c r="G311">
        <v>20.2</v>
      </c>
      <c r="H311">
        <v>40.4</v>
      </c>
      <c r="I311" t="str">
        <f t="shared" si="28"/>
        <v>Medium</v>
      </c>
      <c r="J311">
        <v>8.08</v>
      </c>
      <c r="K311">
        <f t="shared" si="33"/>
        <v>32.32</v>
      </c>
      <c r="L311" t="str">
        <f t="shared" si="34"/>
        <v>April</v>
      </c>
      <c r="M311">
        <f>YEAR(C311)</f>
        <v>2025</v>
      </c>
      <c r="N311">
        <v>243</v>
      </c>
      <c r="O311" t="str">
        <f>IF(N311&gt;=200,"Platinum",IF(N311&gt;=100,"Gold",IF(N311&gt;=50,"Silver","Regular")))</f>
        <v>Platinum</v>
      </c>
      <c r="P311" s="4" t="str">
        <f t="shared" si="29"/>
        <v>Thursday</v>
      </c>
      <c r="Q311" s="4" t="str">
        <f t="shared" si="30"/>
        <v>Small Order</v>
      </c>
      <c r="R311" s="4" t="str">
        <f t="shared" si="31"/>
        <v>Weekday</v>
      </c>
      <c r="S311" s="4" t="str">
        <f t="shared" si="32"/>
        <v>Regular</v>
      </c>
    </row>
    <row r="312" spans="1:19" x14ac:dyDescent="0.3">
      <c r="A312">
        <v>2578</v>
      </c>
      <c r="B312" t="s">
        <v>25</v>
      </c>
      <c r="C312" s="1">
        <v>45552</v>
      </c>
      <c r="D312" t="s">
        <v>11</v>
      </c>
      <c r="E312" t="s">
        <v>33</v>
      </c>
      <c r="F312">
        <v>3</v>
      </c>
      <c r="G312">
        <v>13.65</v>
      </c>
      <c r="H312">
        <v>40.950000000000003</v>
      </c>
      <c r="I312" t="str">
        <f t="shared" si="28"/>
        <v>Medium</v>
      </c>
      <c r="J312">
        <v>8.19</v>
      </c>
      <c r="K312">
        <f t="shared" si="33"/>
        <v>32.760000000000005</v>
      </c>
      <c r="L312" t="str">
        <f t="shared" si="34"/>
        <v>September</v>
      </c>
      <c r="M312">
        <f>YEAR(C312)</f>
        <v>2024</v>
      </c>
      <c r="N312">
        <v>29</v>
      </c>
      <c r="O312" t="str">
        <f>IF(N312&gt;=200,"Platinum",IF(N312&gt;=100,"Gold",IF(N312&gt;=50,"Silver","Regular")))</f>
        <v>Regular</v>
      </c>
      <c r="P312" s="4" t="str">
        <f t="shared" si="29"/>
        <v>Tuesday</v>
      </c>
      <c r="Q312" s="4" t="str">
        <f t="shared" si="30"/>
        <v>Medium Order</v>
      </c>
      <c r="R312" s="4" t="str">
        <f t="shared" si="31"/>
        <v>Weekday</v>
      </c>
      <c r="S312" s="4" t="str">
        <f t="shared" si="32"/>
        <v>Regular</v>
      </c>
    </row>
    <row r="313" spans="1:19" x14ac:dyDescent="0.3">
      <c r="A313">
        <v>6345</v>
      </c>
      <c r="B313" t="s">
        <v>8</v>
      </c>
      <c r="C313" s="1">
        <v>45392</v>
      </c>
      <c r="D313" t="s">
        <v>17</v>
      </c>
      <c r="E313" t="s">
        <v>21</v>
      </c>
      <c r="F313">
        <v>3</v>
      </c>
      <c r="G313">
        <v>14.55</v>
      </c>
      <c r="H313">
        <v>43.65</v>
      </c>
      <c r="I313" t="str">
        <f t="shared" si="28"/>
        <v>Medium</v>
      </c>
      <c r="J313">
        <v>8.73</v>
      </c>
      <c r="K313">
        <f t="shared" si="33"/>
        <v>34.92</v>
      </c>
      <c r="L313" t="str">
        <f t="shared" si="34"/>
        <v>April</v>
      </c>
      <c r="M313">
        <f>YEAR(C313)</f>
        <v>2024</v>
      </c>
      <c r="N313">
        <v>177</v>
      </c>
      <c r="O313" t="str">
        <f>IF(N313&gt;=200,"Platinum",IF(N313&gt;=100,"Gold",IF(N313&gt;=50,"Silver","Regular")))</f>
        <v>Gold</v>
      </c>
      <c r="P313" s="4" t="str">
        <f t="shared" si="29"/>
        <v>Wednesday</v>
      </c>
      <c r="Q313" s="4" t="str">
        <f t="shared" si="30"/>
        <v>Medium Order</v>
      </c>
      <c r="R313" s="4" t="str">
        <f t="shared" si="31"/>
        <v>Weekday</v>
      </c>
      <c r="S313" s="4" t="str">
        <f t="shared" si="32"/>
        <v>Regular</v>
      </c>
    </row>
    <row r="314" spans="1:19" x14ac:dyDescent="0.3">
      <c r="A314">
        <v>7566</v>
      </c>
      <c r="B314" t="s">
        <v>3</v>
      </c>
      <c r="C314" s="1">
        <v>45560</v>
      </c>
      <c r="D314" t="s">
        <v>17</v>
      </c>
      <c r="E314" t="s">
        <v>33</v>
      </c>
      <c r="F314">
        <v>4</v>
      </c>
      <c r="G314">
        <v>11.05</v>
      </c>
      <c r="H314">
        <v>44.2</v>
      </c>
      <c r="I314" t="str">
        <f t="shared" si="28"/>
        <v>Medium</v>
      </c>
      <c r="J314">
        <v>8.84</v>
      </c>
      <c r="K314">
        <f t="shared" si="33"/>
        <v>35.36</v>
      </c>
      <c r="L314" t="str">
        <f t="shared" si="34"/>
        <v>September</v>
      </c>
      <c r="M314">
        <f>YEAR(C314)</f>
        <v>2024</v>
      </c>
      <c r="N314">
        <v>415</v>
      </c>
      <c r="O314" t="str">
        <f>IF(N314&gt;=200,"Platinum",IF(N314&gt;=100,"Gold",IF(N314&gt;=50,"Silver","Regular")))</f>
        <v>Platinum</v>
      </c>
      <c r="P314" s="4" t="str">
        <f t="shared" si="29"/>
        <v>Wednesday</v>
      </c>
      <c r="Q314" s="4" t="str">
        <f t="shared" si="30"/>
        <v>Medium Order</v>
      </c>
      <c r="R314" s="4" t="str">
        <f t="shared" si="31"/>
        <v>Weekday</v>
      </c>
      <c r="S314" s="4" t="str">
        <f t="shared" si="32"/>
        <v>Regular</v>
      </c>
    </row>
    <row r="315" spans="1:19" x14ac:dyDescent="0.3">
      <c r="A315">
        <v>3041</v>
      </c>
      <c r="B315" t="s">
        <v>15</v>
      </c>
      <c r="C315" s="1">
        <v>45704</v>
      </c>
      <c r="D315" t="s">
        <v>6</v>
      </c>
      <c r="E315" t="s">
        <v>33</v>
      </c>
      <c r="F315">
        <v>5</v>
      </c>
      <c r="G315">
        <v>8.85</v>
      </c>
      <c r="H315">
        <v>44.25</v>
      </c>
      <c r="I315" t="str">
        <f t="shared" si="28"/>
        <v>Medium</v>
      </c>
      <c r="J315">
        <v>8.85</v>
      </c>
      <c r="K315">
        <f t="shared" si="33"/>
        <v>35.4</v>
      </c>
      <c r="L315" t="str">
        <f t="shared" si="34"/>
        <v>February</v>
      </c>
      <c r="M315">
        <f>YEAR(C315)</f>
        <v>2025</v>
      </c>
      <c r="N315">
        <v>287</v>
      </c>
      <c r="O315" t="str">
        <f>IF(N315&gt;=200,"Platinum",IF(N315&gt;=100,"Gold",IF(N315&gt;=50,"Silver","Regular")))</f>
        <v>Platinum</v>
      </c>
      <c r="P315" s="4" t="str">
        <f t="shared" si="29"/>
        <v>Sunday</v>
      </c>
      <c r="Q315" s="4" t="str">
        <f t="shared" si="30"/>
        <v>Medium Order</v>
      </c>
      <c r="R315" s="4" t="str">
        <f t="shared" si="31"/>
        <v>Weekend</v>
      </c>
      <c r="S315" s="4" t="str">
        <f t="shared" si="32"/>
        <v>Regular</v>
      </c>
    </row>
    <row r="316" spans="1:19" x14ac:dyDescent="0.3">
      <c r="A316">
        <v>7523</v>
      </c>
      <c r="B316" t="s">
        <v>13</v>
      </c>
      <c r="C316" s="1">
        <v>45359</v>
      </c>
      <c r="D316" t="s">
        <v>27</v>
      </c>
      <c r="E316" t="s">
        <v>37</v>
      </c>
      <c r="F316">
        <v>3</v>
      </c>
      <c r="G316">
        <v>15.05</v>
      </c>
      <c r="H316">
        <v>45.15</v>
      </c>
      <c r="I316" t="str">
        <f t="shared" si="28"/>
        <v>Medium</v>
      </c>
      <c r="J316">
        <v>9.0299999999999994</v>
      </c>
      <c r="K316">
        <f t="shared" si="33"/>
        <v>36.119999999999997</v>
      </c>
      <c r="L316" t="str">
        <f t="shared" si="34"/>
        <v>March</v>
      </c>
      <c r="M316">
        <f>YEAR(C316)</f>
        <v>2024</v>
      </c>
      <c r="N316">
        <v>305</v>
      </c>
      <c r="O316" t="str">
        <f>IF(N316&gt;=200,"Platinum",IF(N316&gt;=100,"Gold",IF(N316&gt;=50,"Silver","Regular")))</f>
        <v>Platinum</v>
      </c>
      <c r="P316" s="4" t="str">
        <f t="shared" si="29"/>
        <v>Friday</v>
      </c>
      <c r="Q316" s="4" t="str">
        <f t="shared" si="30"/>
        <v>Medium Order</v>
      </c>
      <c r="R316" s="4" t="str">
        <f t="shared" si="31"/>
        <v>Weekday</v>
      </c>
      <c r="S316" s="4" t="str">
        <f t="shared" si="32"/>
        <v>Regular</v>
      </c>
    </row>
    <row r="317" spans="1:19" x14ac:dyDescent="0.3">
      <c r="A317">
        <v>5279</v>
      </c>
      <c r="B317" t="s">
        <v>13</v>
      </c>
      <c r="C317" s="1">
        <v>45283</v>
      </c>
      <c r="D317" t="s">
        <v>27</v>
      </c>
      <c r="E317" t="s">
        <v>22</v>
      </c>
      <c r="F317">
        <v>5</v>
      </c>
      <c r="G317">
        <v>9.1</v>
      </c>
      <c r="H317">
        <v>45.5</v>
      </c>
      <c r="I317" t="str">
        <f t="shared" si="28"/>
        <v>Medium</v>
      </c>
      <c r="J317">
        <v>9.1</v>
      </c>
      <c r="K317">
        <f t="shared" si="33"/>
        <v>36.4</v>
      </c>
      <c r="L317" t="str">
        <f t="shared" si="34"/>
        <v>December</v>
      </c>
      <c r="M317">
        <f>YEAR(C317)</f>
        <v>2023</v>
      </c>
      <c r="N317">
        <v>319</v>
      </c>
      <c r="O317" t="str">
        <f>IF(N317&gt;=200,"Platinum",IF(N317&gt;=100,"Gold",IF(N317&gt;=50,"Silver","Regular")))</f>
        <v>Platinum</v>
      </c>
      <c r="P317" s="4" t="str">
        <f t="shared" si="29"/>
        <v>Saturday</v>
      </c>
      <c r="Q317" s="4" t="str">
        <f t="shared" si="30"/>
        <v>Medium Order</v>
      </c>
      <c r="R317" s="4" t="str">
        <f t="shared" si="31"/>
        <v>Weekend</v>
      </c>
      <c r="S317" s="4" t="str">
        <f t="shared" si="32"/>
        <v>Regular</v>
      </c>
    </row>
    <row r="318" spans="1:19" x14ac:dyDescent="0.3">
      <c r="A318">
        <v>6963</v>
      </c>
      <c r="B318" t="s">
        <v>13</v>
      </c>
      <c r="C318" s="1">
        <v>45442</v>
      </c>
      <c r="D318" t="s">
        <v>16</v>
      </c>
      <c r="E318" t="s">
        <v>30</v>
      </c>
      <c r="F318">
        <v>4</v>
      </c>
      <c r="G318">
        <v>11.6</v>
      </c>
      <c r="H318">
        <v>46.4</v>
      </c>
      <c r="I318" t="str">
        <f t="shared" si="28"/>
        <v>Medium</v>
      </c>
      <c r="J318">
        <v>9.2799999999999994</v>
      </c>
      <c r="K318">
        <f t="shared" si="33"/>
        <v>37.119999999999997</v>
      </c>
      <c r="L318" t="str">
        <f t="shared" si="34"/>
        <v>May</v>
      </c>
      <c r="M318">
        <f>YEAR(C318)</f>
        <v>2024</v>
      </c>
      <c r="N318">
        <v>222</v>
      </c>
      <c r="O318" t="str">
        <f>IF(N318&gt;=200,"Platinum",IF(N318&gt;=100,"Gold",IF(N318&gt;=50,"Silver","Regular")))</f>
        <v>Platinum</v>
      </c>
      <c r="P318" s="4" t="str">
        <f t="shared" si="29"/>
        <v>Thursday</v>
      </c>
      <c r="Q318" s="4" t="str">
        <f t="shared" si="30"/>
        <v>Medium Order</v>
      </c>
      <c r="R318" s="4" t="str">
        <f t="shared" si="31"/>
        <v>Weekday</v>
      </c>
      <c r="S318" s="4" t="str">
        <f t="shared" si="32"/>
        <v>Regular</v>
      </c>
    </row>
    <row r="319" spans="1:19" x14ac:dyDescent="0.3">
      <c r="A319">
        <v>1519</v>
      </c>
      <c r="B319" t="s">
        <v>13</v>
      </c>
      <c r="C319" s="1">
        <v>45217</v>
      </c>
      <c r="D319" t="s">
        <v>34</v>
      </c>
      <c r="E319" t="s">
        <v>28</v>
      </c>
      <c r="F319">
        <v>4</v>
      </c>
      <c r="G319">
        <v>12.15</v>
      </c>
      <c r="H319">
        <v>48.6</v>
      </c>
      <c r="I319" t="str">
        <f t="shared" si="28"/>
        <v>Medium</v>
      </c>
      <c r="J319">
        <v>9.7200000000000006</v>
      </c>
      <c r="K319">
        <f t="shared" si="33"/>
        <v>38.880000000000003</v>
      </c>
      <c r="L319" t="str">
        <f t="shared" si="34"/>
        <v>October</v>
      </c>
      <c r="M319">
        <f>YEAR(C319)</f>
        <v>2023</v>
      </c>
      <c r="N319">
        <v>22</v>
      </c>
      <c r="O319" t="str">
        <f>IF(N319&gt;=200,"Platinum",IF(N319&gt;=100,"Gold",IF(N319&gt;=50,"Silver","Regular")))</f>
        <v>Regular</v>
      </c>
      <c r="P319" s="4" t="str">
        <f t="shared" si="29"/>
        <v>Wednesday</v>
      </c>
      <c r="Q319" s="4" t="str">
        <f t="shared" si="30"/>
        <v>Medium Order</v>
      </c>
      <c r="R319" s="4" t="str">
        <f t="shared" si="31"/>
        <v>Weekday</v>
      </c>
      <c r="S319" s="4" t="str">
        <f t="shared" si="32"/>
        <v>Regular</v>
      </c>
    </row>
    <row r="320" spans="1:19" x14ac:dyDescent="0.3">
      <c r="A320">
        <v>5732</v>
      </c>
      <c r="B320" t="s">
        <v>31</v>
      </c>
      <c r="C320" s="1">
        <v>45253</v>
      </c>
      <c r="D320" t="s">
        <v>4</v>
      </c>
      <c r="E320" t="s">
        <v>30</v>
      </c>
      <c r="F320">
        <v>5</v>
      </c>
      <c r="G320">
        <v>9.77</v>
      </c>
      <c r="H320">
        <v>48.85</v>
      </c>
      <c r="I320" t="str">
        <f t="shared" si="28"/>
        <v>Medium</v>
      </c>
      <c r="J320">
        <v>9.77</v>
      </c>
      <c r="K320">
        <f t="shared" si="33"/>
        <v>39.08</v>
      </c>
      <c r="L320" t="str">
        <f t="shared" si="34"/>
        <v>November</v>
      </c>
      <c r="M320">
        <f>YEAR(C320)</f>
        <v>2023</v>
      </c>
      <c r="N320">
        <v>106</v>
      </c>
      <c r="O320" t="str">
        <f>IF(N320&gt;=200,"Platinum",IF(N320&gt;=100,"Gold",IF(N320&gt;=50,"Silver","Regular")))</f>
        <v>Gold</v>
      </c>
      <c r="P320" s="4" t="str">
        <f t="shared" si="29"/>
        <v>Thursday</v>
      </c>
      <c r="Q320" s="4" t="str">
        <f t="shared" si="30"/>
        <v>Medium Order</v>
      </c>
      <c r="R320" s="4" t="str">
        <f t="shared" si="31"/>
        <v>Weekday</v>
      </c>
      <c r="S320" s="4" t="str">
        <f t="shared" si="32"/>
        <v>Regular</v>
      </c>
    </row>
    <row r="321" spans="1:19" x14ac:dyDescent="0.3">
      <c r="A321">
        <v>4648</v>
      </c>
      <c r="B321" t="s">
        <v>8</v>
      </c>
      <c r="C321" s="1">
        <v>45793</v>
      </c>
      <c r="D321" t="s">
        <v>11</v>
      </c>
      <c r="E321" t="s">
        <v>35</v>
      </c>
      <c r="F321">
        <v>5</v>
      </c>
      <c r="G321">
        <v>10.199999999999999</v>
      </c>
      <c r="H321">
        <v>51</v>
      </c>
      <c r="I321" t="str">
        <f t="shared" si="28"/>
        <v>High</v>
      </c>
      <c r="J321">
        <v>10.199999999999999</v>
      </c>
      <c r="K321">
        <f t="shared" si="33"/>
        <v>40.799999999999997</v>
      </c>
      <c r="L321" t="str">
        <f t="shared" si="34"/>
        <v>May</v>
      </c>
      <c r="M321">
        <f>YEAR(C321)</f>
        <v>2025</v>
      </c>
      <c r="N321">
        <v>87</v>
      </c>
      <c r="O321" t="str">
        <f>IF(N321&gt;=200,"Platinum",IF(N321&gt;=100,"Gold",IF(N321&gt;=50,"Silver","Regular")))</f>
        <v>Silver</v>
      </c>
      <c r="P321" s="4" t="str">
        <f t="shared" si="29"/>
        <v>Friday</v>
      </c>
      <c r="Q321" s="4" t="str">
        <f t="shared" si="30"/>
        <v>Medium Order</v>
      </c>
      <c r="R321" s="4" t="str">
        <f t="shared" si="31"/>
        <v>Weekday</v>
      </c>
      <c r="S321" s="4" t="str">
        <f t="shared" si="32"/>
        <v>Regular</v>
      </c>
    </row>
    <row r="322" spans="1:19" x14ac:dyDescent="0.3">
      <c r="A322">
        <v>6543</v>
      </c>
      <c r="B322" t="s">
        <v>25</v>
      </c>
      <c r="C322" s="1">
        <v>45672</v>
      </c>
      <c r="D322" t="s">
        <v>4</v>
      </c>
      <c r="E322" t="s">
        <v>7</v>
      </c>
      <c r="F322">
        <v>5</v>
      </c>
      <c r="G322">
        <v>11.19</v>
      </c>
      <c r="H322">
        <v>55.95</v>
      </c>
      <c r="I322" t="str">
        <f t="shared" ref="I322:I385" si="35">IF(J322=0,"No Discount",IF(J322&lt;=5,"Low",IF(J322&lt;=10,"Medium",IF(J322&lt;=20,"High","Very High"))))</f>
        <v>High</v>
      </c>
      <c r="J322">
        <v>11.19</v>
      </c>
      <c r="K322">
        <f t="shared" si="33"/>
        <v>44.760000000000005</v>
      </c>
      <c r="L322" t="str">
        <f t="shared" si="34"/>
        <v>January</v>
      </c>
      <c r="M322">
        <f>YEAR(C322)</f>
        <v>2025</v>
      </c>
      <c r="N322">
        <v>73</v>
      </c>
      <c r="O322" t="str">
        <f>IF(N322&gt;=200,"Platinum",IF(N322&gt;=100,"Gold",IF(N322&gt;=50,"Silver","Regular")))</f>
        <v>Silver</v>
      </c>
      <c r="P322" s="4" t="str">
        <f t="shared" ref="P322:P385" si="36">TEXT(C322,"dddd")</f>
        <v>Wednesday</v>
      </c>
      <c r="Q322" s="4" t="str">
        <f t="shared" ref="Q322:Q385" si="37">IF(F322&lt;=2,"Small Order",IF(F322&lt;=5,"Medium Order",IF(F322&lt;=10,"Large Order","Bulk Order")))</f>
        <v>Medium Order</v>
      </c>
      <c r="R322" s="4" t="str">
        <f t="shared" ref="R322:R385" si="38">IF(WEEKDAY(C322,2)&gt;5,"Weekend","Weekday")</f>
        <v>Weekday</v>
      </c>
      <c r="S322" s="4" t="str">
        <f t="shared" ref="S322:S385" si="39">IF(K322&gt;=100,"High Value","Regular")</f>
        <v>Regular</v>
      </c>
    </row>
    <row r="323" spans="1:19" x14ac:dyDescent="0.3">
      <c r="A323">
        <v>1828</v>
      </c>
      <c r="B323" t="s">
        <v>0</v>
      </c>
      <c r="C323" s="1">
        <v>45363</v>
      </c>
      <c r="D323" t="s">
        <v>6</v>
      </c>
      <c r="E323" t="s">
        <v>29</v>
      </c>
      <c r="F323">
        <v>2</v>
      </c>
      <c r="G323">
        <v>28.2</v>
      </c>
      <c r="H323">
        <v>56.4</v>
      </c>
      <c r="I323" t="str">
        <f t="shared" si="35"/>
        <v>High</v>
      </c>
      <c r="J323">
        <v>11.28</v>
      </c>
      <c r="K323">
        <f t="shared" ref="K323:K386" si="40">MAX(0,H323-J323)</f>
        <v>45.12</v>
      </c>
      <c r="L323" t="str">
        <f t="shared" ref="L323:L386" si="41">TEXT(C323,"mmmm")</f>
        <v>March</v>
      </c>
      <c r="M323">
        <f>YEAR(C323)</f>
        <v>2024</v>
      </c>
      <c r="N323">
        <v>64</v>
      </c>
      <c r="O323" t="str">
        <f>IF(N323&gt;=200,"Platinum",IF(N323&gt;=100,"Gold",IF(N323&gt;=50,"Silver","Regular")))</f>
        <v>Silver</v>
      </c>
      <c r="P323" s="4" t="str">
        <f t="shared" si="36"/>
        <v>Tuesday</v>
      </c>
      <c r="Q323" s="4" t="str">
        <f t="shared" si="37"/>
        <v>Small Order</v>
      </c>
      <c r="R323" s="4" t="str">
        <f t="shared" si="38"/>
        <v>Weekday</v>
      </c>
      <c r="S323" s="4" t="str">
        <f t="shared" si="39"/>
        <v>Regular</v>
      </c>
    </row>
    <row r="324" spans="1:19" x14ac:dyDescent="0.3">
      <c r="A324">
        <v>6747</v>
      </c>
      <c r="B324" t="s">
        <v>31</v>
      </c>
      <c r="C324" s="1">
        <v>45558</v>
      </c>
      <c r="D324" t="s">
        <v>4</v>
      </c>
      <c r="E324" t="s">
        <v>36</v>
      </c>
      <c r="F324">
        <v>5</v>
      </c>
      <c r="G324">
        <v>11.38</v>
      </c>
      <c r="H324">
        <v>56.9</v>
      </c>
      <c r="I324" t="str">
        <f t="shared" si="35"/>
        <v>High</v>
      </c>
      <c r="J324">
        <v>11.38</v>
      </c>
      <c r="K324">
        <f t="shared" si="40"/>
        <v>45.519999999999996</v>
      </c>
      <c r="L324" t="str">
        <f t="shared" si="41"/>
        <v>September</v>
      </c>
      <c r="M324">
        <f>YEAR(C324)</f>
        <v>2024</v>
      </c>
      <c r="N324">
        <v>162</v>
      </c>
      <c r="O324" t="str">
        <f>IF(N324&gt;=200,"Platinum",IF(N324&gt;=100,"Gold",IF(N324&gt;=50,"Silver","Regular")))</f>
        <v>Gold</v>
      </c>
      <c r="P324" s="4" t="str">
        <f t="shared" si="36"/>
        <v>Monday</v>
      </c>
      <c r="Q324" s="4" t="str">
        <f t="shared" si="37"/>
        <v>Medium Order</v>
      </c>
      <c r="R324" s="4" t="str">
        <f t="shared" si="38"/>
        <v>Weekday</v>
      </c>
      <c r="S324" s="4" t="str">
        <f t="shared" si="39"/>
        <v>Regular</v>
      </c>
    </row>
    <row r="325" spans="1:19" x14ac:dyDescent="0.3">
      <c r="A325">
        <v>5668</v>
      </c>
      <c r="B325" t="s">
        <v>3</v>
      </c>
      <c r="C325" s="1">
        <v>45750</v>
      </c>
      <c r="D325" t="s">
        <v>27</v>
      </c>
      <c r="E325" t="s">
        <v>18</v>
      </c>
      <c r="F325">
        <v>5</v>
      </c>
      <c r="G325">
        <v>11.74</v>
      </c>
      <c r="H325">
        <v>58.7</v>
      </c>
      <c r="I325" t="str">
        <f t="shared" si="35"/>
        <v>High</v>
      </c>
      <c r="J325">
        <v>11.74</v>
      </c>
      <c r="K325">
        <f t="shared" si="40"/>
        <v>46.96</v>
      </c>
      <c r="L325" t="str">
        <f t="shared" si="41"/>
        <v>April</v>
      </c>
      <c r="M325">
        <f>YEAR(C325)</f>
        <v>2025</v>
      </c>
      <c r="N325">
        <v>357</v>
      </c>
      <c r="O325" t="str">
        <f>IF(N325&gt;=200,"Platinum",IF(N325&gt;=100,"Gold",IF(N325&gt;=50,"Silver","Regular")))</f>
        <v>Platinum</v>
      </c>
      <c r="P325" s="4" t="str">
        <f t="shared" si="36"/>
        <v>Thursday</v>
      </c>
      <c r="Q325" s="4" t="str">
        <f t="shared" si="37"/>
        <v>Medium Order</v>
      </c>
      <c r="R325" s="4" t="str">
        <f t="shared" si="38"/>
        <v>Weekday</v>
      </c>
      <c r="S325" s="4" t="str">
        <f t="shared" si="39"/>
        <v>Regular</v>
      </c>
    </row>
    <row r="326" spans="1:19" x14ac:dyDescent="0.3">
      <c r="A326">
        <v>8032</v>
      </c>
      <c r="B326" t="s">
        <v>20</v>
      </c>
      <c r="C326" s="1">
        <v>45146</v>
      </c>
      <c r="D326" t="s">
        <v>4</v>
      </c>
      <c r="E326" t="s">
        <v>7</v>
      </c>
      <c r="F326">
        <v>5</v>
      </c>
      <c r="G326">
        <v>12.05</v>
      </c>
      <c r="H326">
        <v>60.25</v>
      </c>
      <c r="I326" t="str">
        <f t="shared" si="35"/>
        <v>High</v>
      </c>
      <c r="J326">
        <v>12.05</v>
      </c>
      <c r="K326">
        <f t="shared" si="40"/>
        <v>48.2</v>
      </c>
      <c r="L326" t="str">
        <f t="shared" si="41"/>
        <v>August</v>
      </c>
      <c r="M326">
        <f>YEAR(C326)</f>
        <v>2023</v>
      </c>
      <c r="N326">
        <v>204</v>
      </c>
      <c r="O326" t="str">
        <f>IF(N326&gt;=200,"Platinum",IF(N326&gt;=100,"Gold",IF(N326&gt;=50,"Silver","Regular")))</f>
        <v>Platinum</v>
      </c>
      <c r="P326" s="4" t="str">
        <f t="shared" si="36"/>
        <v>Tuesday</v>
      </c>
      <c r="Q326" s="4" t="str">
        <f t="shared" si="37"/>
        <v>Medium Order</v>
      </c>
      <c r="R326" s="4" t="str">
        <f t="shared" si="38"/>
        <v>Weekday</v>
      </c>
      <c r="S326" s="4" t="str">
        <f t="shared" si="39"/>
        <v>Regular</v>
      </c>
    </row>
    <row r="327" spans="1:19" x14ac:dyDescent="0.3">
      <c r="A327">
        <v>2524</v>
      </c>
      <c r="B327" t="s">
        <v>20</v>
      </c>
      <c r="C327" s="1">
        <v>45608</v>
      </c>
      <c r="D327" t="s">
        <v>27</v>
      </c>
      <c r="E327" t="s">
        <v>37</v>
      </c>
      <c r="F327">
        <v>5</v>
      </c>
      <c r="G327">
        <v>12.53</v>
      </c>
      <c r="H327">
        <v>62.65</v>
      </c>
      <c r="I327" t="str">
        <f t="shared" si="35"/>
        <v>High</v>
      </c>
      <c r="J327">
        <v>12.53</v>
      </c>
      <c r="K327">
        <f t="shared" si="40"/>
        <v>50.12</v>
      </c>
      <c r="L327" t="str">
        <f t="shared" si="41"/>
        <v>November</v>
      </c>
      <c r="M327">
        <f>YEAR(C327)</f>
        <v>2024</v>
      </c>
      <c r="N327">
        <v>248</v>
      </c>
      <c r="O327" t="str">
        <f>IF(N327&gt;=200,"Platinum",IF(N327&gt;=100,"Gold",IF(N327&gt;=50,"Silver","Regular")))</f>
        <v>Platinum</v>
      </c>
      <c r="P327" s="4" t="str">
        <f t="shared" si="36"/>
        <v>Tuesday</v>
      </c>
      <c r="Q327" s="4" t="str">
        <f t="shared" si="37"/>
        <v>Medium Order</v>
      </c>
      <c r="R327" s="4" t="str">
        <f t="shared" si="38"/>
        <v>Weekday</v>
      </c>
      <c r="S327" s="4" t="str">
        <f t="shared" si="39"/>
        <v>Regular</v>
      </c>
    </row>
    <row r="328" spans="1:19" x14ac:dyDescent="0.3">
      <c r="A328">
        <v>8849</v>
      </c>
      <c r="B328" t="s">
        <v>3</v>
      </c>
      <c r="C328" s="1">
        <v>45311</v>
      </c>
      <c r="D328" t="s">
        <v>16</v>
      </c>
      <c r="E328" t="s">
        <v>29</v>
      </c>
      <c r="F328">
        <v>5</v>
      </c>
      <c r="G328">
        <v>14</v>
      </c>
      <c r="H328">
        <v>70</v>
      </c>
      <c r="I328" t="str">
        <f t="shared" si="35"/>
        <v>High</v>
      </c>
      <c r="J328">
        <v>14</v>
      </c>
      <c r="K328">
        <f t="shared" si="40"/>
        <v>56</v>
      </c>
      <c r="L328" t="str">
        <f t="shared" si="41"/>
        <v>January</v>
      </c>
      <c r="M328">
        <f>YEAR(C328)</f>
        <v>2024</v>
      </c>
      <c r="N328">
        <v>86</v>
      </c>
      <c r="O328" t="str">
        <f>IF(N328&gt;=200,"Platinum",IF(N328&gt;=100,"Gold",IF(N328&gt;=50,"Silver","Regular")))</f>
        <v>Silver</v>
      </c>
      <c r="P328" s="4" t="str">
        <f t="shared" si="36"/>
        <v>Saturday</v>
      </c>
      <c r="Q328" s="4" t="str">
        <f t="shared" si="37"/>
        <v>Medium Order</v>
      </c>
      <c r="R328" s="4" t="str">
        <f t="shared" si="38"/>
        <v>Weekend</v>
      </c>
      <c r="S328" s="4" t="str">
        <f t="shared" si="39"/>
        <v>Regular</v>
      </c>
    </row>
    <row r="329" spans="1:19" x14ac:dyDescent="0.3">
      <c r="A329">
        <v>3803</v>
      </c>
      <c r="B329" t="s">
        <v>19</v>
      </c>
      <c r="C329" s="1">
        <v>45559</v>
      </c>
      <c r="D329" t="s">
        <v>1</v>
      </c>
      <c r="E329" t="s">
        <v>28</v>
      </c>
      <c r="F329">
        <v>3</v>
      </c>
      <c r="G329">
        <v>23.35</v>
      </c>
      <c r="H329">
        <v>70.05</v>
      </c>
      <c r="I329" t="str">
        <f t="shared" si="35"/>
        <v>High</v>
      </c>
      <c r="J329">
        <v>14.01</v>
      </c>
      <c r="K329">
        <f t="shared" si="40"/>
        <v>56.04</v>
      </c>
      <c r="L329" t="str">
        <f t="shared" si="41"/>
        <v>September</v>
      </c>
      <c r="M329">
        <f>YEAR(C329)</f>
        <v>2024</v>
      </c>
      <c r="N329">
        <v>326</v>
      </c>
      <c r="O329" t="str">
        <f>IF(N329&gt;=200,"Platinum",IF(N329&gt;=100,"Gold",IF(N329&gt;=50,"Silver","Regular")))</f>
        <v>Platinum</v>
      </c>
      <c r="P329" s="4" t="str">
        <f t="shared" si="36"/>
        <v>Tuesday</v>
      </c>
      <c r="Q329" s="4" t="str">
        <f t="shared" si="37"/>
        <v>Medium Order</v>
      </c>
      <c r="R329" s="4" t="str">
        <f t="shared" si="38"/>
        <v>Weekday</v>
      </c>
      <c r="S329" s="4" t="str">
        <f t="shared" si="39"/>
        <v>Regular</v>
      </c>
    </row>
    <row r="330" spans="1:19" x14ac:dyDescent="0.3">
      <c r="A330">
        <v>8222</v>
      </c>
      <c r="B330" t="s">
        <v>0</v>
      </c>
      <c r="C330" s="1">
        <v>45170</v>
      </c>
      <c r="D330" t="s">
        <v>16</v>
      </c>
      <c r="E330" t="s">
        <v>22</v>
      </c>
      <c r="F330">
        <v>5</v>
      </c>
      <c r="G330">
        <v>14.12</v>
      </c>
      <c r="H330">
        <v>70.599999999999994</v>
      </c>
      <c r="I330" t="str">
        <f t="shared" si="35"/>
        <v>High</v>
      </c>
      <c r="J330">
        <v>14.12</v>
      </c>
      <c r="K330">
        <f t="shared" si="40"/>
        <v>56.48</v>
      </c>
      <c r="L330" t="str">
        <f t="shared" si="41"/>
        <v>September</v>
      </c>
      <c r="M330">
        <f>YEAR(C330)</f>
        <v>2023</v>
      </c>
      <c r="N330">
        <v>358</v>
      </c>
      <c r="O330" t="str">
        <f>IF(N330&gt;=200,"Platinum",IF(N330&gt;=100,"Gold",IF(N330&gt;=50,"Silver","Regular")))</f>
        <v>Platinum</v>
      </c>
      <c r="P330" s="4" t="str">
        <f t="shared" si="36"/>
        <v>Friday</v>
      </c>
      <c r="Q330" s="4" t="str">
        <f t="shared" si="37"/>
        <v>Medium Order</v>
      </c>
      <c r="R330" s="4" t="str">
        <f t="shared" si="38"/>
        <v>Weekday</v>
      </c>
      <c r="S330" s="4" t="str">
        <f t="shared" si="39"/>
        <v>Regular</v>
      </c>
    </row>
    <row r="331" spans="1:19" x14ac:dyDescent="0.3">
      <c r="A331">
        <v>6626</v>
      </c>
      <c r="B331" t="s">
        <v>19</v>
      </c>
      <c r="C331" s="1">
        <v>45699</v>
      </c>
      <c r="D331" t="s">
        <v>9</v>
      </c>
      <c r="E331" t="s">
        <v>18</v>
      </c>
      <c r="F331">
        <v>5</v>
      </c>
      <c r="G331">
        <v>14.39</v>
      </c>
      <c r="H331">
        <v>71.95</v>
      </c>
      <c r="I331" t="str">
        <f t="shared" si="35"/>
        <v>High</v>
      </c>
      <c r="J331">
        <v>14.39</v>
      </c>
      <c r="K331">
        <f t="shared" si="40"/>
        <v>57.56</v>
      </c>
      <c r="L331" t="str">
        <f t="shared" si="41"/>
        <v>February</v>
      </c>
      <c r="M331">
        <f>YEAR(C331)</f>
        <v>2025</v>
      </c>
      <c r="N331">
        <v>290</v>
      </c>
      <c r="O331" t="str">
        <f>IF(N331&gt;=200,"Platinum",IF(N331&gt;=100,"Gold",IF(N331&gt;=50,"Silver","Regular")))</f>
        <v>Platinum</v>
      </c>
      <c r="P331" s="4" t="str">
        <f t="shared" si="36"/>
        <v>Tuesday</v>
      </c>
      <c r="Q331" s="4" t="str">
        <f t="shared" si="37"/>
        <v>Medium Order</v>
      </c>
      <c r="R331" s="4" t="str">
        <f t="shared" si="38"/>
        <v>Weekday</v>
      </c>
      <c r="S331" s="4" t="str">
        <f t="shared" si="39"/>
        <v>Regular</v>
      </c>
    </row>
    <row r="332" spans="1:19" x14ac:dyDescent="0.3">
      <c r="A332">
        <v>4519</v>
      </c>
      <c r="B332" t="s">
        <v>13</v>
      </c>
      <c r="C332" s="1">
        <v>45304</v>
      </c>
      <c r="D332" t="s">
        <v>34</v>
      </c>
      <c r="E332" t="s">
        <v>22</v>
      </c>
      <c r="F332">
        <v>3</v>
      </c>
      <c r="G332">
        <v>24.95</v>
      </c>
      <c r="H332">
        <v>74.849999999999994</v>
      </c>
      <c r="I332" t="str">
        <f t="shared" si="35"/>
        <v>High</v>
      </c>
      <c r="J332">
        <v>14.97</v>
      </c>
      <c r="K332">
        <f t="shared" si="40"/>
        <v>59.879999999999995</v>
      </c>
      <c r="L332" t="str">
        <f t="shared" si="41"/>
        <v>January</v>
      </c>
      <c r="M332">
        <f>YEAR(C332)</f>
        <v>2024</v>
      </c>
      <c r="N332">
        <v>230</v>
      </c>
      <c r="O332" t="str">
        <f>IF(N332&gt;=200,"Platinum",IF(N332&gt;=100,"Gold",IF(N332&gt;=50,"Silver","Regular")))</f>
        <v>Platinum</v>
      </c>
      <c r="P332" s="4" t="str">
        <f t="shared" si="36"/>
        <v>Saturday</v>
      </c>
      <c r="Q332" s="4" t="str">
        <f t="shared" si="37"/>
        <v>Medium Order</v>
      </c>
      <c r="R332" s="4" t="str">
        <f t="shared" si="38"/>
        <v>Weekend</v>
      </c>
      <c r="S332" s="4" t="str">
        <f t="shared" si="39"/>
        <v>Regular</v>
      </c>
    </row>
    <row r="333" spans="1:19" x14ac:dyDescent="0.3">
      <c r="A333">
        <v>1422</v>
      </c>
      <c r="B333" t="s">
        <v>0</v>
      </c>
      <c r="C333" s="1">
        <v>45247</v>
      </c>
      <c r="D333" t="s">
        <v>23</v>
      </c>
      <c r="E333" t="s">
        <v>22</v>
      </c>
      <c r="F333">
        <v>5</v>
      </c>
      <c r="G333">
        <v>15.2</v>
      </c>
      <c r="H333">
        <v>76</v>
      </c>
      <c r="I333" t="str">
        <f t="shared" si="35"/>
        <v>High</v>
      </c>
      <c r="J333">
        <v>15.2</v>
      </c>
      <c r="K333">
        <f t="shared" si="40"/>
        <v>60.8</v>
      </c>
      <c r="L333" t="str">
        <f t="shared" si="41"/>
        <v>November</v>
      </c>
      <c r="M333">
        <f>YEAR(C333)</f>
        <v>2023</v>
      </c>
      <c r="N333">
        <v>166</v>
      </c>
      <c r="O333" t="str">
        <f>IF(N333&gt;=200,"Platinum",IF(N333&gt;=100,"Gold",IF(N333&gt;=50,"Silver","Regular")))</f>
        <v>Gold</v>
      </c>
      <c r="P333" s="4" t="str">
        <f t="shared" si="36"/>
        <v>Friday</v>
      </c>
      <c r="Q333" s="4" t="str">
        <f t="shared" si="37"/>
        <v>Medium Order</v>
      </c>
      <c r="R333" s="4" t="str">
        <f t="shared" si="38"/>
        <v>Weekday</v>
      </c>
      <c r="S333" s="4" t="str">
        <f t="shared" si="39"/>
        <v>Regular</v>
      </c>
    </row>
    <row r="334" spans="1:19" x14ac:dyDescent="0.3">
      <c r="A334">
        <v>7375</v>
      </c>
      <c r="B334" t="s">
        <v>13</v>
      </c>
      <c r="C334" s="1">
        <v>45670</v>
      </c>
      <c r="D334" t="s">
        <v>27</v>
      </c>
      <c r="E334" t="s">
        <v>30</v>
      </c>
      <c r="F334">
        <v>5</v>
      </c>
      <c r="G334">
        <v>15.32</v>
      </c>
      <c r="H334">
        <v>76.599999999999994</v>
      </c>
      <c r="I334" t="str">
        <f t="shared" si="35"/>
        <v>High</v>
      </c>
      <c r="J334">
        <v>15.32</v>
      </c>
      <c r="K334">
        <f t="shared" si="40"/>
        <v>61.279999999999994</v>
      </c>
      <c r="L334" t="str">
        <f t="shared" si="41"/>
        <v>January</v>
      </c>
      <c r="M334">
        <f>YEAR(C334)</f>
        <v>2025</v>
      </c>
      <c r="N334">
        <v>451</v>
      </c>
      <c r="O334" t="str">
        <f>IF(N334&gt;=200,"Platinum",IF(N334&gt;=100,"Gold",IF(N334&gt;=50,"Silver","Regular")))</f>
        <v>Platinum</v>
      </c>
      <c r="P334" s="4" t="str">
        <f t="shared" si="36"/>
        <v>Monday</v>
      </c>
      <c r="Q334" s="4" t="str">
        <f t="shared" si="37"/>
        <v>Medium Order</v>
      </c>
      <c r="R334" s="4" t="str">
        <f t="shared" si="38"/>
        <v>Weekday</v>
      </c>
      <c r="S334" s="4" t="str">
        <f t="shared" si="39"/>
        <v>Regular</v>
      </c>
    </row>
    <row r="335" spans="1:19" x14ac:dyDescent="0.3">
      <c r="A335">
        <v>4044</v>
      </c>
      <c r="B335" t="s">
        <v>19</v>
      </c>
      <c r="C335" s="1">
        <v>45198</v>
      </c>
      <c r="D335" t="s">
        <v>11</v>
      </c>
      <c r="E335" t="s">
        <v>37</v>
      </c>
      <c r="F335">
        <v>5</v>
      </c>
      <c r="G335">
        <v>15.7</v>
      </c>
      <c r="H335">
        <v>78.5</v>
      </c>
      <c r="I335" t="str">
        <f t="shared" si="35"/>
        <v>High</v>
      </c>
      <c r="J335">
        <v>15.7</v>
      </c>
      <c r="K335">
        <f t="shared" si="40"/>
        <v>62.8</v>
      </c>
      <c r="L335" t="str">
        <f t="shared" si="41"/>
        <v>September</v>
      </c>
      <c r="M335">
        <f>YEAR(C335)</f>
        <v>2023</v>
      </c>
      <c r="N335">
        <v>79</v>
      </c>
      <c r="O335" t="str">
        <f>IF(N335&gt;=200,"Platinum",IF(N335&gt;=100,"Gold",IF(N335&gt;=50,"Silver","Regular")))</f>
        <v>Silver</v>
      </c>
      <c r="P335" s="4" t="str">
        <f t="shared" si="36"/>
        <v>Friday</v>
      </c>
      <c r="Q335" s="4" t="str">
        <f t="shared" si="37"/>
        <v>Medium Order</v>
      </c>
      <c r="R335" s="4" t="str">
        <f t="shared" si="38"/>
        <v>Weekday</v>
      </c>
      <c r="S335" s="4" t="str">
        <f t="shared" si="39"/>
        <v>Regular</v>
      </c>
    </row>
    <row r="336" spans="1:19" x14ac:dyDescent="0.3">
      <c r="A336">
        <v>8873</v>
      </c>
      <c r="B336" t="s">
        <v>15</v>
      </c>
      <c r="C336" s="1">
        <v>45823</v>
      </c>
      <c r="D336" t="s">
        <v>27</v>
      </c>
      <c r="E336" t="s">
        <v>5</v>
      </c>
      <c r="F336">
        <v>4</v>
      </c>
      <c r="G336">
        <v>19.75</v>
      </c>
      <c r="H336">
        <v>79</v>
      </c>
      <c r="I336" t="str">
        <f t="shared" si="35"/>
        <v>High</v>
      </c>
      <c r="J336">
        <v>15.8</v>
      </c>
      <c r="K336">
        <f t="shared" si="40"/>
        <v>63.2</v>
      </c>
      <c r="L336" t="str">
        <f t="shared" si="41"/>
        <v>June</v>
      </c>
      <c r="M336">
        <f>YEAR(C336)</f>
        <v>2025</v>
      </c>
      <c r="N336">
        <v>18</v>
      </c>
      <c r="O336" t="str">
        <f>IF(N336&gt;=200,"Platinum",IF(N336&gt;=100,"Gold",IF(N336&gt;=50,"Silver","Regular")))</f>
        <v>Regular</v>
      </c>
      <c r="P336" s="4" t="str">
        <f t="shared" si="36"/>
        <v>Sunday</v>
      </c>
      <c r="Q336" s="4" t="str">
        <f t="shared" si="37"/>
        <v>Medium Order</v>
      </c>
      <c r="R336" s="4" t="str">
        <f t="shared" si="38"/>
        <v>Weekend</v>
      </c>
      <c r="S336" s="4" t="str">
        <f t="shared" si="39"/>
        <v>Regular</v>
      </c>
    </row>
    <row r="337" spans="1:19" x14ac:dyDescent="0.3">
      <c r="A337">
        <v>7471</v>
      </c>
      <c r="B337" t="s">
        <v>19</v>
      </c>
      <c r="C337" s="1">
        <v>45530</v>
      </c>
      <c r="D337" t="s">
        <v>24</v>
      </c>
      <c r="E337" t="s">
        <v>26</v>
      </c>
      <c r="F337">
        <v>5</v>
      </c>
      <c r="G337">
        <v>15.88</v>
      </c>
      <c r="H337">
        <v>79.400000000000006</v>
      </c>
      <c r="I337" t="str">
        <f t="shared" si="35"/>
        <v>High</v>
      </c>
      <c r="J337">
        <v>15.88</v>
      </c>
      <c r="K337">
        <f t="shared" si="40"/>
        <v>63.52</v>
      </c>
      <c r="L337" t="str">
        <f t="shared" si="41"/>
        <v>August</v>
      </c>
      <c r="M337">
        <f>YEAR(C337)</f>
        <v>2024</v>
      </c>
      <c r="N337">
        <v>160</v>
      </c>
      <c r="O337" t="str">
        <f>IF(N337&gt;=200,"Platinum",IF(N337&gt;=100,"Gold",IF(N337&gt;=50,"Silver","Regular")))</f>
        <v>Gold</v>
      </c>
      <c r="P337" s="4" t="str">
        <f t="shared" si="36"/>
        <v>Monday</v>
      </c>
      <c r="Q337" s="4" t="str">
        <f t="shared" si="37"/>
        <v>Medium Order</v>
      </c>
      <c r="R337" s="4" t="str">
        <f t="shared" si="38"/>
        <v>Weekday</v>
      </c>
      <c r="S337" s="4" t="str">
        <f t="shared" si="39"/>
        <v>Regular</v>
      </c>
    </row>
    <row r="338" spans="1:19" x14ac:dyDescent="0.3">
      <c r="A338">
        <v>5847</v>
      </c>
      <c r="B338" t="s">
        <v>19</v>
      </c>
      <c r="C338" s="1">
        <v>45688</v>
      </c>
      <c r="D338" t="s">
        <v>34</v>
      </c>
      <c r="E338" t="s">
        <v>12</v>
      </c>
      <c r="F338">
        <v>5</v>
      </c>
      <c r="G338">
        <v>16.100000000000001</v>
      </c>
      <c r="H338">
        <v>80.5</v>
      </c>
      <c r="I338" t="str">
        <f t="shared" si="35"/>
        <v>High</v>
      </c>
      <c r="J338">
        <v>16.100000000000001</v>
      </c>
      <c r="K338">
        <f t="shared" si="40"/>
        <v>64.400000000000006</v>
      </c>
      <c r="L338" t="str">
        <f t="shared" si="41"/>
        <v>January</v>
      </c>
      <c r="M338">
        <f>YEAR(C338)</f>
        <v>2025</v>
      </c>
      <c r="N338">
        <v>230</v>
      </c>
      <c r="O338" t="str">
        <f>IF(N338&gt;=200,"Platinum",IF(N338&gt;=100,"Gold",IF(N338&gt;=50,"Silver","Regular")))</f>
        <v>Platinum</v>
      </c>
      <c r="P338" s="4" t="str">
        <f t="shared" si="36"/>
        <v>Friday</v>
      </c>
      <c r="Q338" s="4" t="str">
        <f t="shared" si="37"/>
        <v>Medium Order</v>
      </c>
      <c r="R338" s="4" t="str">
        <f t="shared" si="38"/>
        <v>Weekday</v>
      </c>
      <c r="S338" s="4" t="str">
        <f t="shared" si="39"/>
        <v>Regular</v>
      </c>
    </row>
    <row r="339" spans="1:19" x14ac:dyDescent="0.3">
      <c r="A339">
        <v>7333</v>
      </c>
      <c r="B339" t="s">
        <v>25</v>
      </c>
      <c r="C339" s="1">
        <v>45365</v>
      </c>
      <c r="D339" t="s">
        <v>23</v>
      </c>
      <c r="E339" t="s">
        <v>22</v>
      </c>
      <c r="F339">
        <v>5</v>
      </c>
      <c r="G339">
        <v>16.16</v>
      </c>
      <c r="H339">
        <v>80.8</v>
      </c>
      <c r="I339" t="str">
        <f t="shared" si="35"/>
        <v>High</v>
      </c>
      <c r="J339">
        <v>16.16</v>
      </c>
      <c r="K339">
        <f t="shared" si="40"/>
        <v>64.64</v>
      </c>
      <c r="L339" t="str">
        <f t="shared" si="41"/>
        <v>March</v>
      </c>
      <c r="M339">
        <f>YEAR(C339)</f>
        <v>2024</v>
      </c>
      <c r="N339">
        <v>496</v>
      </c>
      <c r="O339" t="str">
        <f>IF(N339&gt;=200,"Platinum",IF(N339&gt;=100,"Gold",IF(N339&gt;=50,"Silver","Regular")))</f>
        <v>Platinum</v>
      </c>
      <c r="P339" s="4" t="str">
        <f t="shared" si="36"/>
        <v>Thursday</v>
      </c>
      <c r="Q339" s="4" t="str">
        <f t="shared" si="37"/>
        <v>Medium Order</v>
      </c>
      <c r="R339" s="4" t="str">
        <f t="shared" si="38"/>
        <v>Weekday</v>
      </c>
      <c r="S339" s="4" t="str">
        <f t="shared" si="39"/>
        <v>Regular</v>
      </c>
    </row>
    <row r="340" spans="1:19" x14ac:dyDescent="0.3">
      <c r="A340">
        <v>4538</v>
      </c>
      <c r="B340" t="s">
        <v>8</v>
      </c>
      <c r="C340" s="1">
        <v>45776</v>
      </c>
      <c r="D340" t="s">
        <v>11</v>
      </c>
      <c r="E340" t="s">
        <v>32</v>
      </c>
      <c r="F340">
        <v>5</v>
      </c>
      <c r="G340">
        <v>16.45</v>
      </c>
      <c r="H340">
        <v>82.25</v>
      </c>
      <c r="I340" t="str">
        <f t="shared" si="35"/>
        <v>High</v>
      </c>
      <c r="J340">
        <v>16.45</v>
      </c>
      <c r="K340">
        <f t="shared" si="40"/>
        <v>65.8</v>
      </c>
      <c r="L340" t="str">
        <f t="shared" si="41"/>
        <v>April</v>
      </c>
      <c r="M340">
        <f>YEAR(C340)</f>
        <v>2025</v>
      </c>
      <c r="N340">
        <v>368</v>
      </c>
      <c r="O340" t="str">
        <f>IF(N340&gt;=200,"Platinum",IF(N340&gt;=100,"Gold",IF(N340&gt;=50,"Silver","Regular")))</f>
        <v>Platinum</v>
      </c>
      <c r="P340" s="4" t="str">
        <f t="shared" si="36"/>
        <v>Tuesday</v>
      </c>
      <c r="Q340" s="4" t="str">
        <f t="shared" si="37"/>
        <v>Medium Order</v>
      </c>
      <c r="R340" s="4" t="str">
        <f t="shared" si="38"/>
        <v>Weekday</v>
      </c>
      <c r="S340" s="4" t="str">
        <f t="shared" si="39"/>
        <v>Regular</v>
      </c>
    </row>
    <row r="341" spans="1:19" x14ac:dyDescent="0.3">
      <c r="A341">
        <v>4937</v>
      </c>
      <c r="B341" t="s">
        <v>13</v>
      </c>
      <c r="C341" s="1">
        <v>45681</v>
      </c>
      <c r="D341" t="s">
        <v>34</v>
      </c>
      <c r="E341" t="s">
        <v>28</v>
      </c>
      <c r="F341">
        <v>4</v>
      </c>
      <c r="G341">
        <v>20.8</v>
      </c>
      <c r="H341">
        <v>83.2</v>
      </c>
      <c r="I341" t="str">
        <f t="shared" si="35"/>
        <v>High</v>
      </c>
      <c r="J341">
        <v>16.64</v>
      </c>
      <c r="K341">
        <f t="shared" si="40"/>
        <v>66.56</v>
      </c>
      <c r="L341" t="str">
        <f t="shared" si="41"/>
        <v>January</v>
      </c>
      <c r="M341">
        <f>YEAR(C341)</f>
        <v>2025</v>
      </c>
      <c r="N341">
        <v>88</v>
      </c>
      <c r="O341" t="str">
        <f>IF(N341&gt;=200,"Platinum",IF(N341&gt;=100,"Gold",IF(N341&gt;=50,"Silver","Regular")))</f>
        <v>Silver</v>
      </c>
      <c r="P341" s="4" t="str">
        <f t="shared" si="36"/>
        <v>Friday</v>
      </c>
      <c r="Q341" s="4" t="str">
        <f t="shared" si="37"/>
        <v>Medium Order</v>
      </c>
      <c r="R341" s="4" t="str">
        <f t="shared" si="38"/>
        <v>Weekday</v>
      </c>
      <c r="S341" s="4" t="str">
        <f t="shared" si="39"/>
        <v>Regular</v>
      </c>
    </row>
    <row r="342" spans="1:19" x14ac:dyDescent="0.3">
      <c r="A342">
        <v>3858</v>
      </c>
      <c r="B342" t="s">
        <v>20</v>
      </c>
      <c r="C342" s="1">
        <v>45230</v>
      </c>
      <c r="D342" t="s">
        <v>9</v>
      </c>
      <c r="E342" t="s">
        <v>28</v>
      </c>
      <c r="F342">
        <v>3</v>
      </c>
      <c r="G342">
        <v>28.55</v>
      </c>
      <c r="H342">
        <v>85.65</v>
      </c>
      <c r="I342" t="str">
        <f t="shared" si="35"/>
        <v>High</v>
      </c>
      <c r="J342">
        <v>17.13</v>
      </c>
      <c r="K342">
        <f t="shared" si="40"/>
        <v>68.52000000000001</v>
      </c>
      <c r="L342" t="str">
        <f t="shared" si="41"/>
        <v>October</v>
      </c>
      <c r="M342">
        <f>YEAR(C342)</f>
        <v>2023</v>
      </c>
      <c r="N342">
        <v>113</v>
      </c>
      <c r="O342" t="str">
        <f>IF(N342&gt;=200,"Platinum",IF(N342&gt;=100,"Gold",IF(N342&gt;=50,"Silver","Regular")))</f>
        <v>Gold</v>
      </c>
      <c r="P342" s="4" t="str">
        <f t="shared" si="36"/>
        <v>Tuesday</v>
      </c>
      <c r="Q342" s="4" t="str">
        <f t="shared" si="37"/>
        <v>Medium Order</v>
      </c>
      <c r="R342" s="4" t="str">
        <f t="shared" si="38"/>
        <v>Weekday</v>
      </c>
      <c r="S342" s="4" t="str">
        <f t="shared" si="39"/>
        <v>Regular</v>
      </c>
    </row>
    <row r="343" spans="1:19" x14ac:dyDescent="0.3">
      <c r="A343">
        <v>1046</v>
      </c>
      <c r="B343" t="s">
        <v>20</v>
      </c>
      <c r="C343" s="1">
        <v>45360</v>
      </c>
      <c r="D343" t="s">
        <v>17</v>
      </c>
      <c r="E343" t="s">
        <v>2</v>
      </c>
      <c r="F343">
        <v>5</v>
      </c>
      <c r="G343">
        <v>17.43</v>
      </c>
      <c r="H343">
        <v>87.15</v>
      </c>
      <c r="I343" t="str">
        <f t="shared" si="35"/>
        <v>High</v>
      </c>
      <c r="J343">
        <v>17.43</v>
      </c>
      <c r="K343">
        <f t="shared" si="40"/>
        <v>69.72</v>
      </c>
      <c r="L343" t="str">
        <f t="shared" si="41"/>
        <v>March</v>
      </c>
      <c r="M343">
        <f>YEAR(C343)</f>
        <v>2024</v>
      </c>
      <c r="N343">
        <v>118</v>
      </c>
      <c r="O343" t="str">
        <f>IF(N343&gt;=200,"Platinum",IF(N343&gt;=100,"Gold",IF(N343&gt;=50,"Silver","Regular")))</f>
        <v>Gold</v>
      </c>
      <c r="P343" s="4" t="str">
        <f t="shared" si="36"/>
        <v>Saturday</v>
      </c>
      <c r="Q343" s="4" t="str">
        <f t="shared" si="37"/>
        <v>Medium Order</v>
      </c>
      <c r="R343" s="4" t="str">
        <f t="shared" si="38"/>
        <v>Weekend</v>
      </c>
      <c r="S343" s="4" t="str">
        <f t="shared" si="39"/>
        <v>Regular</v>
      </c>
    </row>
    <row r="344" spans="1:19" x14ac:dyDescent="0.3">
      <c r="A344">
        <v>1651</v>
      </c>
      <c r="B344" t="s">
        <v>25</v>
      </c>
      <c r="C344" s="1">
        <v>45626</v>
      </c>
      <c r="D344" t="s">
        <v>24</v>
      </c>
      <c r="E344" t="s">
        <v>10</v>
      </c>
      <c r="F344">
        <v>5</v>
      </c>
      <c r="G344">
        <v>18.28</v>
      </c>
      <c r="H344">
        <v>91.4</v>
      </c>
      <c r="I344" t="str">
        <f t="shared" si="35"/>
        <v>High</v>
      </c>
      <c r="J344">
        <v>18.28</v>
      </c>
      <c r="K344">
        <f t="shared" si="40"/>
        <v>73.12</v>
      </c>
      <c r="L344" t="str">
        <f t="shared" si="41"/>
        <v>November</v>
      </c>
      <c r="M344">
        <f>YEAR(C344)</f>
        <v>2024</v>
      </c>
      <c r="N344">
        <v>452</v>
      </c>
      <c r="O344" t="str">
        <f>IF(N344&gt;=200,"Platinum",IF(N344&gt;=100,"Gold",IF(N344&gt;=50,"Silver","Regular")))</f>
        <v>Platinum</v>
      </c>
      <c r="P344" s="4" t="str">
        <f t="shared" si="36"/>
        <v>Saturday</v>
      </c>
      <c r="Q344" s="4" t="str">
        <f t="shared" si="37"/>
        <v>Medium Order</v>
      </c>
      <c r="R344" s="4" t="str">
        <f t="shared" si="38"/>
        <v>Weekend</v>
      </c>
      <c r="S344" s="4" t="str">
        <f t="shared" si="39"/>
        <v>Regular</v>
      </c>
    </row>
    <row r="345" spans="1:19" x14ac:dyDescent="0.3">
      <c r="A345">
        <v>7924</v>
      </c>
      <c r="B345" t="s">
        <v>3</v>
      </c>
      <c r="C345" s="1">
        <v>45409</v>
      </c>
      <c r="D345" t="s">
        <v>4</v>
      </c>
      <c r="E345" t="s">
        <v>26</v>
      </c>
      <c r="F345">
        <v>5</v>
      </c>
      <c r="G345">
        <v>18.649999999999999</v>
      </c>
      <c r="H345">
        <v>93.25</v>
      </c>
      <c r="I345" t="str">
        <f t="shared" si="35"/>
        <v>High</v>
      </c>
      <c r="J345">
        <v>18.649999999999999</v>
      </c>
      <c r="K345">
        <f t="shared" si="40"/>
        <v>74.599999999999994</v>
      </c>
      <c r="L345" t="str">
        <f t="shared" si="41"/>
        <v>April</v>
      </c>
      <c r="M345">
        <f>YEAR(C345)</f>
        <v>2024</v>
      </c>
      <c r="N345">
        <v>78</v>
      </c>
      <c r="O345" t="str">
        <f>IF(N345&gt;=200,"Platinum",IF(N345&gt;=100,"Gold",IF(N345&gt;=50,"Silver","Regular")))</f>
        <v>Silver</v>
      </c>
      <c r="P345" s="4" t="str">
        <f t="shared" si="36"/>
        <v>Saturday</v>
      </c>
      <c r="Q345" s="4" t="str">
        <f t="shared" si="37"/>
        <v>Medium Order</v>
      </c>
      <c r="R345" s="4" t="str">
        <f t="shared" si="38"/>
        <v>Weekend</v>
      </c>
      <c r="S345" s="4" t="str">
        <f t="shared" si="39"/>
        <v>Regular</v>
      </c>
    </row>
    <row r="346" spans="1:19" x14ac:dyDescent="0.3">
      <c r="A346">
        <v>9692</v>
      </c>
      <c r="B346" t="s">
        <v>25</v>
      </c>
      <c r="C346" s="1">
        <v>45374</v>
      </c>
      <c r="D346" t="s">
        <v>11</v>
      </c>
      <c r="E346" t="s">
        <v>21</v>
      </c>
      <c r="F346">
        <v>5</v>
      </c>
      <c r="G346">
        <v>18.850000000000001</v>
      </c>
      <c r="H346">
        <v>94.25</v>
      </c>
      <c r="I346" t="str">
        <f t="shared" si="35"/>
        <v>High</v>
      </c>
      <c r="J346">
        <v>18.850000000000001</v>
      </c>
      <c r="K346">
        <f t="shared" si="40"/>
        <v>75.400000000000006</v>
      </c>
      <c r="L346" t="str">
        <f t="shared" si="41"/>
        <v>March</v>
      </c>
      <c r="M346">
        <f>YEAR(C346)</f>
        <v>2024</v>
      </c>
      <c r="N346">
        <v>14</v>
      </c>
      <c r="O346" t="str">
        <f>IF(N346&gt;=200,"Platinum",IF(N346&gt;=100,"Gold",IF(N346&gt;=50,"Silver","Regular")))</f>
        <v>Regular</v>
      </c>
      <c r="P346" s="4" t="str">
        <f t="shared" si="36"/>
        <v>Saturday</v>
      </c>
      <c r="Q346" s="4" t="str">
        <f t="shared" si="37"/>
        <v>Medium Order</v>
      </c>
      <c r="R346" s="4" t="str">
        <f t="shared" si="38"/>
        <v>Weekend</v>
      </c>
      <c r="S346" s="4" t="str">
        <f t="shared" si="39"/>
        <v>Regular</v>
      </c>
    </row>
    <row r="347" spans="1:19" x14ac:dyDescent="0.3">
      <c r="A347">
        <v>5888</v>
      </c>
      <c r="B347" t="s">
        <v>15</v>
      </c>
      <c r="C347" s="1">
        <v>45586</v>
      </c>
      <c r="D347" t="s">
        <v>4</v>
      </c>
      <c r="E347" t="s">
        <v>32</v>
      </c>
      <c r="F347">
        <v>5</v>
      </c>
      <c r="G347">
        <v>18.940000000000001</v>
      </c>
      <c r="H347">
        <v>94.7</v>
      </c>
      <c r="I347" t="str">
        <f t="shared" si="35"/>
        <v>High</v>
      </c>
      <c r="J347">
        <v>18.940000000000001</v>
      </c>
      <c r="K347">
        <f t="shared" si="40"/>
        <v>75.760000000000005</v>
      </c>
      <c r="L347" t="str">
        <f t="shared" si="41"/>
        <v>October</v>
      </c>
      <c r="M347">
        <f>YEAR(C347)</f>
        <v>2024</v>
      </c>
      <c r="N347">
        <v>154</v>
      </c>
      <c r="O347" t="str">
        <f>IF(N347&gt;=200,"Platinum",IF(N347&gt;=100,"Gold",IF(N347&gt;=50,"Silver","Regular")))</f>
        <v>Gold</v>
      </c>
      <c r="P347" s="4" t="str">
        <f t="shared" si="36"/>
        <v>Monday</v>
      </c>
      <c r="Q347" s="4" t="str">
        <f t="shared" si="37"/>
        <v>Medium Order</v>
      </c>
      <c r="R347" s="4" t="str">
        <f t="shared" si="38"/>
        <v>Weekday</v>
      </c>
      <c r="S347" s="4" t="str">
        <f t="shared" si="39"/>
        <v>Regular</v>
      </c>
    </row>
    <row r="348" spans="1:19" x14ac:dyDescent="0.3">
      <c r="A348">
        <v>9727</v>
      </c>
      <c r="B348" t="s">
        <v>13</v>
      </c>
      <c r="C348" s="1">
        <v>45739</v>
      </c>
      <c r="D348" t="s">
        <v>34</v>
      </c>
      <c r="E348" t="s">
        <v>32</v>
      </c>
      <c r="F348">
        <v>5</v>
      </c>
      <c r="G348">
        <v>19.239999999999998</v>
      </c>
      <c r="H348">
        <v>96.2</v>
      </c>
      <c r="I348" t="str">
        <f t="shared" si="35"/>
        <v>High</v>
      </c>
      <c r="J348">
        <v>19.239999999999998</v>
      </c>
      <c r="K348">
        <f t="shared" si="40"/>
        <v>76.960000000000008</v>
      </c>
      <c r="L348" t="str">
        <f t="shared" si="41"/>
        <v>March</v>
      </c>
      <c r="M348">
        <f>YEAR(C348)</f>
        <v>2025</v>
      </c>
      <c r="N348">
        <v>27</v>
      </c>
      <c r="O348" t="str">
        <f>IF(N348&gt;=200,"Platinum",IF(N348&gt;=100,"Gold",IF(N348&gt;=50,"Silver","Regular")))</f>
        <v>Regular</v>
      </c>
      <c r="P348" s="4" t="str">
        <f t="shared" si="36"/>
        <v>Sunday</v>
      </c>
      <c r="Q348" s="4" t="str">
        <f t="shared" si="37"/>
        <v>Medium Order</v>
      </c>
      <c r="R348" s="4" t="str">
        <f t="shared" si="38"/>
        <v>Weekend</v>
      </c>
      <c r="S348" s="4" t="str">
        <f t="shared" si="39"/>
        <v>Regular</v>
      </c>
    </row>
    <row r="349" spans="1:19" x14ac:dyDescent="0.3">
      <c r="A349">
        <v>7438</v>
      </c>
      <c r="B349" t="s">
        <v>3</v>
      </c>
      <c r="C349" s="1">
        <v>45623</v>
      </c>
      <c r="D349" t="s">
        <v>1</v>
      </c>
      <c r="E349" t="s">
        <v>30</v>
      </c>
      <c r="F349">
        <v>4</v>
      </c>
      <c r="G349">
        <v>24.1</v>
      </c>
      <c r="H349">
        <v>96.4</v>
      </c>
      <c r="I349" t="str">
        <f t="shared" si="35"/>
        <v>High</v>
      </c>
      <c r="J349">
        <v>19.28</v>
      </c>
      <c r="K349">
        <f t="shared" si="40"/>
        <v>77.12</v>
      </c>
      <c r="L349" t="str">
        <f t="shared" si="41"/>
        <v>November</v>
      </c>
      <c r="M349">
        <f>YEAR(C349)</f>
        <v>2024</v>
      </c>
      <c r="N349">
        <v>154</v>
      </c>
      <c r="O349" t="str">
        <f>IF(N349&gt;=200,"Platinum",IF(N349&gt;=100,"Gold",IF(N349&gt;=50,"Silver","Regular")))</f>
        <v>Gold</v>
      </c>
      <c r="P349" s="4" t="str">
        <f t="shared" si="36"/>
        <v>Wednesday</v>
      </c>
      <c r="Q349" s="4" t="str">
        <f t="shared" si="37"/>
        <v>Medium Order</v>
      </c>
      <c r="R349" s="4" t="str">
        <f t="shared" si="38"/>
        <v>Weekday</v>
      </c>
      <c r="S349" s="4" t="str">
        <f t="shared" si="39"/>
        <v>Regular</v>
      </c>
    </row>
    <row r="350" spans="1:19" x14ac:dyDescent="0.3">
      <c r="A350">
        <v>6733</v>
      </c>
      <c r="B350" t="s">
        <v>31</v>
      </c>
      <c r="C350" s="1">
        <v>45319</v>
      </c>
      <c r="D350" t="s">
        <v>6</v>
      </c>
      <c r="E350" t="s">
        <v>12</v>
      </c>
      <c r="F350">
        <v>5</v>
      </c>
      <c r="G350">
        <v>19.34</v>
      </c>
      <c r="H350">
        <v>96.7</v>
      </c>
      <c r="I350" t="str">
        <f t="shared" si="35"/>
        <v>High</v>
      </c>
      <c r="J350">
        <v>19.34</v>
      </c>
      <c r="K350">
        <f t="shared" si="40"/>
        <v>77.36</v>
      </c>
      <c r="L350" t="str">
        <f t="shared" si="41"/>
        <v>January</v>
      </c>
      <c r="M350">
        <f>YEAR(C350)</f>
        <v>2024</v>
      </c>
      <c r="N350">
        <v>84</v>
      </c>
      <c r="O350" t="str">
        <f>IF(N350&gt;=200,"Platinum",IF(N350&gt;=100,"Gold",IF(N350&gt;=50,"Silver","Regular")))</f>
        <v>Silver</v>
      </c>
      <c r="P350" s="4" t="str">
        <f t="shared" si="36"/>
        <v>Sunday</v>
      </c>
      <c r="Q350" s="4" t="str">
        <f t="shared" si="37"/>
        <v>Medium Order</v>
      </c>
      <c r="R350" s="4" t="str">
        <f t="shared" si="38"/>
        <v>Weekend</v>
      </c>
      <c r="S350" s="4" t="str">
        <f t="shared" si="39"/>
        <v>Regular</v>
      </c>
    </row>
    <row r="351" spans="1:19" x14ac:dyDescent="0.3">
      <c r="A351">
        <v>8837</v>
      </c>
      <c r="B351" t="s">
        <v>8</v>
      </c>
      <c r="C351" s="1">
        <v>45553</v>
      </c>
      <c r="D351" t="s">
        <v>1</v>
      </c>
      <c r="E351" t="s">
        <v>7</v>
      </c>
      <c r="F351">
        <v>4</v>
      </c>
      <c r="G351">
        <v>24.2</v>
      </c>
      <c r="H351">
        <v>96.8</v>
      </c>
      <c r="I351" t="str">
        <f t="shared" si="35"/>
        <v>High</v>
      </c>
      <c r="J351">
        <v>19.36</v>
      </c>
      <c r="K351">
        <f t="shared" si="40"/>
        <v>77.44</v>
      </c>
      <c r="L351" t="str">
        <f t="shared" si="41"/>
        <v>September</v>
      </c>
      <c r="M351">
        <f>YEAR(C351)</f>
        <v>2024</v>
      </c>
      <c r="N351">
        <v>62</v>
      </c>
      <c r="O351" t="str">
        <f>IF(N351&gt;=200,"Platinum",IF(N351&gt;=100,"Gold",IF(N351&gt;=50,"Silver","Regular")))</f>
        <v>Silver</v>
      </c>
      <c r="P351" s="4" t="str">
        <f t="shared" si="36"/>
        <v>Wednesday</v>
      </c>
      <c r="Q351" s="4" t="str">
        <f t="shared" si="37"/>
        <v>Medium Order</v>
      </c>
      <c r="R351" s="4" t="str">
        <f t="shared" si="38"/>
        <v>Weekday</v>
      </c>
      <c r="S351" s="4" t="str">
        <f t="shared" si="39"/>
        <v>Regular</v>
      </c>
    </row>
    <row r="352" spans="1:19" x14ac:dyDescent="0.3">
      <c r="A352">
        <v>3017</v>
      </c>
      <c r="B352" t="s">
        <v>3</v>
      </c>
      <c r="C352" s="1">
        <v>45602</v>
      </c>
      <c r="D352" t="s">
        <v>27</v>
      </c>
      <c r="E352" t="s">
        <v>21</v>
      </c>
      <c r="F352">
        <v>5</v>
      </c>
      <c r="G352">
        <v>19.64</v>
      </c>
      <c r="H352">
        <v>98.2</v>
      </c>
      <c r="I352" t="str">
        <f t="shared" si="35"/>
        <v>High</v>
      </c>
      <c r="J352">
        <v>19.64</v>
      </c>
      <c r="K352">
        <f t="shared" si="40"/>
        <v>78.56</v>
      </c>
      <c r="L352" t="str">
        <f t="shared" si="41"/>
        <v>November</v>
      </c>
      <c r="M352">
        <f>YEAR(C352)</f>
        <v>2024</v>
      </c>
      <c r="N352">
        <v>144</v>
      </c>
      <c r="O352" t="str">
        <f>IF(N352&gt;=200,"Platinum",IF(N352&gt;=100,"Gold",IF(N352&gt;=50,"Silver","Regular")))</f>
        <v>Gold</v>
      </c>
      <c r="P352" s="4" t="str">
        <f t="shared" si="36"/>
        <v>Wednesday</v>
      </c>
      <c r="Q352" s="4" t="str">
        <f t="shared" si="37"/>
        <v>Medium Order</v>
      </c>
      <c r="R352" s="4" t="str">
        <f t="shared" si="38"/>
        <v>Weekday</v>
      </c>
      <c r="S352" s="4" t="str">
        <f t="shared" si="39"/>
        <v>Regular</v>
      </c>
    </row>
    <row r="353" spans="1:19" x14ac:dyDescent="0.3">
      <c r="A353">
        <v>1606</v>
      </c>
      <c r="B353" t="s">
        <v>8</v>
      </c>
      <c r="C353" s="1">
        <v>45243</v>
      </c>
      <c r="D353" t="s">
        <v>6</v>
      </c>
      <c r="E353" t="s">
        <v>32</v>
      </c>
      <c r="F353">
        <v>5</v>
      </c>
      <c r="G353">
        <v>19.649999999999999</v>
      </c>
      <c r="H353">
        <v>98.25</v>
      </c>
      <c r="I353" t="str">
        <f t="shared" si="35"/>
        <v>High</v>
      </c>
      <c r="J353">
        <v>19.649999999999999</v>
      </c>
      <c r="K353">
        <f t="shared" si="40"/>
        <v>78.599999999999994</v>
      </c>
      <c r="L353" t="str">
        <f t="shared" si="41"/>
        <v>November</v>
      </c>
      <c r="M353">
        <f>YEAR(C353)</f>
        <v>2023</v>
      </c>
      <c r="N353">
        <v>108</v>
      </c>
      <c r="O353" t="str">
        <f>IF(N353&gt;=200,"Platinum",IF(N353&gt;=100,"Gold",IF(N353&gt;=50,"Silver","Regular")))</f>
        <v>Gold</v>
      </c>
      <c r="P353" s="4" t="str">
        <f t="shared" si="36"/>
        <v>Monday</v>
      </c>
      <c r="Q353" s="4" t="str">
        <f t="shared" si="37"/>
        <v>Medium Order</v>
      </c>
      <c r="R353" s="4" t="str">
        <f t="shared" si="38"/>
        <v>Weekday</v>
      </c>
      <c r="S353" s="4" t="str">
        <f t="shared" si="39"/>
        <v>Regular</v>
      </c>
    </row>
    <row r="354" spans="1:19" x14ac:dyDescent="0.3">
      <c r="A354">
        <v>3953</v>
      </c>
      <c r="B354" t="s">
        <v>0</v>
      </c>
      <c r="C354" s="1">
        <v>45311</v>
      </c>
      <c r="D354" t="s">
        <v>9</v>
      </c>
      <c r="E354" t="s">
        <v>22</v>
      </c>
      <c r="F354">
        <v>5</v>
      </c>
      <c r="G354">
        <v>20.09</v>
      </c>
      <c r="H354">
        <v>100.45</v>
      </c>
      <c r="I354" t="str">
        <f t="shared" si="35"/>
        <v>Very High</v>
      </c>
      <c r="J354">
        <v>20.09</v>
      </c>
      <c r="K354">
        <f t="shared" si="40"/>
        <v>80.36</v>
      </c>
      <c r="L354" t="str">
        <f t="shared" si="41"/>
        <v>January</v>
      </c>
      <c r="M354">
        <f>YEAR(C354)</f>
        <v>2024</v>
      </c>
      <c r="N354">
        <v>43</v>
      </c>
      <c r="O354" t="str">
        <f>IF(N354&gt;=200,"Platinum",IF(N354&gt;=100,"Gold",IF(N354&gt;=50,"Silver","Regular")))</f>
        <v>Regular</v>
      </c>
      <c r="P354" s="4" t="str">
        <f t="shared" si="36"/>
        <v>Saturday</v>
      </c>
      <c r="Q354" s="4" t="str">
        <f t="shared" si="37"/>
        <v>Medium Order</v>
      </c>
      <c r="R354" s="4" t="str">
        <f t="shared" si="38"/>
        <v>Weekend</v>
      </c>
      <c r="S354" s="4" t="str">
        <f t="shared" si="39"/>
        <v>Regular</v>
      </c>
    </row>
    <row r="355" spans="1:19" x14ac:dyDescent="0.3">
      <c r="A355">
        <v>6253</v>
      </c>
      <c r="B355" t="s">
        <v>49</v>
      </c>
      <c r="C355" s="1">
        <v>45613</v>
      </c>
      <c r="D355" t="s">
        <v>11</v>
      </c>
      <c r="E355" t="s">
        <v>2</v>
      </c>
      <c r="F355">
        <v>5</v>
      </c>
      <c r="G355">
        <v>20.38</v>
      </c>
      <c r="H355">
        <v>101.9</v>
      </c>
      <c r="I355" t="str">
        <f t="shared" si="35"/>
        <v>Very High</v>
      </c>
      <c r="J355">
        <v>20.38</v>
      </c>
      <c r="K355">
        <f t="shared" si="40"/>
        <v>81.52000000000001</v>
      </c>
      <c r="L355" t="str">
        <f t="shared" si="41"/>
        <v>November</v>
      </c>
      <c r="M355">
        <f>YEAR(C355)</f>
        <v>2024</v>
      </c>
      <c r="N355">
        <v>242</v>
      </c>
      <c r="O355" t="str">
        <f>IF(N355&gt;=200,"Platinum",IF(N355&gt;=100,"Gold",IF(N355&gt;=50,"Silver","Regular")))</f>
        <v>Platinum</v>
      </c>
      <c r="P355" s="4" t="str">
        <f t="shared" si="36"/>
        <v>Sunday</v>
      </c>
      <c r="Q355" s="4" t="str">
        <f t="shared" si="37"/>
        <v>Medium Order</v>
      </c>
      <c r="R355" s="4" t="str">
        <f t="shared" si="38"/>
        <v>Weekend</v>
      </c>
      <c r="S355" s="4" t="str">
        <f t="shared" si="39"/>
        <v>Regular</v>
      </c>
    </row>
    <row r="356" spans="1:19" x14ac:dyDescent="0.3">
      <c r="A356">
        <v>2684</v>
      </c>
      <c r="B356" t="s">
        <v>8</v>
      </c>
      <c r="C356" s="1">
        <v>45419</v>
      </c>
      <c r="D356" t="s">
        <v>1</v>
      </c>
      <c r="E356" t="s">
        <v>30</v>
      </c>
      <c r="F356">
        <v>5</v>
      </c>
      <c r="G356">
        <v>20.65</v>
      </c>
      <c r="H356">
        <v>103.25</v>
      </c>
      <c r="I356" t="str">
        <f t="shared" si="35"/>
        <v>Very High</v>
      </c>
      <c r="J356">
        <v>20.65</v>
      </c>
      <c r="K356">
        <f t="shared" si="40"/>
        <v>82.6</v>
      </c>
      <c r="L356" t="str">
        <f t="shared" si="41"/>
        <v>May</v>
      </c>
      <c r="M356">
        <f>YEAR(C356)</f>
        <v>2024</v>
      </c>
      <c r="N356">
        <v>224</v>
      </c>
      <c r="O356" t="str">
        <f>IF(N356&gt;=200,"Platinum",IF(N356&gt;=100,"Gold",IF(N356&gt;=50,"Silver","Regular")))</f>
        <v>Platinum</v>
      </c>
      <c r="P356" s="4" t="str">
        <f t="shared" si="36"/>
        <v>Tuesday</v>
      </c>
      <c r="Q356" s="4" t="str">
        <f t="shared" si="37"/>
        <v>Medium Order</v>
      </c>
      <c r="R356" s="4" t="str">
        <f t="shared" si="38"/>
        <v>Weekday</v>
      </c>
      <c r="S356" s="4" t="str">
        <f t="shared" si="39"/>
        <v>Regular</v>
      </c>
    </row>
    <row r="357" spans="1:19" x14ac:dyDescent="0.3">
      <c r="A357">
        <v>5708</v>
      </c>
      <c r="B357" t="s">
        <v>13</v>
      </c>
      <c r="C357" s="1">
        <v>45321</v>
      </c>
      <c r="D357" t="s">
        <v>11</v>
      </c>
      <c r="E357" t="s">
        <v>7</v>
      </c>
      <c r="F357">
        <v>5</v>
      </c>
      <c r="G357">
        <v>21.2</v>
      </c>
      <c r="H357">
        <v>106</v>
      </c>
      <c r="I357" t="str">
        <f t="shared" si="35"/>
        <v>Very High</v>
      </c>
      <c r="J357">
        <v>21.2</v>
      </c>
      <c r="K357">
        <f t="shared" si="40"/>
        <v>84.8</v>
      </c>
      <c r="L357" t="str">
        <f t="shared" si="41"/>
        <v>January</v>
      </c>
      <c r="M357">
        <f>YEAR(C357)</f>
        <v>2024</v>
      </c>
      <c r="N357">
        <v>361</v>
      </c>
      <c r="O357" t="str">
        <f>IF(N357&gt;=200,"Platinum",IF(N357&gt;=100,"Gold",IF(N357&gt;=50,"Silver","Regular")))</f>
        <v>Platinum</v>
      </c>
      <c r="P357" s="4" t="str">
        <f t="shared" si="36"/>
        <v>Tuesday</v>
      </c>
      <c r="Q357" s="4" t="str">
        <f t="shared" si="37"/>
        <v>Medium Order</v>
      </c>
      <c r="R357" s="4" t="str">
        <f t="shared" si="38"/>
        <v>Weekday</v>
      </c>
      <c r="S357" s="4" t="str">
        <f t="shared" si="39"/>
        <v>Regular</v>
      </c>
    </row>
    <row r="358" spans="1:19" x14ac:dyDescent="0.3">
      <c r="A358">
        <v>5012</v>
      </c>
      <c r="B358" t="s">
        <v>19</v>
      </c>
      <c r="C358" s="1">
        <v>45770</v>
      </c>
      <c r="D358" t="s">
        <v>17</v>
      </c>
      <c r="E358" t="s">
        <v>33</v>
      </c>
      <c r="F358">
        <v>5</v>
      </c>
      <c r="G358">
        <v>21.78</v>
      </c>
      <c r="H358">
        <v>108.9</v>
      </c>
      <c r="I358" t="str">
        <f t="shared" si="35"/>
        <v>Very High</v>
      </c>
      <c r="J358">
        <v>21.78</v>
      </c>
      <c r="K358">
        <f t="shared" si="40"/>
        <v>87.12</v>
      </c>
      <c r="L358" t="str">
        <f t="shared" si="41"/>
        <v>April</v>
      </c>
      <c r="M358">
        <f>YEAR(C358)</f>
        <v>2025</v>
      </c>
      <c r="N358">
        <v>234</v>
      </c>
      <c r="O358" t="str">
        <f>IF(N358&gt;=200,"Platinum",IF(N358&gt;=100,"Gold",IF(N358&gt;=50,"Silver","Regular")))</f>
        <v>Platinum</v>
      </c>
      <c r="P358" s="4" t="str">
        <f t="shared" si="36"/>
        <v>Wednesday</v>
      </c>
      <c r="Q358" s="4" t="str">
        <f t="shared" si="37"/>
        <v>Medium Order</v>
      </c>
      <c r="R358" s="4" t="str">
        <f t="shared" si="38"/>
        <v>Weekday</v>
      </c>
      <c r="S358" s="4" t="str">
        <f t="shared" si="39"/>
        <v>Regular</v>
      </c>
    </row>
    <row r="359" spans="1:19" x14ac:dyDescent="0.3">
      <c r="A359">
        <v>2874</v>
      </c>
      <c r="B359" t="s">
        <v>20</v>
      </c>
      <c r="C359" s="1">
        <v>45807</v>
      </c>
      <c r="D359" t="s">
        <v>27</v>
      </c>
      <c r="E359" t="s">
        <v>26</v>
      </c>
      <c r="F359">
        <v>5</v>
      </c>
      <c r="G359">
        <v>22.01</v>
      </c>
      <c r="H359">
        <v>110.05</v>
      </c>
      <c r="I359" t="str">
        <f t="shared" si="35"/>
        <v>Very High</v>
      </c>
      <c r="J359">
        <v>22.01</v>
      </c>
      <c r="K359">
        <f t="shared" si="40"/>
        <v>88.039999999999992</v>
      </c>
      <c r="L359" t="str">
        <f t="shared" si="41"/>
        <v>May</v>
      </c>
      <c r="M359">
        <f>YEAR(C359)</f>
        <v>2025</v>
      </c>
      <c r="N359">
        <v>161</v>
      </c>
      <c r="O359" t="str">
        <f>IF(N359&gt;=200,"Platinum",IF(N359&gt;=100,"Gold",IF(N359&gt;=50,"Silver","Regular")))</f>
        <v>Gold</v>
      </c>
      <c r="P359" s="4" t="str">
        <f t="shared" si="36"/>
        <v>Friday</v>
      </c>
      <c r="Q359" s="4" t="str">
        <f t="shared" si="37"/>
        <v>Medium Order</v>
      </c>
      <c r="R359" s="4" t="str">
        <f t="shared" si="38"/>
        <v>Weekday</v>
      </c>
      <c r="S359" s="4" t="str">
        <f t="shared" si="39"/>
        <v>Regular</v>
      </c>
    </row>
    <row r="360" spans="1:19" x14ac:dyDescent="0.3">
      <c r="A360">
        <v>8055</v>
      </c>
      <c r="B360" t="s">
        <v>0</v>
      </c>
      <c r="C360" s="1">
        <v>45612</v>
      </c>
      <c r="D360" t="s">
        <v>34</v>
      </c>
      <c r="E360" t="s">
        <v>26</v>
      </c>
      <c r="F360">
        <v>5</v>
      </c>
      <c r="G360">
        <v>22.36</v>
      </c>
      <c r="H360">
        <v>111.8</v>
      </c>
      <c r="I360" t="str">
        <f t="shared" si="35"/>
        <v>Very High</v>
      </c>
      <c r="J360">
        <v>22.36</v>
      </c>
      <c r="K360">
        <f t="shared" si="40"/>
        <v>89.44</v>
      </c>
      <c r="L360" t="str">
        <f t="shared" si="41"/>
        <v>November</v>
      </c>
      <c r="M360">
        <f>YEAR(C360)</f>
        <v>2024</v>
      </c>
      <c r="N360">
        <v>232</v>
      </c>
      <c r="O360" t="str">
        <f>IF(N360&gt;=200,"Platinum",IF(N360&gt;=100,"Gold",IF(N360&gt;=50,"Silver","Regular")))</f>
        <v>Platinum</v>
      </c>
      <c r="P360" s="4" t="str">
        <f t="shared" si="36"/>
        <v>Saturday</v>
      </c>
      <c r="Q360" s="4" t="str">
        <f t="shared" si="37"/>
        <v>Medium Order</v>
      </c>
      <c r="R360" s="4" t="str">
        <f t="shared" si="38"/>
        <v>Weekend</v>
      </c>
      <c r="S360" s="4" t="str">
        <f t="shared" si="39"/>
        <v>Regular</v>
      </c>
    </row>
    <row r="361" spans="1:19" x14ac:dyDescent="0.3">
      <c r="A361">
        <v>5272</v>
      </c>
      <c r="B361" t="s">
        <v>31</v>
      </c>
      <c r="C361" s="1">
        <v>45574</v>
      </c>
      <c r="D361" t="s">
        <v>27</v>
      </c>
      <c r="E361" t="s">
        <v>30</v>
      </c>
      <c r="F361">
        <v>5</v>
      </c>
      <c r="G361">
        <v>22.46</v>
      </c>
      <c r="H361">
        <v>112.3</v>
      </c>
      <c r="I361" t="str">
        <f t="shared" si="35"/>
        <v>Very High</v>
      </c>
      <c r="J361">
        <v>22.46</v>
      </c>
      <c r="K361">
        <f t="shared" si="40"/>
        <v>89.84</v>
      </c>
      <c r="L361" t="str">
        <f t="shared" si="41"/>
        <v>October</v>
      </c>
      <c r="M361">
        <f>YEAR(C361)</f>
        <v>2024</v>
      </c>
      <c r="N361">
        <v>253</v>
      </c>
      <c r="O361" t="str">
        <f>IF(N361&gt;=200,"Platinum",IF(N361&gt;=100,"Gold",IF(N361&gt;=50,"Silver","Regular")))</f>
        <v>Platinum</v>
      </c>
      <c r="P361" s="4" t="str">
        <f t="shared" si="36"/>
        <v>Wednesday</v>
      </c>
      <c r="Q361" s="4" t="str">
        <f t="shared" si="37"/>
        <v>Medium Order</v>
      </c>
      <c r="R361" s="4" t="str">
        <f t="shared" si="38"/>
        <v>Weekday</v>
      </c>
      <c r="S361" s="4" t="str">
        <f t="shared" si="39"/>
        <v>Regular</v>
      </c>
    </row>
    <row r="362" spans="1:19" x14ac:dyDescent="0.3">
      <c r="A362">
        <v>2790</v>
      </c>
      <c r="B362" t="s">
        <v>20</v>
      </c>
      <c r="C362" s="1">
        <v>45338</v>
      </c>
      <c r="D362" t="s">
        <v>17</v>
      </c>
      <c r="E362" t="s">
        <v>29</v>
      </c>
      <c r="F362">
        <v>5</v>
      </c>
      <c r="G362">
        <v>22.6</v>
      </c>
      <c r="H362">
        <v>113</v>
      </c>
      <c r="I362" t="str">
        <f t="shared" si="35"/>
        <v>Very High</v>
      </c>
      <c r="J362">
        <v>22.6</v>
      </c>
      <c r="K362">
        <f t="shared" si="40"/>
        <v>90.4</v>
      </c>
      <c r="L362" t="str">
        <f t="shared" si="41"/>
        <v>February</v>
      </c>
      <c r="M362">
        <f>YEAR(C362)</f>
        <v>2024</v>
      </c>
      <c r="N362">
        <v>426</v>
      </c>
      <c r="O362" t="str">
        <f>IF(N362&gt;=200,"Platinum",IF(N362&gt;=100,"Gold",IF(N362&gt;=50,"Silver","Regular")))</f>
        <v>Platinum</v>
      </c>
      <c r="P362" s="4" t="str">
        <f t="shared" si="36"/>
        <v>Friday</v>
      </c>
      <c r="Q362" s="4" t="str">
        <f t="shared" si="37"/>
        <v>Medium Order</v>
      </c>
      <c r="R362" s="4" t="str">
        <f t="shared" si="38"/>
        <v>Weekday</v>
      </c>
      <c r="S362" s="4" t="str">
        <f t="shared" si="39"/>
        <v>Regular</v>
      </c>
    </row>
    <row r="363" spans="1:19" x14ac:dyDescent="0.3">
      <c r="A363">
        <v>8102</v>
      </c>
      <c r="B363" t="s">
        <v>15</v>
      </c>
      <c r="C363" s="1">
        <v>45426</v>
      </c>
      <c r="D363" t="s">
        <v>11</v>
      </c>
      <c r="E363" t="s">
        <v>35</v>
      </c>
      <c r="F363">
        <v>5</v>
      </c>
      <c r="G363">
        <v>23.7</v>
      </c>
      <c r="H363">
        <v>118.5</v>
      </c>
      <c r="I363" t="str">
        <f t="shared" si="35"/>
        <v>Very High</v>
      </c>
      <c r="J363">
        <v>23.7</v>
      </c>
      <c r="K363">
        <f t="shared" si="40"/>
        <v>94.8</v>
      </c>
      <c r="L363" t="str">
        <f t="shared" si="41"/>
        <v>May</v>
      </c>
      <c r="M363">
        <f>YEAR(C363)</f>
        <v>2024</v>
      </c>
      <c r="N363">
        <v>369</v>
      </c>
      <c r="O363" t="str">
        <f>IF(N363&gt;=200,"Platinum",IF(N363&gt;=100,"Gold",IF(N363&gt;=50,"Silver","Regular")))</f>
        <v>Platinum</v>
      </c>
      <c r="P363" s="4" t="str">
        <f t="shared" si="36"/>
        <v>Tuesday</v>
      </c>
      <c r="Q363" s="4" t="str">
        <f t="shared" si="37"/>
        <v>Medium Order</v>
      </c>
      <c r="R363" s="4" t="str">
        <f t="shared" si="38"/>
        <v>Weekday</v>
      </c>
      <c r="S363" s="4" t="str">
        <f t="shared" si="39"/>
        <v>Regular</v>
      </c>
    </row>
    <row r="364" spans="1:19" x14ac:dyDescent="0.3">
      <c r="A364">
        <v>9897</v>
      </c>
      <c r="B364" t="s">
        <v>31</v>
      </c>
      <c r="C364" s="1">
        <v>45582</v>
      </c>
      <c r="D364" t="s">
        <v>11</v>
      </c>
      <c r="E364" t="s">
        <v>35</v>
      </c>
      <c r="F364">
        <v>5</v>
      </c>
      <c r="G364">
        <v>23.71</v>
      </c>
      <c r="H364">
        <v>118.55</v>
      </c>
      <c r="I364" t="str">
        <f t="shared" si="35"/>
        <v>Very High</v>
      </c>
      <c r="J364">
        <v>23.71</v>
      </c>
      <c r="K364">
        <f t="shared" si="40"/>
        <v>94.84</v>
      </c>
      <c r="L364" t="str">
        <f t="shared" si="41"/>
        <v>October</v>
      </c>
      <c r="M364">
        <f>YEAR(C364)</f>
        <v>2024</v>
      </c>
      <c r="N364">
        <v>364</v>
      </c>
      <c r="O364" t="str">
        <f>IF(N364&gt;=200,"Platinum",IF(N364&gt;=100,"Gold",IF(N364&gt;=50,"Silver","Regular")))</f>
        <v>Platinum</v>
      </c>
      <c r="P364" s="4" t="str">
        <f t="shared" si="36"/>
        <v>Thursday</v>
      </c>
      <c r="Q364" s="4" t="str">
        <f t="shared" si="37"/>
        <v>Medium Order</v>
      </c>
      <c r="R364" s="4" t="str">
        <f t="shared" si="38"/>
        <v>Weekday</v>
      </c>
      <c r="S364" s="4" t="str">
        <f t="shared" si="39"/>
        <v>Regular</v>
      </c>
    </row>
    <row r="365" spans="1:19" x14ac:dyDescent="0.3">
      <c r="A365">
        <v>9817</v>
      </c>
      <c r="B365" t="s">
        <v>8</v>
      </c>
      <c r="C365" s="1">
        <v>45746</v>
      </c>
      <c r="D365" t="s">
        <v>23</v>
      </c>
      <c r="E365" t="s">
        <v>29</v>
      </c>
      <c r="F365">
        <v>5</v>
      </c>
      <c r="G365">
        <v>24.28</v>
      </c>
      <c r="H365">
        <v>121.4</v>
      </c>
      <c r="I365" t="str">
        <f t="shared" si="35"/>
        <v>Very High</v>
      </c>
      <c r="J365">
        <v>24.28</v>
      </c>
      <c r="K365">
        <f t="shared" si="40"/>
        <v>97.12</v>
      </c>
      <c r="L365" t="str">
        <f t="shared" si="41"/>
        <v>March</v>
      </c>
      <c r="M365">
        <f>YEAR(C365)</f>
        <v>2025</v>
      </c>
      <c r="N365">
        <v>365</v>
      </c>
      <c r="O365" t="str">
        <f>IF(N365&gt;=200,"Platinum",IF(N365&gt;=100,"Gold",IF(N365&gt;=50,"Silver","Regular")))</f>
        <v>Platinum</v>
      </c>
      <c r="P365" s="4" t="str">
        <f t="shared" si="36"/>
        <v>Sunday</v>
      </c>
      <c r="Q365" s="4" t="str">
        <f t="shared" si="37"/>
        <v>Medium Order</v>
      </c>
      <c r="R365" s="4" t="str">
        <f t="shared" si="38"/>
        <v>Weekend</v>
      </c>
      <c r="S365" s="4" t="str">
        <f t="shared" si="39"/>
        <v>Regular</v>
      </c>
    </row>
    <row r="366" spans="1:19" x14ac:dyDescent="0.3">
      <c r="A366">
        <v>1266</v>
      </c>
      <c r="B366" t="s">
        <v>15</v>
      </c>
      <c r="C366" s="1">
        <v>45422</v>
      </c>
      <c r="D366" t="s">
        <v>16</v>
      </c>
      <c r="E366" t="s">
        <v>22</v>
      </c>
      <c r="F366">
        <v>5</v>
      </c>
      <c r="G366">
        <v>24.42</v>
      </c>
      <c r="H366">
        <v>122.1</v>
      </c>
      <c r="I366" t="str">
        <f t="shared" si="35"/>
        <v>Very High</v>
      </c>
      <c r="J366">
        <v>24.42</v>
      </c>
      <c r="K366">
        <f t="shared" si="40"/>
        <v>97.679999999999993</v>
      </c>
      <c r="L366" t="str">
        <f t="shared" si="41"/>
        <v>May</v>
      </c>
      <c r="M366">
        <f>YEAR(C366)</f>
        <v>2024</v>
      </c>
      <c r="N366">
        <v>174</v>
      </c>
      <c r="O366" t="str">
        <f>IF(N366&gt;=200,"Platinum",IF(N366&gt;=100,"Gold",IF(N366&gt;=50,"Silver","Regular")))</f>
        <v>Gold</v>
      </c>
      <c r="P366" s="4" t="str">
        <f t="shared" si="36"/>
        <v>Friday</v>
      </c>
      <c r="Q366" s="4" t="str">
        <f t="shared" si="37"/>
        <v>Medium Order</v>
      </c>
      <c r="R366" s="4" t="str">
        <f t="shared" si="38"/>
        <v>Weekday</v>
      </c>
      <c r="S366" s="4" t="str">
        <f t="shared" si="39"/>
        <v>Regular</v>
      </c>
    </row>
    <row r="367" spans="1:19" x14ac:dyDescent="0.3">
      <c r="A367">
        <v>9749</v>
      </c>
      <c r="B367" t="s">
        <v>31</v>
      </c>
      <c r="C367" s="1">
        <v>45330</v>
      </c>
      <c r="D367" t="s">
        <v>11</v>
      </c>
      <c r="E367" t="s">
        <v>36</v>
      </c>
      <c r="F367">
        <v>5</v>
      </c>
      <c r="G367">
        <v>24.52</v>
      </c>
      <c r="H367">
        <v>122.6</v>
      </c>
      <c r="I367" t="str">
        <f t="shared" si="35"/>
        <v>Very High</v>
      </c>
      <c r="J367">
        <v>24.52</v>
      </c>
      <c r="K367">
        <f t="shared" si="40"/>
        <v>98.08</v>
      </c>
      <c r="L367" t="str">
        <f t="shared" si="41"/>
        <v>February</v>
      </c>
      <c r="M367">
        <f>YEAR(C367)</f>
        <v>2024</v>
      </c>
      <c r="N367">
        <v>341</v>
      </c>
      <c r="O367" t="str">
        <f>IF(N367&gt;=200,"Platinum",IF(N367&gt;=100,"Gold",IF(N367&gt;=50,"Silver","Regular")))</f>
        <v>Platinum</v>
      </c>
      <c r="P367" s="4" t="str">
        <f t="shared" si="36"/>
        <v>Thursday</v>
      </c>
      <c r="Q367" s="4" t="str">
        <f t="shared" si="37"/>
        <v>Medium Order</v>
      </c>
      <c r="R367" s="4" t="str">
        <f t="shared" si="38"/>
        <v>Weekday</v>
      </c>
      <c r="S367" s="4" t="str">
        <f t="shared" si="39"/>
        <v>Regular</v>
      </c>
    </row>
    <row r="368" spans="1:19" x14ac:dyDescent="0.3">
      <c r="A368">
        <v>8486</v>
      </c>
      <c r="B368" t="s">
        <v>31</v>
      </c>
      <c r="C368" s="1">
        <v>45156</v>
      </c>
      <c r="D368" t="s">
        <v>9</v>
      </c>
      <c r="E368" t="s">
        <v>30</v>
      </c>
      <c r="F368">
        <v>5</v>
      </c>
      <c r="G368">
        <v>24.78</v>
      </c>
      <c r="H368">
        <v>123.9</v>
      </c>
      <c r="I368" t="str">
        <f t="shared" si="35"/>
        <v>Very High</v>
      </c>
      <c r="J368">
        <v>24.78</v>
      </c>
      <c r="K368">
        <f t="shared" si="40"/>
        <v>99.12</v>
      </c>
      <c r="L368" t="str">
        <f t="shared" si="41"/>
        <v>August</v>
      </c>
      <c r="M368">
        <f>YEAR(C368)</f>
        <v>2023</v>
      </c>
      <c r="N368">
        <v>93</v>
      </c>
      <c r="O368" t="str">
        <f>IF(N368&gt;=200,"Platinum",IF(N368&gt;=100,"Gold",IF(N368&gt;=50,"Silver","Regular")))</f>
        <v>Silver</v>
      </c>
      <c r="P368" s="4" t="str">
        <f t="shared" si="36"/>
        <v>Friday</v>
      </c>
      <c r="Q368" s="4" t="str">
        <f t="shared" si="37"/>
        <v>Medium Order</v>
      </c>
      <c r="R368" s="4" t="str">
        <f t="shared" si="38"/>
        <v>Weekday</v>
      </c>
      <c r="S368" s="4" t="str">
        <f t="shared" si="39"/>
        <v>Regular</v>
      </c>
    </row>
    <row r="369" spans="1:19" x14ac:dyDescent="0.3">
      <c r="A369">
        <v>5778</v>
      </c>
      <c r="B369" t="s">
        <v>15</v>
      </c>
      <c r="C369" s="1">
        <v>45347</v>
      </c>
      <c r="D369" t="s">
        <v>1</v>
      </c>
      <c r="E369" t="s">
        <v>29</v>
      </c>
      <c r="F369">
        <v>5</v>
      </c>
      <c r="G369">
        <v>25.22</v>
      </c>
      <c r="H369">
        <v>126.1</v>
      </c>
      <c r="I369" t="str">
        <f t="shared" si="35"/>
        <v>Very High</v>
      </c>
      <c r="J369">
        <v>25.22</v>
      </c>
      <c r="K369">
        <f t="shared" si="40"/>
        <v>100.88</v>
      </c>
      <c r="L369" t="str">
        <f t="shared" si="41"/>
        <v>February</v>
      </c>
      <c r="M369">
        <f>YEAR(C369)</f>
        <v>2024</v>
      </c>
      <c r="N369">
        <v>222</v>
      </c>
      <c r="O369" t="str">
        <f>IF(N369&gt;=200,"Platinum",IF(N369&gt;=100,"Gold",IF(N369&gt;=50,"Silver","Regular")))</f>
        <v>Platinum</v>
      </c>
      <c r="P369" s="4" t="str">
        <f t="shared" si="36"/>
        <v>Sunday</v>
      </c>
      <c r="Q369" s="4" t="str">
        <f t="shared" si="37"/>
        <v>Medium Order</v>
      </c>
      <c r="R369" s="4" t="str">
        <f t="shared" si="38"/>
        <v>Weekend</v>
      </c>
      <c r="S369" s="4" t="str">
        <f t="shared" si="39"/>
        <v>High Value</v>
      </c>
    </row>
    <row r="370" spans="1:19" x14ac:dyDescent="0.3">
      <c r="A370">
        <v>7256</v>
      </c>
      <c r="B370" t="s">
        <v>3</v>
      </c>
      <c r="C370" s="1">
        <v>45535</v>
      </c>
      <c r="D370" t="s">
        <v>23</v>
      </c>
      <c r="E370" t="s">
        <v>28</v>
      </c>
      <c r="F370">
        <v>5</v>
      </c>
      <c r="G370">
        <v>26.01</v>
      </c>
      <c r="H370">
        <v>130.05000000000001</v>
      </c>
      <c r="I370" t="str">
        <f t="shared" si="35"/>
        <v>Very High</v>
      </c>
      <c r="J370">
        <v>26.01</v>
      </c>
      <c r="K370">
        <f t="shared" si="40"/>
        <v>104.04</v>
      </c>
      <c r="L370" t="str">
        <f t="shared" si="41"/>
        <v>August</v>
      </c>
      <c r="M370">
        <f>YEAR(C370)</f>
        <v>2024</v>
      </c>
      <c r="N370">
        <v>295</v>
      </c>
      <c r="O370" t="str">
        <f>IF(N370&gt;=200,"Platinum",IF(N370&gt;=100,"Gold",IF(N370&gt;=50,"Silver","Regular")))</f>
        <v>Platinum</v>
      </c>
      <c r="P370" s="4" t="str">
        <f t="shared" si="36"/>
        <v>Saturday</v>
      </c>
      <c r="Q370" s="4" t="str">
        <f t="shared" si="37"/>
        <v>Medium Order</v>
      </c>
      <c r="R370" s="4" t="str">
        <f t="shared" si="38"/>
        <v>Weekend</v>
      </c>
      <c r="S370" s="4" t="str">
        <f t="shared" si="39"/>
        <v>High Value</v>
      </c>
    </row>
    <row r="371" spans="1:19" x14ac:dyDescent="0.3">
      <c r="A371">
        <v>9561</v>
      </c>
      <c r="B371" t="s">
        <v>3</v>
      </c>
      <c r="C371" s="1">
        <v>45440</v>
      </c>
      <c r="D371" t="s">
        <v>9</v>
      </c>
      <c r="E371" t="s">
        <v>30</v>
      </c>
      <c r="F371">
        <v>5</v>
      </c>
      <c r="G371">
        <v>26.49</v>
      </c>
      <c r="H371">
        <v>132.44999999999999</v>
      </c>
      <c r="I371" t="str">
        <f t="shared" si="35"/>
        <v>Very High</v>
      </c>
      <c r="J371">
        <v>26.49</v>
      </c>
      <c r="K371">
        <f t="shared" si="40"/>
        <v>105.96</v>
      </c>
      <c r="L371" t="str">
        <f t="shared" si="41"/>
        <v>May</v>
      </c>
      <c r="M371">
        <f>YEAR(C371)</f>
        <v>2024</v>
      </c>
      <c r="N371">
        <v>14</v>
      </c>
      <c r="O371" t="str">
        <f>IF(N371&gt;=200,"Platinum",IF(N371&gt;=100,"Gold",IF(N371&gt;=50,"Silver","Regular")))</f>
        <v>Regular</v>
      </c>
      <c r="P371" s="4" t="str">
        <f t="shared" si="36"/>
        <v>Tuesday</v>
      </c>
      <c r="Q371" s="4" t="str">
        <f t="shared" si="37"/>
        <v>Medium Order</v>
      </c>
      <c r="R371" s="4" t="str">
        <f t="shared" si="38"/>
        <v>Weekday</v>
      </c>
      <c r="S371" s="4" t="str">
        <f t="shared" si="39"/>
        <v>High Value</v>
      </c>
    </row>
    <row r="372" spans="1:19" x14ac:dyDescent="0.3">
      <c r="A372">
        <v>9061</v>
      </c>
      <c r="B372" t="s">
        <v>15</v>
      </c>
      <c r="C372" s="1">
        <v>45191</v>
      </c>
      <c r="D372" t="s">
        <v>1</v>
      </c>
      <c r="E372" t="s">
        <v>14</v>
      </c>
      <c r="F372">
        <v>5</v>
      </c>
      <c r="G372">
        <v>26.81</v>
      </c>
      <c r="H372">
        <v>134.05000000000001</v>
      </c>
      <c r="I372" t="str">
        <f t="shared" si="35"/>
        <v>Very High</v>
      </c>
      <c r="J372">
        <v>26.81</v>
      </c>
      <c r="K372">
        <f t="shared" si="40"/>
        <v>107.24000000000001</v>
      </c>
      <c r="L372" t="str">
        <f t="shared" si="41"/>
        <v>September</v>
      </c>
      <c r="M372">
        <f>YEAR(C372)</f>
        <v>2023</v>
      </c>
      <c r="N372">
        <v>431</v>
      </c>
      <c r="O372" t="str">
        <f>IF(N372&gt;=200,"Platinum",IF(N372&gt;=100,"Gold",IF(N372&gt;=50,"Silver","Regular")))</f>
        <v>Platinum</v>
      </c>
      <c r="P372" s="4" t="str">
        <f t="shared" si="36"/>
        <v>Friday</v>
      </c>
      <c r="Q372" s="4" t="str">
        <f t="shared" si="37"/>
        <v>Medium Order</v>
      </c>
      <c r="R372" s="4" t="str">
        <f t="shared" si="38"/>
        <v>Weekday</v>
      </c>
      <c r="S372" s="4" t="str">
        <f t="shared" si="39"/>
        <v>High Value</v>
      </c>
    </row>
    <row r="373" spans="1:19" x14ac:dyDescent="0.3">
      <c r="A373">
        <v>1972</v>
      </c>
      <c r="B373" t="s">
        <v>0</v>
      </c>
      <c r="C373" s="1">
        <v>45587</v>
      </c>
      <c r="D373" t="s">
        <v>4</v>
      </c>
      <c r="E373" t="s">
        <v>18</v>
      </c>
      <c r="F373">
        <v>5</v>
      </c>
      <c r="G373">
        <v>27.48</v>
      </c>
      <c r="H373">
        <v>137.4</v>
      </c>
      <c r="I373" t="str">
        <f t="shared" si="35"/>
        <v>Very High</v>
      </c>
      <c r="J373">
        <v>27.48</v>
      </c>
      <c r="K373">
        <f t="shared" si="40"/>
        <v>109.92</v>
      </c>
      <c r="L373" t="str">
        <f t="shared" si="41"/>
        <v>October</v>
      </c>
      <c r="M373">
        <f>YEAR(C373)</f>
        <v>2024</v>
      </c>
      <c r="N373">
        <v>370</v>
      </c>
      <c r="O373" t="str">
        <f>IF(N373&gt;=200,"Platinum",IF(N373&gt;=100,"Gold",IF(N373&gt;=50,"Silver","Regular")))</f>
        <v>Platinum</v>
      </c>
      <c r="P373" s="4" t="str">
        <f t="shared" si="36"/>
        <v>Tuesday</v>
      </c>
      <c r="Q373" s="4" t="str">
        <f t="shared" si="37"/>
        <v>Medium Order</v>
      </c>
      <c r="R373" s="4" t="str">
        <f t="shared" si="38"/>
        <v>Weekday</v>
      </c>
      <c r="S373" s="4" t="str">
        <f t="shared" si="39"/>
        <v>High Value</v>
      </c>
    </row>
    <row r="374" spans="1:19" x14ac:dyDescent="0.3">
      <c r="A374">
        <v>4109</v>
      </c>
      <c r="B374" t="s">
        <v>31</v>
      </c>
      <c r="C374" s="1">
        <v>45239</v>
      </c>
      <c r="D374" t="s">
        <v>27</v>
      </c>
      <c r="E374" t="s">
        <v>22</v>
      </c>
      <c r="F374">
        <v>5</v>
      </c>
      <c r="G374">
        <v>27.85</v>
      </c>
      <c r="H374">
        <v>139.25</v>
      </c>
      <c r="I374" t="str">
        <f t="shared" si="35"/>
        <v>Very High</v>
      </c>
      <c r="J374">
        <v>27.85</v>
      </c>
      <c r="K374">
        <f t="shared" si="40"/>
        <v>111.4</v>
      </c>
      <c r="L374" t="str">
        <f t="shared" si="41"/>
        <v>November</v>
      </c>
      <c r="M374">
        <f>YEAR(C374)</f>
        <v>2023</v>
      </c>
      <c r="N374">
        <v>11</v>
      </c>
      <c r="O374" t="str">
        <f>IF(N374&gt;=200,"Platinum",IF(N374&gt;=100,"Gold",IF(N374&gt;=50,"Silver","Regular")))</f>
        <v>Regular</v>
      </c>
      <c r="P374" s="4" t="str">
        <f t="shared" si="36"/>
        <v>Thursday</v>
      </c>
      <c r="Q374" s="4" t="str">
        <f t="shared" si="37"/>
        <v>Medium Order</v>
      </c>
      <c r="R374" s="4" t="str">
        <f t="shared" si="38"/>
        <v>Weekday</v>
      </c>
      <c r="S374" s="4" t="str">
        <f t="shared" si="39"/>
        <v>High Value</v>
      </c>
    </row>
    <row r="375" spans="1:19" x14ac:dyDescent="0.3">
      <c r="A375">
        <v>8365</v>
      </c>
      <c r="B375" t="s">
        <v>0</v>
      </c>
      <c r="C375" s="1">
        <v>45506</v>
      </c>
      <c r="D375" t="s">
        <v>11</v>
      </c>
      <c r="E375" t="s">
        <v>12</v>
      </c>
      <c r="F375">
        <v>5</v>
      </c>
      <c r="G375">
        <v>28.16</v>
      </c>
      <c r="H375">
        <v>140.80000000000001</v>
      </c>
      <c r="I375" t="str">
        <f t="shared" si="35"/>
        <v>Very High</v>
      </c>
      <c r="J375">
        <v>28.16</v>
      </c>
      <c r="K375">
        <f t="shared" si="40"/>
        <v>112.64000000000001</v>
      </c>
      <c r="L375" t="str">
        <f t="shared" si="41"/>
        <v>August</v>
      </c>
      <c r="M375">
        <f>YEAR(C375)</f>
        <v>2024</v>
      </c>
      <c r="N375">
        <v>267</v>
      </c>
      <c r="O375" t="str">
        <f>IF(N375&gt;=200,"Platinum",IF(N375&gt;=100,"Gold",IF(N375&gt;=50,"Silver","Regular")))</f>
        <v>Platinum</v>
      </c>
      <c r="P375" s="4" t="str">
        <f t="shared" si="36"/>
        <v>Friday</v>
      </c>
      <c r="Q375" s="4" t="str">
        <f t="shared" si="37"/>
        <v>Medium Order</v>
      </c>
      <c r="R375" s="4" t="str">
        <f t="shared" si="38"/>
        <v>Weekday</v>
      </c>
      <c r="S375" s="4" t="str">
        <f t="shared" si="39"/>
        <v>High Value</v>
      </c>
    </row>
    <row r="376" spans="1:19" x14ac:dyDescent="0.3">
      <c r="A376">
        <v>2923</v>
      </c>
      <c r="B376" t="s">
        <v>19</v>
      </c>
      <c r="C376" s="1">
        <v>45641</v>
      </c>
      <c r="D376" t="s">
        <v>34</v>
      </c>
      <c r="E376" t="s">
        <v>30</v>
      </c>
      <c r="F376">
        <v>5</v>
      </c>
      <c r="G376">
        <v>29.17</v>
      </c>
      <c r="H376">
        <v>145.85</v>
      </c>
      <c r="I376" t="str">
        <f t="shared" si="35"/>
        <v>Very High</v>
      </c>
      <c r="J376">
        <v>29.17</v>
      </c>
      <c r="K376">
        <f t="shared" si="40"/>
        <v>116.67999999999999</v>
      </c>
      <c r="L376" t="str">
        <f t="shared" si="41"/>
        <v>December</v>
      </c>
      <c r="M376">
        <f>YEAR(C376)</f>
        <v>2024</v>
      </c>
      <c r="N376">
        <v>467</v>
      </c>
      <c r="O376" t="str">
        <f>IF(N376&gt;=200,"Platinum",IF(N376&gt;=100,"Gold",IF(N376&gt;=50,"Silver","Regular")))</f>
        <v>Platinum</v>
      </c>
      <c r="P376" s="4" t="str">
        <f t="shared" si="36"/>
        <v>Sunday</v>
      </c>
      <c r="Q376" s="4" t="str">
        <f t="shared" si="37"/>
        <v>Medium Order</v>
      </c>
      <c r="R376" s="4" t="str">
        <f t="shared" si="38"/>
        <v>Weekend</v>
      </c>
      <c r="S376" s="4" t="str">
        <f t="shared" si="39"/>
        <v>High Value</v>
      </c>
    </row>
    <row r="377" spans="1:19" x14ac:dyDescent="0.3">
      <c r="A377">
        <v>1659</v>
      </c>
      <c r="B377" t="s">
        <v>19</v>
      </c>
      <c r="C377" s="1">
        <v>45730</v>
      </c>
      <c r="D377" t="s">
        <v>24</v>
      </c>
      <c r="E377" t="s">
        <v>2</v>
      </c>
      <c r="F377">
        <v>5</v>
      </c>
      <c r="G377">
        <v>29.57</v>
      </c>
      <c r="H377">
        <v>147.85</v>
      </c>
      <c r="I377" t="str">
        <f t="shared" si="35"/>
        <v>Very High</v>
      </c>
      <c r="J377">
        <v>29.57</v>
      </c>
      <c r="K377">
        <f t="shared" si="40"/>
        <v>118.28</v>
      </c>
      <c r="L377" t="str">
        <f t="shared" si="41"/>
        <v>March</v>
      </c>
      <c r="M377">
        <f>YEAR(C377)</f>
        <v>2025</v>
      </c>
      <c r="N377">
        <v>347</v>
      </c>
      <c r="O377" t="str">
        <f>IF(N377&gt;=200,"Platinum",IF(N377&gt;=100,"Gold",IF(N377&gt;=50,"Silver","Regular")))</f>
        <v>Platinum</v>
      </c>
      <c r="P377" s="4" t="str">
        <f t="shared" si="36"/>
        <v>Friday</v>
      </c>
      <c r="Q377" s="4" t="str">
        <f t="shared" si="37"/>
        <v>Medium Order</v>
      </c>
      <c r="R377" s="4" t="str">
        <f t="shared" si="38"/>
        <v>Weekday</v>
      </c>
      <c r="S377" s="4" t="str">
        <f t="shared" si="39"/>
        <v>High Value</v>
      </c>
    </row>
    <row r="378" spans="1:19" x14ac:dyDescent="0.3">
      <c r="A378">
        <v>2276</v>
      </c>
      <c r="B378" t="s">
        <v>15</v>
      </c>
      <c r="C378" s="1">
        <v>45248</v>
      </c>
      <c r="D378" t="s">
        <v>9</v>
      </c>
      <c r="E378" t="s">
        <v>7</v>
      </c>
      <c r="F378">
        <v>5</v>
      </c>
      <c r="G378">
        <v>29.94</v>
      </c>
      <c r="H378">
        <v>149.69999999999999</v>
      </c>
      <c r="I378" t="str">
        <f t="shared" si="35"/>
        <v>Very High</v>
      </c>
      <c r="J378">
        <v>29.94</v>
      </c>
      <c r="K378">
        <f t="shared" si="40"/>
        <v>119.75999999999999</v>
      </c>
      <c r="L378" t="str">
        <f t="shared" si="41"/>
        <v>November</v>
      </c>
      <c r="M378">
        <f>YEAR(C378)</f>
        <v>2023</v>
      </c>
      <c r="N378">
        <v>98</v>
      </c>
      <c r="O378" t="str">
        <f>IF(N378&gt;=200,"Platinum",IF(N378&gt;=100,"Gold",IF(N378&gt;=50,"Silver","Regular")))</f>
        <v>Silver</v>
      </c>
      <c r="P378" s="4" t="str">
        <f t="shared" si="36"/>
        <v>Saturday</v>
      </c>
      <c r="Q378" s="4" t="str">
        <f t="shared" si="37"/>
        <v>Medium Order</v>
      </c>
      <c r="R378" s="4" t="str">
        <f t="shared" si="38"/>
        <v>Weekend</v>
      </c>
      <c r="S378" s="4" t="str">
        <f t="shared" si="39"/>
        <v>High Value</v>
      </c>
    </row>
    <row r="379" spans="1:19" x14ac:dyDescent="0.3">
      <c r="A379">
        <v>8366</v>
      </c>
      <c r="B379" t="s">
        <v>19</v>
      </c>
      <c r="C379" s="1">
        <v>45337</v>
      </c>
      <c r="D379" t="s">
        <v>34</v>
      </c>
      <c r="E379" t="s">
        <v>29</v>
      </c>
      <c r="F379">
        <v>5</v>
      </c>
      <c r="G379">
        <v>1.1299999999999999</v>
      </c>
      <c r="H379">
        <v>5.65</v>
      </c>
      <c r="I379" t="str">
        <f t="shared" si="35"/>
        <v>Low</v>
      </c>
      <c r="J379">
        <v>1.1299999999999999</v>
      </c>
      <c r="K379">
        <f t="shared" si="40"/>
        <v>4.5200000000000005</v>
      </c>
      <c r="L379" t="str">
        <f t="shared" si="41"/>
        <v>February</v>
      </c>
      <c r="M379">
        <f>YEAR(C379)</f>
        <v>2024</v>
      </c>
      <c r="N379">
        <v>395</v>
      </c>
      <c r="O379" t="str">
        <f>IF(N379&gt;=200,"Platinum",IF(N379&gt;=100,"Gold",IF(N379&gt;=50,"Silver","Regular")))</f>
        <v>Platinum</v>
      </c>
      <c r="P379" s="4" t="str">
        <f t="shared" si="36"/>
        <v>Thursday</v>
      </c>
      <c r="Q379" s="4" t="str">
        <f t="shared" si="37"/>
        <v>Medium Order</v>
      </c>
      <c r="R379" s="4" t="str">
        <f t="shared" si="38"/>
        <v>Weekday</v>
      </c>
      <c r="S379" s="4" t="str">
        <f t="shared" si="39"/>
        <v>Regular</v>
      </c>
    </row>
    <row r="380" spans="1:19" x14ac:dyDescent="0.3">
      <c r="A380">
        <v>4394</v>
      </c>
      <c r="B380" t="s">
        <v>3</v>
      </c>
      <c r="C380" s="1">
        <v>45600</v>
      </c>
      <c r="D380" t="s">
        <v>1</v>
      </c>
      <c r="E380" t="s">
        <v>36</v>
      </c>
      <c r="F380">
        <v>5</v>
      </c>
      <c r="G380">
        <v>16.079999999999998</v>
      </c>
      <c r="H380">
        <v>80.400000000000006</v>
      </c>
      <c r="I380" t="str">
        <f t="shared" si="35"/>
        <v>High</v>
      </c>
      <c r="J380">
        <v>16.079999999999998</v>
      </c>
      <c r="K380">
        <f t="shared" si="40"/>
        <v>64.320000000000007</v>
      </c>
      <c r="L380" t="str">
        <f t="shared" si="41"/>
        <v>November</v>
      </c>
      <c r="M380">
        <f>YEAR(C380)</f>
        <v>2024</v>
      </c>
      <c r="N380">
        <v>162</v>
      </c>
      <c r="O380" t="str">
        <f>IF(N380&gt;=200,"Platinum",IF(N380&gt;=100,"Gold",IF(N380&gt;=50,"Silver","Regular")))</f>
        <v>Gold</v>
      </c>
      <c r="P380" s="4" t="str">
        <f t="shared" si="36"/>
        <v>Monday</v>
      </c>
      <c r="Q380" s="4" t="str">
        <f t="shared" si="37"/>
        <v>Medium Order</v>
      </c>
      <c r="R380" s="4" t="str">
        <f t="shared" si="38"/>
        <v>Weekday</v>
      </c>
      <c r="S380" s="4" t="str">
        <f t="shared" si="39"/>
        <v>Regular</v>
      </c>
    </row>
    <row r="381" spans="1:19" x14ac:dyDescent="0.3">
      <c r="A381">
        <v>7790</v>
      </c>
      <c r="B381" t="s">
        <v>19</v>
      </c>
      <c r="C381" s="1">
        <v>45833</v>
      </c>
      <c r="D381" t="s">
        <v>6</v>
      </c>
      <c r="E381" t="s">
        <v>10</v>
      </c>
      <c r="F381">
        <v>5</v>
      </c>
      <c r="G381">
        <v>18.329999999999998</v>
      </c>
      <c r="H381">
        <v>91.65</v>
      </c>
      <c r="I381" t="str">
        <f t="shared" si="35"/>
        <v>High</v>
      </c>
      <c r="J381">
        <v>18.329999999999998</v>
      </c>
      <c r="K381">
        <f t="shared" si="40"/>
        <v>73.320000000000007</v>
      </c>
      <c r="L381" t="str">
        <f t="shared" si="41"/>
        <v>June</v>
      </c>
      <c r="M381">
        <f>YEAR(C381)</f>
        <v>2025</v>
      </c>
      <c r="N381">
        <v>344</v>
      </c>
      <c r="O381" t="str">
        <f>IF(N381&gt;=200,"Platinum",IF(N381&gt;=100,"Gold",IF(N381&gt;=50,"Silver","Regular")))</f>
        <v>Platinum</v>
      </c>
      <c r="P381" s="4" t="str">
        <f t="shared" si="36"/>
        <v>Wednesday</v>
      </c>
      <c r="Q381" s="4" t="str">
        <f t="shared" si="37"/>
        <v>Medium Order</v>
      </c>
      <c r="R381" s="4" t="str">
        <f t="shared" si="38"/>
        <v>Weekday</v>
      </c>
      <c r="S381" s="4" t="str">
        <f t="shared" si="39"/>
        <v>Regular</v>
      </c>
    </row>
    <row r="382" spans="1:19" x14ac:dyDescent="0.3">
      <c r="A382">
        <v>8633</v>
      </c>
      <c r="B382" t="s">
        <v>19</v>
      </c>
      <c r="C382" s="1">
        <v>45467</v>
      </c>
      <c r="D382" t="s">
        <v>9</v>
      </c>
      <c r="E382" t="s">
        <v>26</v>
      </c>
      <c r="F382">
        <v>4</v>
      </c>
      <c r="G382">
        <v>23.69</v>
      </c>
      <c r="H382">
        <v>94.76</v>
      </c>
      <c r="I382" t="str">
        <f t="shared" si="35"/>
        <v>High</v>
      </c>
      <c r="J382">
        <v>18.95</v>
      </c>
      <c r="K382">
        <f t="shared" si="40"/>
        <v>75.81</v>
      </c>
      <c r="L382" t="str">
        <f t="shared" si="41"/>
        <v>June</v>
      </c>
      <c r="M382">
        <f>YEAR(C382)</f>
        <v>2024</v>
      </c>
      <c r="N382">
        <v>184</v>
      </c>
      <c r="O382" t="str">
        <f>IF(N382&gt;=200,"Platinum",IF(N382&gt;=100,"Gold",IF(N382&gt;=50,"Silver","Regular")))</f>
        <v>Gold</v>
      </c>
      <c r="P382" s="4" t="str">
        <f t="shared" si="36"/>
        <v>Monday</v>
      </c>
      <c r="Q382" s="4" t="str">
        <f t="shared" si="37"/>
        <v>Medium Order</v>
      </c>
      <c r="R382" s="4" t="str">
        <f t="shared" si="38"/>
        <v>Weekday</v>
      </c>
      <c r="S382" s="4" t="str">
        <f t="shared" si="39"/>
        <v>Regular</v>
      </c>
    </row>
    <row r="383" spans="1:19" x14ac:dyDescent="0.3">
      <c r="A383">
        <v>4460</v>
      </c>
      <c r="B383" t="s">
        <v>3</v>
      </c>
      <c r="C383" s="1">
        <v>45741</v>
      </c>
      <c r="D383" t="s">
        <v>11</v>
      </c>
      <c r="E383" t="s">
        <v>32</v>
      </c>
      <c r="F383">
        <v>4</v>
      </c>
      <c r="G383">
        <v>23.04</v>
      </c>
      <c r="H383">
        <v>92.16</v>
      </c>
      <c r="I383" t="str">
        <f t="shared" si="35"/>
        <v>High</v>
      </c>
      <c r="J383">
        <v>18.43</v>
      </c>
      <c r="K383">
        <f t="shared" si="40"/>
        <v>73.72999999999999</v>
      </c>
      <c r="L383" t="str">
        <f t="shared" si="41"/>
        <v>March</v>
      </c>
      <c r="M383">
        <f>YEAR(C383)</f>
        <v>2025</v>
      </c>
      <c r="N383">
        <v>148</v>
      </c>
      <c r="O383" t="str">
        <f>IF(N383&gt;=200,"Platinum",IF(N383&gt;=100,"Gold",IF(N383&gt;=50,"Silver","Regular")))</f>
        <v>Gold</v>
      </c>
      <c r="P383" s="4" t="str">
        <f t="shared" si="36"/>
        <v>Tuesday</v>
      </c>
      <c r="Q383" s="4" t="str">
        <f t="shared" si="37"/>
        <v>Medium Order</v>
      </c>
      <c r="R383" s="4" t="str">
        <f t="shared" si="38"/>
        <v>Weekday</v>
      </c>
      <c r="S383" s="4" t="str">
        <f t="shared" si="39"/>
        <v>Regular</v>
      </c>
    </row>
    <row r="384" spans="1:19" x14ac:dyDescent="0.3">
      <c r="A384">
        <v>2494</v>
      </c>
      <c r="B384" t="s">
        <v>19</v>
      </c>
      <c r="C384" s="1">
        <v>45691</v>
      </c>
      <c r="D384" t="s">
        <v>17</v>
      </c>
      <c r="E384" t="s">
        <v>32</v>
      </c>
      <c r="F384">
        <v>3</v>
      </c>
      <c r="G384">
        <v>29.97</v>
      </c>
      <c r="H384">
        <v>89.91</v>
      </c>
      <c r="I384" t="str">
        <f t="shared" si="35"/>
        <v>High</v>
      </c>
      <c r="J384">
        <v>17.98</v>
      </c>
      <c r="K384">
        <f t="shared" si="40"/>
        <v>71.929999999999993</v>
      </c>
      <c r="L384" t="str">
        <f t="shared" si="41"/>
        <v>February</v>
      </c>
      <c r="M384">
        <f>YEAR(C384)</f>
        <v>2025</v>
      </c>
      <c r="N384">
        <v>226</v>
      </c>
      <c r="O384" t="str">
        <f>IF(N384&gt;=200,"Platinum",IF(N384&gt;=100,"Gold",IF(N384&gt;=50,"Silver","Regular")))</f>
        <v>Platinum</v>
      </c>
      <c r="P384" s="4" t="str">
        <f t="shared" si="36"/>
        <v>Monday</v>
      </c>
      <c r="Q384" s="4" t="str">
        <f t="shared" si="37"/>
        <v>Medium Order</v>
      </c>
      <c r="R384" s="4" t="str">
        <f t="shared" si="38"/>
        <v>Weekday</v>
      </c>
      <c r="S384" s="4" t="str">
        <f t="shared" si="39"/>
        <v>Regular</v>
      </c>
    </row>
    <row r="385" spans="1:19" x14ac:dyDescent="0.3">
      <c r="A385">
        <v>6655</v>
      </c>
      <c r="B385" t="s">
        <v>20</v>
      </c>
      <c r="C385" s="1">
        <v>45478</v>
      </c>
      <c r="D385" t="s">
        <v>9</v>
      </c>
      <c r="E385" t="s">
        <v>21</v>
      </c>
      <c r="F385">
        <v>3</v>
      </c>
      <c r="G385">
        <v>29.87</v>
      </c>
      <c r="H385">
        <v>89.61</v>
      </c>
      <c r="I385" t="str">
        <f t="shared" si="35"/>
        <v>High</v>
      </c>
      <c r="J385">
        <v>17.920000000000002</v>
      </c>
      <c r="K385">
        <f t="shared" si="40"/>
        <v>71.69</v>
      </c>
      <c r="L385" t="str">
        <f t="shared" si="41"/>
        <v>July</v>
      </c>
      <c r="M385">
        <f>YEAR(C385)</f>
        <v>2024</v>
      </c>
      <c r="N385">
        <v>132</v>
      </c>
      <c r="O385" t="str">
        <f>IF(N385&gt;=200,"Platinum",IF(N385&gt;=100,"Gold",IF(N385&gt;=50,"Silver","Regular")))</f>
        <v>Gold</v>
      </c>
      <c r="P385" s="4" t="str">
        <f t="shared" si="36"/>
        <v>Friday</v>
      </c>
      <c r="Q385" s="4" t="str">
        <f t="shared" si="37"/>
        <v>Medium Order</v>
      </c>
      <c r="R385" s="4" t="str">
        <f t="shared" si="38"/>
        <v>Weekday</v>
      </c>
      <c r="S385" s="4" t="str">
        <f t="shared" si="39"/>
        <v>Regular</v>
      </c>
    </row>
    <row r="386" spans="1:19" x14ac:dyDescent="0.3">
      <c r="A386">
        <v>3526</v>
      </c>
      <c r="B386" t="s">
        <v>15</v>
      </c>
      <c r="C386" s="1">
        <v>45277</v>
      </c>
      <c r="D386" t="s">
        <v>11</v>
      </c>
      <c r="E386" t="s">
        <v>32</v>
      </c>
      <c r="F386">
        <v>3</v>
      </c>
      <c r="G386">
        <v>25.52</v>
      </c>
      <c r="H386">
        <v>76.56</v>
      </c>
      <c r="I386" t="str">
        <f t="shared" ref="I386:I449" si="42">IF(J386=0,"No Discount",IF(J386&lt;=5,"Low",IF(J386&lt;=10,"Medium",IF(J386&lt;=20,"High","Very High"))))</f>
        <v>High</v>
      </c>
      <c r="J386">
        <v>15.31</v>
      </c>
      <c r="K386">
        <f t="shared" si="40"/>
        <v>61.25</v>
      </c>
      <c r="L386" t="str">
        <f t="shared" si="41"/>
        <v>December</v>
      </c>
      <c r="M386">
        <f>YEAR(C386)</f>
        <v>2023</v>
      </c>
      <c r="N386">
        <v>219</v>
      </c>
      <c r="O386" t="str">
        <f>IF(N386&gt;=200,"Platinum",IF(N386&gt;=100,"Gold",IF(N386&gt;=50,"Silver","Regular")))</f>
        <v>Platinum</v>
      </c>
      <c r="P386" s="4" t="str">
        <f t="shared" ref="P386:P449" si="43">TEXT(C386,"dddd")</f>
        <v>Sunday</v>
      </c>
      <c r="Q386" s="4" t="str">
        <f t="shared" ref="Q386:Q449" si="44">IF(F386&lt;=2,"Small Order",IF(F386&lt;=5,"Medium Order",IF(F386&lt;=10,"Large Order","Bulk Order")))</f>
        <v>Medium Order</v>
      </c>
      <c r="R386" s="4" t="str">
        <f t="shared" ref="R386:R449" si="45">IF(WEEKDAY(C386,2)&gt;5,"Weekend","Weekday")</f>
        <v>Weekend</v>
      </c>
      <c r="S386" s="4" t="str">
        <f t="shared" ref="S386:S449" si="46">IF(K386&gt;=100,"High Value","Regular")</f>
        <v>Regular</v>
      </c>
    </row>
    <row r="387" spans="1:19" x14ac:dyDescent="0.3">
      <c r="A387">
        <v>6870</v>
      </c>
      <c r="B387" t="s">
        <v>19</v>
      </c>
      <c r="C387" s="1">
        <v>45743</v>
      </c>
      <c r="D387" t="s">
        <v>6</v>
      </c>
      <c r="E387" t="s">
        <v>21</v>
      </c>
      <c r="F387">
        <v>3</v>
      </c>
      <c r="G387">
        <v>24.92</v>
      </c>
      <c r="H387">
        <v>74.760000000000005</v>
      </c>
      <c r="I387" t="str">
        <f t="shared" si="42"/>
        <v>High</v>
      </c>
      <c r="J387">
        <v>14.95</v>
      </c>
      <c r="K387">
        <f t="shared" ref="K387:K450" si="47">MAX(0,H387-J387)</f>
        <v>59.81</v>
      </c>
      <c r="L387" t="str">
        <f t="shared" ref="L387:L450" si="48">TEXT(C387,"mmmm")</f>
        <v>March</v>
      </c>
      <c r="M387">
        <f>YEAR(C387)</f>
        <v>2025</v>
      </c>
      <c r="N387">
        <v>277</v>
      </c>
      <c r="O387" t="str">
        <f>IF(N387&gt;=200,"Platinum",IF(N387&gt;=100,"Gold",IF(N387&gt;=50,"Silver","Regular")))</f>
        <v>Platinum</v>
      </c>
      <c r="P387" s="4" t="str">
        <f t="shared" si="43"/>
        <v>Thursday</v>
      </c>
      <c r="Q387" s="4" t="str">
        <f t="shared" si="44"/>
        <v>Medium Order</v>
      </c>
      <c r="R387" s="4" t="str">
        <f t="shared" si="45"/>
        <v>Weekday</v>
      </c>
      <c r="S387" s="4" t="str">
        <f t="shared" si="46"/>
        <v>Regular</v>
      </c>
    </row>
    <row r="388" spans="1:19" x14ac:dyDescent="0.3">
      <c r="A388">
        <v>3296</v>
      </c>
      <c r="B388" t="s">
        <v>8</v>
      </c>
      <c r="C388" s="1">
        <v>45472</v>
      </c>
      <c r="D388" t="s">
        <v>4</v>
      </c>
      <c r="E388" t="s">
        <v>26</v>
      </c>
      <c r="F388">
        <v>3</v>
      </c>
      <c r="G388">
        <v>22.67</v>
      </c>
      <c r="H388">
        <v>68.010000000000005</v>
      </c>
      <c r="I388" t="str">
        <f t="shared" si="42"/>
        <v>High</v>
      </c>
      <c r="J388">
        <v>13.6</v>
      </c>
      <c r="K388">
        <f t="shared" si="47"/>
        <v>54.410000000000004</v>
      </c>
      <c r="L388" t="str">
        <f t="shared" si="48"/>
        <v>June</v>
      </c>
      <c r="M388">
        <f>YEAR(C388)</f>
        <v>2024</v>
      </c>
      <c r="N388">
        <v>89</v>
      </c>
      <c r="O388" t="str">
        <f>IF(N388&gt;=200,"Platinum",IF(N388&gt;=100,"Gold",IF(N388&gt;=50,"Silver","Regular")))</f>
        <v>Silver</v>
      </c>
      <c r="P388" s="4" t="str">
        <f t="shared" si="43"/>
        <v>Saturday</v>
      </c>
      <c r="Q388" s="4" t="str">
        <f t="shared" si="44"/>
        <v>Medium Order</v>
      </c>
      <c r="R388" s="4" t="str">
        <f t="shared" si="45"/>
        <v>Weekend</v>
      </c>
      <c r="S388" s="4" t="str">
        <f t="shared" si="46"/>
        <v>Regular</v>
      </c>
    </row>
    <row r="389" spans="1:19" x14ac:dyDescent="0.3">
      <c r="A389">
        <v>5489</v>
      </c>
      <c r="B389" t="s">
        <v>31</v>
      </c>
      <c r="C389" s="1">
        <v>45217</v>
      </c>
      <c r="D389" t="s">
        <v>27</v>
      </c>
      <c r="E389" t="s">
        <v>7</v>
      </c>
      <c r="F389">
        <v>3</v>
      </c>
      <c r="G389">
        <v>22.47</v>
      </c>
      <c r="H389">
        <v>67.41</v>
      </c>
      <c r="I389" t="str">
        <f t="shared" si="42"/>
        <v>High</v>
      </c>
      <c r="J389">
        <v>13.48</v>
      </c>
      <c r="K389">
        <f t="shared" si="47"/>
        <v>53.929999999999993</v>
      </c>
      <c r="L389" t="str">
        <f t="shared" si="48"/>
        <v>October</v>
      </c>
      <c r="M389">
        <f>YEAR(C389)</f>
        <v>2023</v>
      </c>
      <c r="N389">
        <v>385</v>
      </c>
      <c r="O389" t="str">
        <f>IF(N389&gt;=200,"Platinum",IF(N389&gt;=100,"Gold",IF(N389&gt;=50,"Silver","Regular")))</f>
        <v>Platinum</v>
      </c>
      <c r="P389" s="4" t="str">
        <f t="shared" si="43"/>
        <v>Wednesday</v>
      </c>
      <c r="Q389" s="4" t="str">
        <f t="shared" si="44"/>
        <v>Medium Order</v>
      </c>
      <c r="R389" s="4" t="str">
        <f t="shared" si="45"/>
        <v>Weekday</v>
      </c>
      <c r="S389" s="4" t="str">
        <f t="shared" si="46"/>
        <v>Regular</v>
      </c>
    </row>
    <row r="390" spans="1:19" x14ac:dyDescent="0.3">
      <c r="A390">
        <v>1717</v>
      </c>
      <c r="B390" t="s">
        <v>8</v>
      </c>
      <c r="C390" s="1">
        <v>45759</v>
      </c>
      <c r="D390" t="s">
        <v>17</v>
      </c>
      <c r="E390" t="s">
        <v>33</v>
      </c>
      <c r="F390">
        <v>3</v>
      </c>
      <c r="G390">
        <v>21.02</v>
      </c>
      <c r="H390">
        <v>63.06</v>
      </c>
      <c r="I390" t="str">
        <f t="shared" si="42"/>
        <v>High</v>
      </c>
      <c r="J390">
        <v>12.61</v>
      </c>
      <c r="K390">
        <f t="shared" si="47"/>
        <v>50.45</v>
      </c>
      <c r="L390" t="str">
        <f t="shared" si="48"/>
        <v>April</v>
      </c>
      <c r="M390">
        <f>YEAR(C390)</f>
        <v>2025</v>
      </c>
      <c r="N390">
        <v>44</v>
      </c>
      <c r="O390" t="str">
        <f>IF(N390&gt;=200,"Platinum",IF(N390&gt;=100,"Gold",IF(N390&gt;=50,"Silver","Regular")))</f>
        <v>Regular</v>
      </c>
      <c r="P390" s="4" t="str">
        <f t="shared" si="43"/>
        <v>Saturday</v>
      </c>
      <c r="Q390" s="4" t="str">
        <f t="shared" si="44"/>
        <v>Medium Order</v>
      </c>
      <c r="R390" s="4" t="str">
        <f t="shared" si="45"/>
        <v>Weekend</v>
      </c>
      <c r="S390" s="4" t="str">
        <f t="shared" si="46"/>
        <v>Regular</v>
      </c>
    </row>
    <row r="391" spans="1:19" x14ac:dyDescent="0.3">
      <c r="A391">
        <v>5632</v>
      </c>
      <c r="B391" t="s">
        <v>19</v>
      </c>
      <c r="C391" s="1">
        <v>45691</v>
      </c>
      <c r="D391" t="s">
        <v>27</v>
      </c>
      <c r="E391" t="s">
        <v>18</v>
      </c>
      <c r="F391">
        <v>3</v>
      </c>
      <c r="G391">
        <v>19.97</v>
      </c>
      <c r="H391">
        <v>59.91</v>
      </c>
      <c r="I391" t="str">
        <f t="shared" si="42"/>
        <v>High</v>
      </c>
      <c r="J391">
        <v>11.98</v>
      </c>
      <c r="K391">
        <f t="shared" si="47"/>
        <v>47.929999999999993</v>
      </c>
      <c r="L391" t="str">
        <f t="shared" si="48"/>
        <v>February</v>
      </c>
      <c r="M391">
        <f>YEAR(C391)</f>
        <v>2025</v>
      </c>
      <c r="N391">
        <v>113</v>
      </c>
      <c r="O391" t="str">
        <f>IF(N391&gt;=200,"Platinum",IF(N391&gt;=100,"Gold",IF(N391&gt;=50,"Silver","Regular")))</f>
        <v>Gold</v>
      </c>
      <c r="P391" s="4" t="str">
        <f t="shared" si="43"/>
        <v>Monday</v>
      </c>
      <c r="Q391" s="4" t="str">
        <f t="shared" si="44"/>
        <v>Medium Order</v>
      </c>
      <c r="R391" s="4" t="str">
        <f t="shared" si="45"/>
        <v>Weekday</v>
      </c>
      <c r="S391" s="4" t="str">
        <f t="shared" si="46"/>
        <v>Regular</v>
      </c>
    </row>
    <row r="392" spans="1:19" x14ac:dyDescent="0.3">
      <c r="A392">
        <v>1154</v>
      </c>
      <c r="B392" t="s">
        <v>3</v>
      </c>
      <c r="C392" s="1">
        <v>45690</v>
      </c>
      <c r="D392" t="s">
        <v>24</v>
      </c>
      <c r="E392" t="s">
        <v>18</v>
      </c>
      <c r="F392">
        <v>4</v>
      </c>
      <c r="G392">
        <v>14.54</v>
      </c>
      <c r="H392">
        <v>58.16</v>
      </c>
      <c r="I392" t="str">
        <f t="shared" si="42"/>
        <v>High</v>
      </c>
      <c r="J392">
        <v>11.63</v>
      </c>
      <c r="K392">
        <f t="shared" si="47"/>
        <v>46.529999999999994</v>
      </c>
      <c r="L392" t="str">
        <f t="shared" si="48"/>
        <v>February</v>
      </c>
      <c r="M392">
        <f>YEAR(C392)</f>
        <v>2025</v>
      </c>
      <c r="N392">
        <v>473</v>
      </c>
      <c r="O392" t="str">
        <f>IF(N392&gt;=200,"Platinum",IF(N392&gt;=100,"Gold",IF(N392&gt;=50,"Silver","Regular")))</f>
        <v>Platinum</v>
      </c>
      <c r="P392" s="4" t="str">
        <f t="shared" si="43"/>
        <v>Sunday</v>
      </c>
      <c r="Q392" s="4" t="str">
        <f t="shared" si="44"/>
        <v>Medium Order</v>
      </c>
      <c r="R392" s="4" t="str">
        <f t="shared" si="45"/>
        <v>Weekend</v>
      </c>
      <c r="S392" s="4" t="str">
        <f t="shared" si="46"/>
        <v>Regular</v>
      </c>
    </row>
    <row r="393" spans="1:19" x14ac:dyDescent="0.3">
      <c r="A393">
        <v>2761</v>
      </c>
      <c r="B393" t="s">
        <v>13</v>
      </c>
      <c r="C393" s="1">
        <v>45479</v>
      </c>
      <c r="D393" t="s">
        <v>9</v>
      </c>
      <c r="E393" t="s">
        <v>18</v>
      </c>
      <c r="F393">
        <v>4</v>
      </c>
      <c r="G393">
        <v>13.79</v>
      </c>
      <c r="H393">
        <v>55.16</v>
      </c>
      <c r="I393" t="str">
        <f t="shared" si="42"/>
        <v>High</v>
      </c>
      <c r="J393">
        <v>11.03</v>
      </c>
      <c r="K393">
        <f t="shared" si="47"/>
        <v>44.129999999999995</v>
      </c>
      <c r="L393" t="str">
        <f t="shared" si="48"/>
        <v>July</v>
      </c>
      <c r="M393">
        <f>YEAR(C393)</f>
        <v>2024</v>
      </c>
      <c r="N393">
        <v>258</v>
      </c>
      <c r="O393" t="str">
        <f>IF(N393&gt;=200,"Platinum",IF(N393&gt;=100,"Gold",IF(N393&gt;=50,"Silver","Regular")))</f>
        <v>Platinum</v>
      </c>
      <c r="P393" s="4" t="str">
        <f t="shared" si="43"/>
        <v>Saturday</v>
      </c>
      <c r="Q393" s="4" t="str">
        <f t="shared" si="44"/>
        <v>Medium Order</v>
      </c>
      <c r="R393" s="4" t="str">
        <f t="shared" si="45"/>
        <v>Weekend</v>
      </c>
      <c r="S393" s="4" t="str">
        <f t="shared" si="46"/>
        <v>Regular</v>
      </c>
    </row>
    <row r="394" spans="1:19" x14ac:dyDescent="0.3">
      <c r="A394">
        <v>2584</v>
      </c>
      <c r="B394" t="s">
        <v>19</v>
      </c>
      <c r="C394" s="1">
        <v>45423</v>
      </c>
      <c r="D394" t="s">
        <v>9</v>
      </c>
      <c r="E394" t="s">
        <v>12</v>
      </c>
      <c r="F394">
        <v>4</v>
      </c>
      <c r="G394">
        <v>27.08</v>
      </c>
      <c r="H394">
        <v>108.32</v>
      </c>
      <c r="I394" t="str">
        <f t="shared" si="42"/>
        <v>Very High</v>
      </c>
      <c r="J394">
        <v>21.66</v>
      </c>
      <c r="K394">
        <f t="shared" si="47"/>
        <v>86.66</v>
      </c>
      <c r="L394" t="str">
        <f t="shared" si="48"/>
        <v>May</v>
      </c>
      <c r="M394">
        <f>YEAR(C394)</f>
        <v>2024</v>
      </c>
      <c r="N394">
        <v>231</v>
      </c>
      <c r="O394" t="str">
        <f>IF(N394&gt;=200,"Platinum",IF(N394&gt;=100,"Gold",IF(N394&gt;=50,"Silver","Regular")))</f>
        <v>Platinum</v>
      </c>
      <c r="P394" s="4" t="str">
        <f t="shared" si="43"/>
        <v>Saturday</v>
      </c>
      <c r="Q394" s="4" t="str">
        <f t="shared" si="44"/>
        <v>Medium Order</v>
      </c>
      <c r="R394" s="4" t="str">
        <f t="shared" si="45"/>
        <v>Weekend</v>
      </c>
      <c r="S394" s="4" t="str">
        <f t="shared" si="46"/>
        <v>Regular</v>
      </c>
    </row>
    <row r="395" spans="1:19" x14ac:dyDescent="0.3">
      <c r="A395">
        <v>7492</v>
      </c>
      <c r="B395" t="s">
        <v>13</v>
      </c>
      <c r="C395" s="1">
        <v>45543</v>
      </c>
      <c r="D395" t="s">
        <v>27</v>
      </c>
      <c r="E395" t="s">
        <v>29</v>
      </c>
      <c r="F395">
        <v>3</v>
      </c>
      <c r="G395">
        <v>17.97</v>
      </c>
      <c r="H395">
        <v>53.91</v>
      </c>
      <c r="I395" t="str">
        <f t="shared" si="42"/>
        <v>High</v>
      </c>
      <c r="J395">
        <v>10.78</v>
      </c>
      <c r="K395">
        <f t="shared" si="47"/>
        <v>43.129999999999995</v>
      </c>
      <c r="L395" t="str">
        <f t="shared" si="48"/>
        <v>September</v>
      </c>
      <c r="M395">
        <f>YEAR(C395)</f>
        <v>2024</v>
      </c>
      <c r="N395">
        <v>357</v>
      </c>
      <c r="O395" t="str">
        <f>IF(N395&gt;=200,"Platinum",IF(N395&gt;=100,"Gold",IF(N395&gt;=50,"Silver","Regular")))</f>
        <v>Platinum</v>
      </c>
      <c r="P395" s="4" t="str">
        <f t="shared" si="43"/>
        <v>Sunday</v>
      </c>
      <c r="Q395" s="4" t="str">
        <f t="shared" si="44"/>
        <v>Medium Order</v>
      </c>
      <c r="R395" s="4" t="str">
        <f t="shared" si="45"/>
        <v>Weekend</v>
      </c>
      <c r="S395" s="4" t="str">
        <f t="shared" si="46"/>
        <v>Regular</v>
      </c>
    </row>
    <row r="396" spans="1:19" x14ac:dyDescent="0.3">
      <c r="A396">
        <v>2412</v>
      </c>
      <c r="B396" t="s">
        <v>13</v>
      </c>
      <c r="C396" s="1">
        <v>45196</v>
      </c>
      <c r="D396" t="s">
        <v>27</v>
      </c>
      <c r="E396" t="s">
        <v>12</v>
      </c>
      <c r="F396">
        <v>3</v>
      </c>
      <c r="G396">
        <v>17.920000000000002</v>
      </c>
      <c r="H396">
        <v>53.76</v>
      </c>
      <c r="I396" t="str">
        <f t="shared" si="42"/>
        <v>High</v>
      </c>
      <c r="J396">
        <v>10.75</v>
      </c>
      <c r="K396">
        <f t="shared" si="47"/>
        <v>43.01</v>
      </c>
      <c r="L396" t="str">
        <f t="shared" si="48"/>
        <v>September</v>
      </c>
      <c r="M396">
        <f>YEAR(C396)</f>
        <v>2023</v>
      </c>
      <c r="N396">
        <v>277</v>
      </c>
      <c r="O396" t="str">
        <f>IF(N396&gt;=200,"Platinum",IF(N396&gt;=100,"Gold",IF(N396&gt;=50,"Silver","Regular")))</f>
        <v>Platinum</v>
      </c>
      <c r="P396" s="4" t="str">
        <f t="shared" si="43"/>
        <v>Wednesday</v>
      </c>
      <c r="Q396" s="4" t="str">
        <f t="shared" si="44"/>
        <v>Medium Order</v>
      </c>
      <c r="R396" s="4" t="str">
        <f t="shared" si="45"/>
        <v>Weekday</v>
      </c>
      <c r="S396" s="4" t="str">
        <f t="shared" si="46"/>
        <v>Regular</v>
      </c>
    </row>
    <row r="397" spans="1:19" x14ac:dyDescent="0.3">
      <c r="A397">
        <v>5349</v>
      </c>
      <c r="B397" t="s">
        <v>0</v>
      </c>
      <c r="C397" s="1">
        <v>45174</v>
      </c>
      <c r="D397" t="s">
        <v>9</v>
      </c>
      <c r="E397" t="s">
        <v>12</v>
      </c>
      <c r="F397">
        <v>3</v>
      </c>
      <c r="G397">
        <v>17.170000000000002</v>
      </c>
      <c r="H397">
        <v>51.51</v>
      </c>
      <c r="I397" t="str">
        <f t="shared" si="42"/>
        <v>High</v>
      </c>
      <c r="J397">
        <v>10.3</v>
      </c>
      <c r="K397">
        <f t="shared" si="47"/>
        <v>41.209999999999994</v>
      </c>
      <c r="L397" t="str">
        <f t="shared" si="48"/>
        <v>September</v>
      </c>
      <c r="M397">
        <f>YEAR(C397)</f>
        <v>2023</v>
      </c>
      <c r="N397">
        <v>187</v>
      </c>
      <c r="O397" t="str">
        <f>IF(N397&gt;=200,"Platinum",IF(N397&gt;=100,"Gold",IF(N397&gt;=50,"Silver","Regular")))</f>
        <v>Gold</v>
      </c>
      <c r="P397" s="4" t="str">
        <f t="shared" si="43"/>
        <v>Tuesday</v>
      </c>
      <c r="Q397" s="4" t="str">
        <f t="shared" si="44"/>
        <v>Medium Order</v>
      </c>
      <c r="R397" s="4" t="str">
        <f t="shared" si="45"/>
        <v>Weekday</v>
      </c>
      <c r="S397" s="4" t="str">
        <f t="shared" si="46"/>
        <v>Regular</v>
      </c>
    </row>
    <row r="398" spans="1:19" x14ac:dyDescent="0.3">
      <c r="A398">
        <v>1920</v>
      </c>
      <c r="B398" t="s">
        <v>3</v>
      </c>
      <c r="C398" s="1">
        <v>45418</v>
      </c>
      <c r="D398" t="s">
        <v>24</v>
      </c>
      <c r="E398" t="s">
        <v>18</v>
      </c>
      <c r="F398">
        <v>2</v>
      </c>
      <c r="G398">
        <v>25.33</v>
      </c>
      <c r="H398">
        <v>50.66</v>
      </c>
      <c r="I398" t="str">
        <f t="shared" si="42"/>
        <v>High</v>
      </c>
      <c r="J398">
        <v>10.130000000000001</v>
      </c>
      <c r="K398">
        <f t="shared" si="47"/>
        <v>40.529999999999994</v>
      </c>
      <c r="L398" t="str">
        <f t="shared" si="48"/>
        <v>May</v>
      </c>
      <c r="M398">
        <f>YEAR(C398)</f>
        <v>2024</v>
      </c>
      <c r="N398">
        <v>354</v>
      </c>
      <c r="O398" t="str">
        <f>IF(N398&gt;=200,"Platinum",IF(N398&gt;=100,"Gold",IF(N398&gt;=50,"Silver","Regular")))</f>
        <v>Platinum</v>
      </c>
      <c r="P398" s="4" t="str">
        <f t="shared" si="43"/>
        <v>Monday</v>
      </c>
      <c r="Q398" s="4" t="str">
        <f t="shared" si="44"/>
        <v>Small Order</v>
      </c>
      <c r="R398" s="4" t="str">
        <f t="shared" si="45"/>
        <v>Weekday</v>
      </c>
      <c r="S398" s="4" t="str">
        <f t="shared" si="46"/>
        <v>Regular</v>
      </c>
    </row>
    <row r="399" spans="1:19" x14ac:dyDescent="0.3">
      <c r="A399">
        <v>3034</v>
      </c>
      <c r="B399" t="s">
        <v>15</v>
      </c>
      <c r="C399" s="1">
        <v>45547</v>
      </c>
      <c r="D399" t="s">
        <v>6</v>
      </c>
      <c r="E399" t="s">
        <v>32</v>
      </c>
      <c r="F399">
        <v>4</v>
      </c>
      <c r="G399">
        <v>23.93</v>
      </c>
      <c r="H399">
        <v>95.72</v>
      </c>
      <c r="I399" t="str">
        <f t="shared" si="42"/>
        <v>High</v>
      </c>
      <c r="J399">
        <v>19.14</v>
      </c>
      <c r="K399">
        <f t="shared" si="47"/>
        <v>76.58</v>
      </c>
      <c r="L399" t="str">
        <f t="shared" si="48"/>
        <v>September</v>
      </c>
      <c r="M399">
        <f>YEAR(C399)</f>
        <v>2024</v>
      </c>
      <c r="N399">
        <v>314</v>
      </c>
      <c r="O399" t="str">
        <f>IF(N399&gt;=200,"Platinum",IF(N399&gt;=100,"Gold",IF(N399&gt;=50,"Silver","Regular")))</f>
        <v>Platinum</v>
      </c>
      <c r="P399" s="4" t="str">
        <f t="shared" si="43"/>
        <v>Thursday</v>
      </c>
      <c r="Q399" s="4" t="str">
        <f t="shared" si="44"/>
        <v>Medium Order</v>
      </c>
      <c r="R399" s="4" t="str">
        <f t="shared" si="45"/>
        <v>Weekday</v>
      </c>
      <c r="S399" s="4" t="str">
        <f t="shared" si="46"/>
        <v>Regular</v>
      </c>
    </row>
    <row r="400" spans="1:19" x14ac:dyDescent="0.3">
      <c r="A400">
        <v>3417</v>
      </c>
      <c r="B400" t="s">
        <v>15</v>
      </c>
      <c r="C400" s="1">
        <v>45757</v>
      </c>
      <c r="D400" t="s">
        <v>16</v>
      </c>
      <c r="E400" t="s">
        <v>2</v>
      </c>
      <c r="F400">
        <v>2</v>
      </c>
      <c r="G400">
        <v>23.58</v>
      </c>
      <c r="H400">
        <v>47.16</v>
      </c>
      <c r="I400" t="str">
        <f t="shared" si="42"/>
        <v>Medium</v>
      </c>
      <c r="J400">
        <v>9.43</v>
      </c>
      <c r="K400">
        <f t="shared" si="47"/>
        <v>37.729999999999997</v>
      </c>
      <c r="L400" t="str">
        <f t="shared" si="48"/>
        <v>April</v>
      </c>
      <c r="M400">
        <f>YEAR(C400)</f>
        <v>2025</v>
      </c>
      <c r="N400">
        <v>54</v>
      </c>
      <c r="O400" t="str">
        <f>IF(N400&gt;=200,"Platinum",IF(N400&gt;=100,"Gold",IF(N400&gt;=50,"Silver","Regular")))</f>
        <v>Silver</v>
      </c>
      <c r="P400" s="4" t="str">
        <f t="shared" si="43"/>
        <v>Thursday</v>
      </c>
      <c r="Q400" s="4" t="str">
        <f t="shared" si="44"/>
        <v>Small Order</v>
      </c>
      <c r="R400" s="4" t="str">
        <f t="shared" si="45"/>
        <v>Weekday</v>
      </c>
      <c r="S400" s="4" t="str">
        <f t="shared" si="46"/>
        <v>Regular</v>
      </c>
    </row>
    <row r="401" spans="1:19" x14ac:dyDescent="0.3">
      <c r="A401">
        <v>1535</v>
      </c>
      <c r="B401" t="s">
        <v>25</v>
      </c>
      <c r="C401" s="1">
        <v>45358</v>
      </c>
      <c r="D401" t="s">
        <v>16</v>
      </c>
      <c r="E401" t="s">
        <v>30</v>
      </c>
      <c r="F401">
        <v>4</v>
      </c>
      <c r="G401">
        <v>23.23</v>
      </c>
      <c r="H401">
        <v>92.92</v>
      </c>
      <c r="I401" t="str">
        <f t="shared" si="42"/>
        <v>High</v>
      </c>
      <c r="J401">
        <v>18.579999999999998</v>
      </c>
      <c r="K401">
        <f t="shared" si="47"/>
        <v>74.34</v>
      </c>
      <c r="L401" t="str">
        <f t="shared" si="48"/>
        <v>March</v>
      </c>
      <c r="M401">
        <f>YEAR(C401)</f>
        <v>2024</v>
      </c>
      <c r="N401">
        <v>9</v>
      </c>
      <c r="O401" t="str">
        <f>IF(N401&gt;=200,"Platinum",IF(N401&gt;=100,"Gold",IF(N401&gt;=50,"Silver","Regular")))</f>
        <v>Regular</v>
      </c>
      <c r="P401" s="4" t="str">
        <f t="shared" si="43"/>
        <v>Thursday</v>
      </c>
      <c r="Q401" s="4" t="str">
        <f t="shared" si="44"/>
        <v>Medium Order</v>
      </c>
      <c r="R401" s="4" t="str">
        <f t="shared" si="45"/>
        <v>Weekday</v>
      </c>
      <c r="S401" s="4" t="str">
        <f t="shared" si="46"/>
        <v>Regular</v>
      </c>
    </row>
    <row r="402" spans="1:19" x14ac:dyDescent="0.3">
      <c r="A402">
        <v>7655</v>
      </c>
      <c r="B402" t="s">
        <v>8</v>
      </c>
      <c r="C402" s="1">
        <v>45427</v>
      </c>
      <c r="D402" t="s">
        <v>23</v>
      </c>
      <c r="E402" t="s">
        <v>35</v>
      </c>
      <c r="F402">
        <v>4</v>
      </c>
      <c r="G402">
        <v>23.08</v>
      </c>
      <c r="H402">
        <v>92.32</v>
      </c>
      <c r="I402" t="str">
        <f t="shared" si="42"/>
        <v>High</v>
      </c>
      <c r="J402">
        <v>18.46</v>
      </c>
      <c r="K402">
        <f t="shared" si="47"/>
        <v>73.859999999999985</v>
      </c>
      <c r="L402" t="str">
        <f t="shared" si="48"/>
        <v>May</v>
      </c>
      <c r="M402">
        <f>YEAR(C402)</f>
        <v>2024</v>
      </c>
      <c r="N402">
        <v>341</v>
      </c>
      <c r="O402" t="str">
        <f>IF(N402&gt;=200,"Platinum",IF(N402&gt;=100,"Gold",IF(N402&gt;=50,"Silver","Regular")))</f>
        <v>Platinum</v>
      </c>
      <c r="P402" s="4" t="str">
        <f t="shared" si="43"/>
        <v>Wednesday</v>
      </c>
      <c r="Q402" s="4" t="str">
        <f t="shared" si="44"/>
        <v>Medium Order</v>
      </c>
      <c r="R402" s="4" t="str">
        <f t="shared" si="45"/>
        <v>Weekday</v>
      </c>
      <c r="S402" s="4" t="str">
        <f t="shared" si="46"/>
        <v>Regular</v>
      </c>
    </row>
    <row r="403" spans="1:19" x14ac:dyDescent="0.3">
      <c r="A403">
        <v>1256</v>
      </c>
      <c r="B403" t="s">
        <v>20</v>
      </c>
      <c r="C403" s="1">
        <v>45331</v>
      </c>
      <c r="D403" t="s">
        <v>4</v>
      </c>
      <c r="E403" t="s">
        <v>10</v>
      </c>
      <c r="F403">
        <v>3</v>
      </c>
      <c r="G403">
        <v>15.02</v>
      </c>
      <c r="H403">
        <v>45.06</v>
      </c>
      <c r="I403" t="str">
        <f t="shared" si="42"/>
        <v>Medium</v>
      </c>
      <c r="J403">
        <v>9.01</v>
      </c>
      <c r="K403">
        <f t="shared" si="47"/>
        <v>36.050000000000004</v>
      </c>
      <c r="L403" t="str">
        <f t="shared" si="48"/>
        <v>February</v>
      </c>
      <c r="M403">
        <f>YEAR(C403)</f>
        <v>2024</v>
      </c>
      <c r="N403">
        <v>314</v>
      </c>
      <c r="O403" t="str">
        <f>IF(N403&gt;=200,"Platinum",IF(N403&gt;=100,"Gold",IF(N403&gt;=50,"Silver","Regular")))</f>
        <v>Platinum</v>
      </c>
      <c r="P403" s="4" t="str">
        <f t="shared" si="43"/>
        <v>Friday</v>
      </c>
      <c r="Q403" s="4" t="str">
        <f t="shared" si="44"/>
        <v>Medium Order</v>
      </c>
      <c r="R403" s="4" t="str">
        <f t="shared" si="45"/>
        <v>Weekday</v>
      </c>
      <c r="S403" s="4" t="str">
        <f t="shared" si="46"/>
        <v>Regular</v>
      </c>
    </row>
    <row r="404" spans="1:19" x14ac:dyDescent="0.3">
      <c r="A404">
        <v>1803</v>
      </c>
      <c r="B404" t="s">
        <v>13</v>
      </c>
      <c r="C404" s="1">
        <v>45852</v>
      </c>
      <c r="D404" t="s">
        <v>24</v>
      </c>
      <c r="E404" t="s">
        <v>14</v>
      </c>
      <c r="F404">
        <v>2</v>
      </c>
      <c r="G404">
        <v>22.38</v>
      </c>
      <c r="H404">
        <v>44.76</v>
      </c>
      <c r="I404" t="str">
        <f t="shared" si="42"/>
        <v>Medium</v>
      </c>
      <c r="J404">
        <v>8.9499999999999993</v>
      </c>
      <c r="K404">
        <f t="shared" si="47"/>
        <v>35.81</v>
      </c>
      <c r="L404" t="str">
        <f t="shared" si="48"/>
        <v>July</v>
      </c>
      <c r="M404">
        <f>YEAR(C404)</f>
        <v>2025</v>
      </c>
      <c r="N404">
        <v>226</v>
      </c>
      <c r="O404" t="str">
        <f>IF(N404&gt;=200,"Platinum",IF(N404&gt;=100,"Gold",IF(N404&gt;=50,"Silver","Regular")))</f>
        <v>Platinum</v>
      </c>
      <c r="P404" s="4" t="str">
        <f t="shared" si="43"/>
        <v>Monday</v>
      </c>
      <c r="Q404" s="4" t="str">
        <f t="shared" si="44"/>
        <v>Small Order</v>
      </c>
      <c r="R404" s="4" t="str">
        <f t="shared" si="45"/>
        <v>Weekday</v>
      </c>
      <c r="S404" s="4" t="str">
        <f t="shared" si="46"/>
        <v>Regular</v>
      </c>
    </row>
    <row r="405" spans="1:19" x14ac:dyDescent="0.3">
      <c r="A405">
        <v>1508</v>
      </c>
      <c r="B405" t="s">
        <v>13</v>
      </c>
      <c r="C405" s="1">
        <v>45337</v>
      </c>
      <c r="D405" t="s">
        <v>1</v>
      </c>
      <c r="E405" t="s">
        <v>2</v>
      </c>
      <c r="F405">
        <v>2</v>
      </c>
      <c r="G405">
        <v>21.33</v>
      </c>
      <c r="H405">
        <v>42.66</v>
      </c>
      <c r="I405" t="str">
        <f t="shared" si="42"/>
        <v>Medium</v>
      </c>
      <c r="J405">
        <v>8.5299999999999994</v>
      </c>
      <c r="K405">
        <f t="shared" si="47"/>
        <v>34.129999999999995</v>
      </c>
      <c r="L405" t="str">
        <f t="shared" si="48"/>
        <v>February</v>
      </c>
      <c r="M405">
        <f>YEAR(C405)</f>
        <v>2024</v>
      </c>
      <c r="N405">
        <v>67</v>
      </c>
      <c r="O405" t="str">
        <f>IF(N405&gt;=200,"Platinum",IF(N405&gt;=100,"Gold",IF(N405&gt;=50,"Silver","Regular")))</f>
        <v>Silver</v>
      </c>
      <c r="P405" s="4" t="str">
        <f t="shared" si="43"/>
        <v>Thursday</v>
      </c>
      <c r="Q405" s="4" t="str">
        <f t="shared" si="44"/>
        <v>Small Order</v>
      </c>
      <c r="R405" s="4" t="str">
        <f t="shared" si="45"/>
        <v>Weekday</v>
      </c>
      <c r="S405" s="4" t="str">
        <f t="shared" si="46"/>
        <v>Regular</v>
      </c>
    </row>
    <row r="406" spans="1:19" x14ac:dyDescent="0.3">
      <c r="A406">
        <v>1945</v>
      </c>
      <c r="B406" t="s">
        <v>20</v>
      </c>
      <c r="C406" s="1">
        <v>45579</v>
      </c>
      <c r="D406" t="s">
        <v>17</v>
      </c>
      <c r="E406" t="s">
        <v>29</v>
      </c>
      <c r="F406">
        <v>2</v>
      </c>
      <c r="G406">
        <v>21.28</v>
      </c>
      <c r="H406">
        <v>42.56</v>
      </c>
      <c r="I406" t="str">
        <f t="shared" si="42"/>
        <v>Medium</v>
      </c>
      <c r="J406">
        <v>8.51</v>
      </c>
      <c r="K406">
        <f t="shared" si="47"/>
        <v>34.050000000000004</v>
      </c>
      <c r="L406" t="str">
        <f t="shared" si="48"/>
        <v>October</v>
      </c>
      <c r="M406">
        <f>YEAR(C406)</f>
        <v>2024</v>
      </c>
      <c r="N406">
        <v>287</v>
      </c>
      <c r="O406" t="str">
        <f>IF(N406&gt;=200,"Platinum",IF(N406&gt;=100,"Gold",IF(N406&gt;=50,"Silver","Regular")))</f>
        <v>Platinum</v>
      </c>
      <c r="P406" s="4" t="str">
        <f t="shared" si="43"/>
        <v>Monday</v>
      </c>
      <c r="Q406" s="4" t="str">
        <f t="shared" si="44"/>
        <v>Small Order</v>
      </c>
      <c r="R406" s="4" t="str">
        <f t="shared" si="45"/>
        <v>Weekday</v>
      </c>
      <c r="S406" s="4" t="str">
        <f t="shared" si="46"/>
        <v>Regular</v>
      </c>
    </row>
    <row r="407" spans="1:19" x14ac:dyDescent="0.3">
      <c r="A407">
        <v>3102</v>
      </c>
      <c r="B407" t="s">
        <v>8</v>
      </c>
      <c r="C407" s="1">
        <v>45826</v>
      </c>
      <c r="D407" t="s">
        <v>9</v>
      </c>
      <c r="E407" t="s">
        <v>37</v>
      </c>
      <c r="F407">
        <v>3</v>
      </c>
      <c r="G407">
        <v>28.14</v>
      </c>
      <c r="H407">
        <v>84.42</v>
      </c>
      <c r="I407" t="str">
        <f t="shared" si="42"/>
        <v>High</v>
      </c>
      <c r="J407">
        <v>16.88</v>
      </c>
      <c r="K407">
        <f t="shared" si="47"/>
        <v>67.540000000000006</v>
      </c>
      <c r="L407" t="str">
        <f t="shared" si="48"/>
        <v>June</v>
      </c>
      <c r="M407">
        <f>YEAR(C407)</f>
        <v>2025</v>
      </c>
      <c r="N407">
        <v>156</v>
      </c>
      <c r="O407" t="str">
        <f>IF(N407&gt;=200,"Platinum",IF(N407&gt;=100,"Gold",IF(N407&gt;=50,"Silver","Regular")))</f>
        <v>Gold</v>
      </c>
      <c r="P407" s="4" t="str">
        <f t="shared" si="43"/>
        <v>Wednesday</v>
      </c>
      <c r="Q407" s="4" t="str">
        <f t="shared" si="44"/>
        <v>Medium Order</v>
      </c>
      <c r="R407" s="4" t="str">
        <f t="shared" si="45"/>
        <v>Weekday</v>
      </c>
      <c r="S407" s="4" t="str">
        <f t="shared" si="46"/>
        <v>Regular</v>
      </c>
    </row>
    <row r="408" spans="1:19" x14ac:dyDescent="0.3">
      <c r="A408">
        <v>5949</v>
      </c>
      <c r="B408" t="s">
        <v>31</v>
      </c>
      <c r="C408" s="1">
        <v>45520</v>
      </c>
      <c r="D408" t="s">
        <v>23</v>
      </c>
      <c r="E408" t="s">
        <v>33</v>
      </c>
      <c r="F408">
        <v>3</v>
      </c>
      <c r="G408">
        <v>13.52</v>
      </c>
      <c r="H408">
        <v>40.56</v>
      </c>
      <c r="I408" t="str">
        <f t="shared" si="42"/>
        <v>Medium</v>
      </c>
      <c r="J408">
        <v>8.11</v>
      </c>
      <c r="K408">
        <f t="shared" si="47"/>
        <v>32.450000000000003</v>
      </c>
      <c r="L408" t="str">
        <f t="shared" si="48"/>
        <v>August</v>
      </c>
      <c r="M408">
        <f>YEAR(C408)</f>
        <v>2024</v>
      </c>
      <c r="N408">
        <v>363</v>
      </c>
      <c r="O408" t="str">
        <f>IF(N408&gt;=200,"Platinum",IF(N408&gt;=100,"Gold",IF(N408&gt;=50,"Silver","Regular")))</f>
        <v>Platinum</v>
      </c>
      <c r="P408" s="4" t="str">
        <f t="shared" si="43"/>
        <v>Friday</v>
      </c>
      <c r="Q408" s="4" t="str">
        <f t="shared" si="44"/>
        <v>Medium Order</v>
      </c>
      <c r="R408" s="4" t="str">
        <f t="shared" si="45"/>
        <v>Weekday</v>
      </c>
      <c r="S408" s="4" t="str">
        <f t="shared" si="46"/>
        <v>Regular</v>
      </c>
    </row>
    <row r="409" spans="1:19" x14ac:dyDescent="0.3">
      <c r="A409">
        <v>6876</v>
      </c>
      <c r="B409" t="s">
        <v>25</v>
      </c>
      <c r="C409" s="1">
        <v>45192</v>
      </c>
      <c r="D409" t="s">
        <v>4</v>
      </c>
      <c r="E409" t="s">
        <v>28</v>
      </c>
      <c r="F409">
        <v>3</v>
      </c>
      <c r="G409">
        <v>26.14</v>
      </c>
      <c r="H409">
        <v>78.42</v>
      </c>
      <c r="I409" t="str">
        <f t="shared" si="42"/>
        <v>High</v>
      </c>
      <c r="J409">
        <v>15.68</v>
      </c>
      <c r="K409">
        <f t="shared" si="47"/>
        <v>62.74</v>
      </c>
      <c r="L409" t="str">
        <f t="shared" si="48"/>
        <v>September</v>
      </c>
      <c r="M409">
        <f>YEAR(C409)</f>
        <v>2023</v>
      </c>
      <c r="N409">
        <v>332</v>
      </c>
      <c r="O409" t="str">
        <f>IF(N409&gt;=200,"Platinum",IF(N409&gt;=100,"Gold",IF(N409&gt;=50,"Silver","Regular")))</f>
        <v>Platinum</v>
      </c>
      <c r="P409" s="4" t="str">
        <f t="shared" si="43"/>
        <v>Saturday</v>
      </c>
      <c r="Q409" s="4" t="str">
        <f t="shared" si="44"/>
        <v>Medium Order</v>
      </c>
      <c r="R409" s="4" t="str">
        <f t="shared" si="45"/>
        <v>Weekend</v>
      </c>
      <c r="S409" s="4" t="str">
        <f t="shared" si="46"/>
        <v>Regular</v>
      </c>
    </row>
    <row r="410" spans="1:19" x14ac:dyDescent="0.3">
      <c r="A410">
        <v>1916</v>
      </c>
      <c r="B410" t="s">
        <v>31</v>
      </c>
      <c r="C410" s="1">
        <v>45322</v>
      </c>
      <c r="D410" t="s">
        <v>34</v>
      </c>
      <c r="E410" t="s">
        <v>12</v>
      </c>
      <c r="F410">
        <v>3</v>
      </c>
      <c r="G410">
        <v>24.79</v>
      </c>
      <c r="H410">
        <v>74.37</v>
      </c>
      <c r="I410" t="str">
        <f t="shared" si="42"/>
        <v>High</v>
      </c>
      <c r="J410">
        <v>14.87</v>
      </c>
      <c r="K410">
        <f t="shared" si="47"/>
        <v>59.500000000000007</v>
      </c>
      <c r="L410" t="str">
        <f t="shared" si="48"/>
        <v>January</v>
      </c>
      <c r="M410">
        <f>YEAR(C410)</f>
        <v>2024</v>
      </c>
      <c r="N410">
        <v>446</v>
      </c>
      <c r="O410" t="str">
        <f>IF(N410&gt;=200,"Platinum",IF(N410&gt;=100,"Gold",IF(N410&gt;=50,"Silver","Regular")))</f>
        <v>Platinum</v>
      </c>
      <c r="P410" s="4" t="str">
        <f t="shared" si="43"/>
        <v>Wednesday</v>
      </c>
      <c r="Q410" s="4" t="str">
        <f t="shared" si="44"/>
        <v>Medium Order</v>
      </c>
      <c r="R410" s="4" t="str">
        <f t="shared" si="45"/>
        <v>Weekday</v>
      </c>
      <c r="S410" s="4" t="str">
        <f t="shared" si="46"/>
        <v>Regular</v>
      </c>
    </row>
    <row r="411" spans="1:19" x14ac:dyDescent="0.3">
      <c r="A411">
        <v>9617</v>
      </c>
      <c r="B411" t="s">
        <v>19</v>
      </c>
      <c r="C411" s="1">
        <v>45852</v>
      </c>
      <c r="D411" t="s">
        <v>4</v>
      </c>
      <c r="E411" t="s">
        <v>33</v>
      </c>
      <c r="F411">
        <v>4</v>
      </c>
      <c r="G411">
        <v>18.579999999999998</v>
      </c>
      <c r="H411">
        <v>74.319999999999993</v>
      </c>
      <c r="I411" t="str">
        <f t="shared" si="42"/>
        <v>High</v>
      </c>
      <c r="J411">
        <v>14.86</v>
      </c>
      <c r="K411">
        <f t="shared" si="47"/>
        <v>59.459999999999994</v>
      </c>
      <c r="L411" t="str">
        <f t="shared" si="48"/>
        <v>July</v>
      </c>
      <c r="M411">
        <f>YEAR(C411)</f>
        <v>2025</v>
      </c>
      <c r="N411">
        <v>241</v>
      </c>
      <c r="O411" t="str">
        <f>IF(N411&gt;=200,"Platinum",IF(N411&gt;=100,"Gold",IF(N411&gt;=50,"Silver","Regular")))</f>
        <v>Platinum</v>
      </c>
      <c r="P411" s="4" t="str">
        <f t="shared" si="43"/>
        <v>Monday</v>
      </c>
      <c r="Q411" s="4" t="str">
        <f t="shared" si="44"/>
        <v>Medium Order</v>
      </c>
      <c r="R411" s="4" t="str">
        <f t="shared" si="45"/>
        <v>Weekday</v>
      </c>
      <c r="S411" s="4" t="str">
        <f t="shared" si="46"/>
        <v>Regular</v>
      </c>
    </row>
    <row r="412" spans="1:19" x14ac:dyDescent="0.3">
      <c r="A412">
        <v>7211</v>
      </c>
      <c r="B412" t="s">
        <v>8</v>
      </c>
      <c r="C412" s="1">
        <v>45399</v>
      </c>
      <c r="D412" t="s">
        <v>34</v>
      </c>
      <c r="E412" t="s">
        <v>7</v>
      </c>
      <c r="F412">
        <v>2</v>
      </c>
      <c r="G412">
        <v>17.079999999999998</v>
      </c>
      <c r="H412">
        <v>34.159999999999997</v>
      </c>
      <c r="I412" t="str">
        <f t="shared" si="42"/>
        <v>Medium</v>
      </c>
      <c r="J412">
        <v>6.83</v>
      </c>
      <c r="K412">
        <f t="shared" si="47"/>
        <v>27.33</v>
      </c>
      <c r="L412" t="str">
        <f t="shared" si="48"/>
        <v>April</v>
      </c>
      <c r="M412">
        <f>YEAR(C412)</f>
        <v>2024</v>
      </c>
      <c r="N412">
        <v>250</v>
      </c>
      <c r="O412" t="str">
        <f>IF(N412&gt;=200,"Platinum",IF(N412&gt;=100,"Gold",IF(N412&gt;=50,"Silver","Regular")))</f>
        <v>Platinum</v>
      </c>
      <c r="P412" s="4" t="str">
        <f t="shared" si="43"/>
        <v>Wednesday</v>
      </c>
      <c r="Q412" s="4" t="str">
        <f t="shared" si="44"/>
        <v>Small Order</v>
      </c>
      <c r="R412" s="4" t="str">
        <f t="shared" si="45"/>
        <v>Weekday</v>
      </c>
      <c r="S412" s="4" t="str">
        <f t="shared" si="46"/>
        <v>Regular</v>
      </c>
    </row>
    <row r="413" spans="1:19" x14ac:dyDescent="0.3">
      <c r="A413">
        <v>6105</v>
      </c>
      <c r="B413" t="s">
        <v>8</v>
      </c>
      <c r="C413" s="1">
        <v>45705</v>
      </c>
      <c r="D413" t="s">
        <v>34</v>
      </c>
      <c r="E413" t="s">
        <v>5</v>
      </c>
      <c r="F413">
        <v>4</v>
      </c>
      <c r="G413">
        <v>7.89</v>
      </c>
      <c r="H413">
        <v>31.56</v>
      </c>
      <c r="I413" t="str">
        <f t="shared" si="42"/>
        <v>Medium</v>
      </c>
      <c r="J413">
        <v>6.31</v>
      </c>
      <c r="K413">
        <f t="shared" si="47"/>
        <v>25.25</v>
      </c>
      <c r="L413" t="str">
        <f t="shared" si="48"/>
        <v>February</v>
      </c>
      <c r="M413">
        <f>YEAR(C413)</f>
        <v>2025</v>
      </c>
      <c r="N413">
        <v>225</v>
      </c>
      <c r="O413" t="str">
        <f>IF(N413&gt;=200,"Platinum",IF(N413&gt;=100,"Gold",IF(N413&gt;=50,"Silver","Regular")))</f>
        <v>Platinum</v>
      </c>
      <c r="P413" s="4" t="str">
        <f t="shared" si="43"/>
        <v>Monday</v>
      </c>
      <c r="Q413" s="4" t="str">
        <f t="shared" si="44"/>
        <v>Medium Order</v>
      </c>
      <c r="R413" s="4" t="str">
        <f t="shared" si="45"/>
        <v>Weekday</v>
      </c>
      <c r="S413" s="4" t="str">
        <f t="shared" si="46"/>
        <v>Regular</v>
      </c>
    </row>
    <row r="414" spans="1:19" x14ac:dyDescent="0.3">
      <c r="A414">
        <v>9850</v>
      </c>
      <c r="B414" t="s">
        <v>25</v>
      </c>
      <c r="C414" s="1">
        <v>45339</v>
      </c>
      <c r="D414" t="s">
        <v>23</v>
      </c>
      <c r="E414" t="s">
        <v>21</v>
      </c>
      <c r="F414">
        <v>4</v>
      </c>
      <c r="G414">
        <v>14.73</v>
      </c>
      <c r="H414">
        <v>58.92</v>
      </c>
      <c r="I414" t="str">
        <f t="shared" si="42"/>
        <v>High</v>
      </c>
      <c r="J414">
        <v>11.78</v>
      </c>
      <c r="K414">
        <f t="shared" si="47"/>
        <v>47.14</v>
      </c>
      <c r="L414" t="str">
        <f t="shared" si="48"/>
        <v>February</v>
      </c>
      <c r="M414">
        <f>YEAR(C414)</f>
        <v>2024</v>
      </c>
      <c r="N414">
        <v>83</v>
      </c>
      <c r="O414" t="str">
        <f>IF(N414&gt;=200,"Platinum",IF(N414&gt;=100,"Gold",IF(N414&gt;=50,"Silver","Regular")))</f>
        <v>Silver</v>
      </c>
      <c r="P414" s="4" t="str">
        <f t="shared" si="43"/>
        <v>Saturday</v>
      </c>
      <c r="Q414" s="4" t="str">
        <f t="shared" si="44"/>
        <v>Medium Order</v>
      </c>
      <c r="R414" s="4" t="str">
        <f t="shared" si="45"/>
        <v>Weekend</v>
      </c>
      <c r="S414" s="4" t="str">
        <f t="shared" si="46"/>
        <v>Regular</v>
      </c>
    </row>
    <row r="415" spans="1:19" x14ac:dyDescent="0.3">
      <c r="A415">
        <v>5961</v>
      </c>
      <c r="B415" t="s">
        <v>31</v>
      </c>
      <c r="C415" s="1">
        <v>45622</v>
      </c>
      <c r="D415" t="s">
        <v>16</v>
      </c>
      <c r="E415" t="s">
        <v>10</v>
      </c>
      <c r="F415">
        <v>3</v>
      </c>
      <c r="G415">
        <v>9.77</v>
      </c>
      <c r="H415">
        <v>29.31</v>
      </c>
      <c r="I415" t="str">
        <f t="shared" si="42"/>
        <v>Medium</v>
      </c>
      <c r="J415">
        <v>5.86</v>
      </c>
      <c r="K415">
        <f t="shared" si="47"/>
        <v>23.45</v>
      </c>
      <c r="L415" t="str">
        <f t="shared" si="48"/>
        <v>November</v>
      </c>
      <c r="M415">
        <f>YEAR(C415)</f>
        <v>2024</v>
      </c>
      <c r="N415">
        <v>417</v>
      </c>
      <c r="O415" t="str">
        <f>IF(N415&gt;=200,"Platinum",IF(N415&gt;=100,"Gold",IF(N415&gt;=50,"Silver","Regular")))</f>
        <v>Platinum</v>
      </c>
      <c r="P415" s="4" t="str">
        <f t="shared" si="43"/>
        <v>Tuesday</v>
      </c>
      <c r="Q415" s="4" t="str">
        <f t="shared" si="44"/>
        <v>Medium Order</v>
      </c>
      <c r="R415" s="4" t="str">
        <f t="shared" si="45"/>
        <v>Weekday</v>
      </c>
      <c r="S415" s="4" t="str">
        <f t="shared" si="46"/>
        <v>Regular</v>
      </c>
    </row>
    <row r="416" spans="1:19" x14ac:dyDescent="0.3">
      <c r="A416">
        <v>3688</v>
      </c>
      <c r="B416" t="s">
        <v>19</v>
      </c>
      <c r="C416" s="1">
        <v>45486</v>
      </c>
      <c r="D416" t="s">
        <v>1</v>
      </c>
      <c r="E416" t="s">
        <v>12</v>
      </c>
      <c r="F416">
        <v>1</v>
      </c>
      <c r="G416">
        <v>28.71</v>
      </c>
      <c r="H416">
        <v>28.71</v>
      </c>
      <c r="I416" t="str">
        <f t="shared" si="42"/>
        <v>Medium</v>
      </c>
      <c r="J416">
        <v>5.74</v>
      </c>
      <c r="K416">
        <f t="shared" si="47"/>
        <v>22.97</v>
      </c>
      <c r="L416" t="str">
        <f t="shared" si="48"/>
        <v>July</v>
      </c>
      <c r="M416">
        <f>YEAR(C416)</f>
        <v>2024</v>
      </c>
      <c r="N416">
        <v>96</v>
      </c>
      <c r="O416" t="str">
        <f>IF(N416&gt;=200,"Platinum",IF(N416&gt;=100,"Gold",IF(N416&gt;=50,"Silver","Regular")))</f>
        <v>Silver</v>
      </c>
      <c r="P416" s="4" t="str">
        <f t="shared" si="43"/>
        <v>Saturday</v>
      </c>
      <c r="Q416" s="4" t="str">
        <f t="shared" si="44"/>
        <v>Small Order</v>
      </c>
      <c r="R416" s="4" t="str">
        <f t="shared" si="45"/>
        <v>Weekend</v>
      </c>
      <c r="S416" s="4" t="str">
        <f t="shared" si="46"/>
        <v>Regular</v>
      </c>
    </row>
    <row r="417" spans="1:19" x14ac:dyDescent="0.3">
      <c r="A417">
        <v>6776</v>
      </c>
      <c r="B417" t="s">
        <v>8</v>
      </c>
      <c r="C417" s="1">
        <v>45622</v>
      </c>
      <c r="D417" t="s">
        <v>17</v>
      </c>
      <c r="E417" t="s">
        <v>5</v>
      </c>
      <c r="F417">
        <v>1</v>
      </c>
      <c r="G417">
        <v>28.16</v>
      </c>
      <c r="H417">
        <v>28.16</v>
      </c>
      <c r="I417" t="str">
        <f t="shared" si="42"/>
        <v>Medium</v>
      </c>
      <c r="J417">
        <v>5.63</v>
      </c>
      <c r="K417">
        <f t="shared" si="47"/>
        <v>22.53</v>
      </c>
      <c r="L417" t="str">
        <f t="shared" si="48"/>
        <v>November</v>
      </c>
      <c r="M417">
        <f>YEAR(C417)</f>
        <v>2024</v>
      </c>
      <c r="N417">
        <v>156</v>
      </c>
      <c r="O417" t="str">
        <f>IF(N417&gt;=200,"Platinum",IF(N417&gt;=100,"Gold",IF(N417&gt;=50,"Silver","Regular")))</f>
        <v>Gold</v>
      </c>
      <c r="P417" s="4" t="str">
        <f t="shared" si="43"/>
        <v>Tuesday</v>
      </c>
      <c r="Q417" s="4" t="str">
        <f t="shared" si="44"/>
        <v>Small Order</v>
      </c>
      <c r="R417" s="4" t="str">
        <f t="shared" si="45"/>
        <v>Weekday</v>
      </c>
      <c r="S417" s="4" t="str">
        <f t="shared" si="46"/>
        <v>Regular</v>
      </c>
    </row>
    <row r="418" spans="1:19" x14ac:dyDescent="0.3">
      <c r="A418">
        <v>8231</v>
      </c>
      <c r="B418" t="s">
        <v>31</v>
      </c>
      <c r="C418" s="1">
        <v>45569</v>
      </c>
      <c r="D418" t="s">
        <v>16</v>
      </c>
      <c r="E418" t="s">
        <v>2</v>
      </c>
      <c r="F418">
        <v>3</v>
      </c>
      <c r="G418">
        <v>18.489999999999998</v>
      </c>
      <c r="H418">
        <v>55.47</v>
      </c>
      <c r="I418" t="str">
        <f t="shared" si="42"/>
        <v>High</v>
      </c>
      <c r="J418">
        <v>11.09</v>
      </c>
      <c r="K418">
        <f t="shared" si="47"/>
        <v>44.379999999999995</v>
      </c>
      <c r="L418" t="str">
        <f t="shared" si="48"/>
        <v>October</v>
      </c>
      <c r="M418">
        <f>YEAR(C418)</f>
        <v>2024</v>
      </c>
      <c r="N418">
        <v>477</v>
      </c>
      <c r="O418" t="str">
        <f>IF(N418&gt;=200,"Platinum",IF(N418&gt;=100,"Gold",IF(N418&gt;=50,"Silver","Regular")))</f>
        <v>Platinum</v>
      </c>
      <c r="P418" s="4" t="str">
        <f t="shared" si="43"/>
        <v>Friday</v>
      </c>
      <c r="Q418" s="4" t="str">
        <f t="shared" si="44"/>
        <v>Medium Order</v>
      </c>
      <c r="R418" s="4" t="str">
        <f t="shared" si="45"/>
        <v>Weekday</v>
      </c>
      <c r="S418" s="4" t="str">
        <f t="shared" si="46"/>
        <v>Regular</v>
      </c>
    </row>
    <row r="419" spans="1:19" x14ac:dyDescent="0.3">
      <c r="A419">
        <v>7461</v>
      </c>
      <c r="B419" t="s">
        <v>13</v>
      </c>
      <c r="C419" s="1">
        <v>45203</v>
      </c>
      <c r="D419" t="s">
        <v>1</v>
      </c>
      <c r="E419" t="s">
        <v>29</v>
      </c>
      <c r="F419">
        <v>4</v>
      </c>
      <c r="G419">
        <v>13.53</v>
      </c>
      <c r="H419">
        <v>54.12</v>
      </c>
      <c r="I419" t="str">
        <f t="shared" si="42"/>
        <v>High</v>
      </c>
      <c r="J419">
        <v>10.82</v>
      </c>
      <c r="K419">
        <f t="shared" si="47"/>
        <v>43.3</v>
      </c>
      <c r="L419" t="str">
        <f t="shared" si="48"/>
        <v>October</v>
      </c>
      <c r="M419">
        <f>YEAR(C419)</f>
        <v>2023</v>
      </c>
      <c r="N419">
        <v>238</v>
      </c>
      <c r="O419" t="str">
        <f>IF(N419&gt;=200,"Platinum",IF(N419&gt;=100,"Gold",IF(N419&gt;=50,"Silver","Regular")))</f>
        <v>Platinum</v>
      </c>
      <c r="P419" s="4" t="str">
        <f t="shared" si="43"/>
        <v>Wednesday</v>
      </c>
      <c r="Q419" s="4" t="str">
        <f t="shared" si="44"/>
        <v>Medium Order</v>
      </c>
      <c r="R419" s="4" t="str">
        <f t="shared" si="45"/>
        <v>Weekday</v>
      </c>
      <c r="S419" s="4" t="str">
        <f t="shared" si="46"/>
        <v>Regular</v>
      </c>
    </row>
    <row r="420" spans="1:19" x14ac:dyDescent="0.3">
      <c r="A420">
        <v>1710</v>
      </c>
      <c r="B420" t="s">
        <v>31</v>
      </c>
      <c r="C420" s="1">
        <v>45709</v>
      </c>
      <c r="D420" t="s">
        <v>6</v>
      </c>
      <c r="E420" t="s">
        <v>36</v>
      </c>
      <c r="F420">
        <v>4</v>
      </c>
      <c r="G420">
        <v>12.88</v>
      </c>
      <c r="H420">
        <v>51.52</v>
      </c>
      <c r="I420" t="str">
        <f t="shared" si="42"/>
        <v>High</v>
      </c>
      <c r="J420">
        <v>10.3</v>
      </c>
      <c r="K420">
        <f t="shared" si="47"/>
        <v>41.22</v>
      </c>
      <c r="L420" t="str">
        <f t="shared" si="48"/>
        <v>February</v>
      </c>
      <c r="M420">
        <f>YEAR(C420)</f>
        <v>2025</v>
      </c>
      <c r="N420">
        <v>40</v>
      </c>
      <c r="O420" t="str">
        <f>IF(N420&gt;=200,"Platinum",IF(N420&gt;=100,"Gold",IF(N420&gt;=50,"Silver","Regular")))</f>
        <v>Regular</v>
      </c>
      <c r="P420" s="4" t="str">
        <f t="shared" si="43"/>
        <v>Friday</v>
      </c>
      <c r="Q420" s="4" t="str">
        <f t="shared" si="44"/>
        <v>Medium Order</v>
      </c>
      <c r="R420" s="4" t="str">
        <f t="shared" si="45"/>
        <v>Weekday</v>
      </c>
      <c r="S420" s="4" t="str">
        <f t="shared" si="46"/>
        <v>Regular</v>
      </c>
    </row>
    <row r="421" spans="1:19" x14ac:dyDescent="0.3">
      <c r="A421">
        <v>7547</v>
      </c>
      <c r="B421" t="s">
        <v>13</v>
      </c>
      <c r="C421" s="1">
        <v>45334</v>
      </c>
      <c r="D421" t="s">
        <v>27</v>
      </c>
      <c r="E421" t="s">
        <v>10</v>
      </c>
      <c r="F421">
        <v>4</v>
      </c>
      <c r="G421">
        <v>12.83</v>
      </c>
      <c r="H421">
        <v>51.32</v>
      </c>
      <c r="I421" t="str">
        <f t="shared" si="42"/>
        <v>High</v>
      </c>
      <c r="J421">
        <v>10.26</v>
      </c>
      <c r="K421">
        <f t="shared" si="47"/>
        <v>41.06</v>
      </c>
      <c r="L421" t="str">
        <f t="shared" si="48"/>
        <v>February</v>
      </c>
      <c r="M421">
        <f>YEAR(C421)</f>
        <v>2024</v>
      </c>
      <c r="N421">
        <v>153</v>
      </c>
      <c r="O421" t="str">
        <f>IF(N421&gt;=200,"Platinum",IF(N421&gt;=100,"Gold",IF(N421&gt;=50,"Silver","Regular")))</f>
        <v>Gold</v>
      </c>
      <c r="P421" s="4" t="str">
        <f t="shared" si="43"/>
        <v>Monday</v>
      </c>
      <c r="Q421" s="4" t="str">
        <f t="shared" si="44"/>
        <v>Medium Order</v>
      </c>
      <c r="R421" s="4" t="str">
        <f t="shared" si="45"/>
        <v>Weekday</v>
      </c>
      <c r="S421" s="4" t="str">
        <f t="shared" si="46"/>
        <v>Regular</v>
      </c>
    </row>
    <row r="422" spans="1:19" x14ac:dyDescent="0.3">
      <c r="A422">
        <v>8570</v>
      </c>
      <c r="B422" t="s">
        <v>19</v>
      </c>
      <c r="C422" s="1">
        <v>45224</v>
      </c>
      <c r="D422" t="s">
        <v>16</v>
      </c>
      <c r="E422" t="s">
        <v>12</v>
      </c>
      <c r="F422">
        <v>4</v>
      </c>
      <c r="G422">
        <v>12.63</v>
      </c>
      <c r="H422">
        <v>50.52</v>
      </c>
      <c r="I422" t="str">
        <f t="shared" si="42"/>
        <v>High</v>
      </c>
      <c r="J422">
        <v>10.1</v>
      </c>
      <c r="K422">
        <f t="shared" si="47"/>
        <v>40.42</v>
      </c>
      <c r="L422" t="str">
        <f t="shared" si="48"/>
        <v>October</v>
      </c>
      <c r="M422">
        <f>YEAR(C422)</f>
        <v>2023</v>
      </c>
      <c r="N422">
        <v>470</v>
      </c>
      <c r="O422" t="str">
        <f>IF(N422&gt;=200,"Platinum",IF(N422&gt;=100,"Gold",IF(N422&gt;=50,"Silver","Regular")))</f>
        <v>Platinum</v>
      </c>
      <c r="P422" s="4" t="str">
        <f t="shared" si="43"/>
        <v>Wednesday</v>
      </c>
      <c r="Q422" s="4" t="str">
        <f t="shared" si="44"/>
        <v>Medium Order</v>
      </c>
      <c r="R422" s="4" t="str">
        <f t="shared" si="45"/>
        <v>Weekday</v>
      </c>
      <c r="S422" s="4" t="str">
        <f t="shared" si="46"/>
        <v>Regular</v>
      </c>
    </row>
    <row r="423" spans="1:19" x14ac:dyDescent="0.3">
      <c r="A423">
        <v>8078</v>
      </c>
      <c r="B423" t="s">
        <v>20</v>
      </c>
      <c r="C423" s="1">
        <v>45715</v>
      </c>
      <c r="D423" t="s">
        <v>1</v>
      </c>
      <c r="E423" t="s">
        <v>32</v>
      </c>
      <c r="F423">
        <v>1</v>
      </c>
      <c r="G423">
        <v>25.21</v>
      </c>
      <c r="H423">
        <v>25.21</v>
      </c>
      <c r="I423" t="str">
        <f t="shared" si="42"/>
        <v>Medium</v>
      </c>
      <c r="J423">
        <v>5.04</v>
      </c>
      <c r="K423">
        <f t="shared" si="47"/>
        <v>20.170000000000002</v>
      </c>
      <c r="L423" t="str">
        <f t="shared" si="48"/>
        <v>February</v>
      </c>
      <c r="M423">
        <f>YEAR(C423)</f>
        <v>2025</v>
      </c>
      <c r="N423">
        <v>342</v>
      </c>
      <c r="O423" t="str">
        <f>IF(N423&gt;=200,"Platinum",IF(N423&gt;=100,"Gold",IF(N423&gt;=50,"Silver","Regular")))</f>
        <v>Platinum</v>
      </c>
      <c r="P423" s="4" t="str">
        <f t="shared" si="43"/>
        <v>Thursday</v>
      </c>
      <c r="Q423" s="4" t="str">
        <f t="shared" si="44"/>
        <v>Small Order</v>
      </c>
      <c r="R423" s="4" t="str">
        <f t="shared" si="45"/>
        <v>Weekday</v>
      </c>
      <c r="S423" s="4" t="str">
        <f t="shared" si="46"/>
        <v>Regular</v>
      </c>
    </row>
    <row r="424" spans="1:19" x14ac:dyDescent="0.3">
      <c r="A424">
        <v>3146</v>
      </c>
      <c r="B424" t="s">
        <v>31</v>
      </c>
      <c r="C424" s="1">
        <v>45865</v>
      </c>
      <c r="D424" t="s">
        <v>6</v>
      </c>
      <c r="E424" t="s">
        <v>26</v>
      </c>
      <c r="F424">
        <v>4</v>
      </c>
      <c r="G424">
        <v>6.14</v>
      </c>
      <c r="H424">
        <v>24.56</v>
      </c>
      <c r="I424" t="str">
        <f t="shared" si="42"/>
        <v>Low</v>
      </c>
      <c r="J424">
        <v>4.91</v>
      </c>
      <c r="K424">
        <f t="shared" si="47"/>
        <v>19.649999999999999</v>
      </c>
      <c r="L424" t="str">
        <f t="shared" si="48"/>
        <v>July</v>
      </c>
      <c r="M424">
        <f>YEAR(C424)</f>
        <v>2025</v>
      </c>
      <c r="N424">
        <v>349</v>
      </c>
      <c r="O424" t="str">
        <f>IF(N424&gt;=200,"Platinum",IF(N424&gt;=100,"Gold",IF(N424&gt;=50,"Silver","Regular")))</f>
        <v>Platinum</v>
      </c>
      <c r="P424" s="4" t="str">
        <f t="shared" si="43"/>
        <v>Sunday</v>
      </c>
      <c r="Q424" s="4" t="str">
        <f t="shared" si="44"/>
        <v>Medium Order</v>
      </c>
      <c r="R424" s="4" t="str">
        <f t="shared" si="45"/>
        <v>Weekend</v>
      </c>
      <c r="S424" s="4" t="str">
        <f t="shared" si="46"/>
        <v>Regular</v>
      </c>
    </row>
    <row r="425" spans="1:19" x14ac:dyDescent="0.3">
      <c r="A425">
        <v>8430</v>
      </c>
      <c r="B425" t="s">
        <v>0</v>
      </c>
      <c r="C425" s="1">
        <v>45454</v>
      </c>
      <c r="D425" t="s">
        <v>34</v>
      </c>
      <c r="E425" t="s">
        <v>35</v>
      </c>
      <c r="F425">
        <v>1</v>
      </c>
      <c r="G425">
        <v>24.16</v>
      </c>
      <c r="H425">
        <v>24.16</v>
      </c>
      <c r="I425" t="str">
        <f t="shared" si="42"/>
        <v>Low</v>
      </c>
      <c r="J425">
        <v>4.83</v>
      </c>
      <c r="K425">
        <f t="shared" si="47"/>
        <v>19.329999999999998</v>
      </c>
      <c r="L425" t="str">
        <f t="shared" si="48"/>
        <v>June</v>
      </c>
      <c r="M425">
        <f>YEAR(C425)</f>
        <v>2024</v>
      </c>
      <c r="N425">
        <v>463</v>
      </c>
      <c r="O425" t="str">
        <f>IF(N425&gt;=200,"Platinum",IF(N425&gt;=100,"Gold",IF(N425&gt;=50,"Silver","Regular")))</f>
        <v>Platinum</v>
      </c>
      <c r="P425" s="4" t="str">
        <f t="shared" si="43"/>
        <v>Tuesday</v>
      </c>
      <c r="Q425" s="4" t="str">
        <f t="shared" si="44"/>
        <v>Small Order</v>
      </c>
      <c r="R425" s="4" t="str">
        <f t="shared" si="45"/>
        <v>Weekday</v>
      </c>
      <c r="S425" s="4" t="str">
        <f t="shared" si="46"/>
        <v>Regular</v>
      </c>
    </row>
    <row r="426" spans="1:19" x14ac:dyDescent="0.3">
      <c r="A426">
        <v>3362</v>
      </c>
      <c r="B426" t="s">
        <v>19</v>
      </c>
      <c r="C426" s="1">
        <v>45729</v>
      </c>
      <c r="D426" t="s">
        <v>6</v>
      </c>
      <c r="E426" t="s">
        <v>10</v>
      </c>
      <c r="F426">
        <v>2</v>
      </c>
      <c r="G426">
        <v>24.16</v>
      </c>
      <c r="H426">
        <v>48.32</v>
      </c>
      <c r="I426" t="str">
        <f t="shared" si="42"/>
        <v>Medium</v>
      </c>
      <c r="J426">
        <v>9.66</v>
      </c>
      <c r="K426">
        <f t="shared" si="47"/>
        <v>38.659999999999997</v>
      </c>
      <c r="L426" t="str">
        <f t="shared" si="48"/>
        <v>March</v>
      </c>
      <c r="M426">
        <f>YEAR(C426)</f>
        <v>2025</v>
      </c>
      <c r="N426">
        <v>500</v>
      </c>
      <c r="O426" t="str">
        <f>IF(N426&gt;=200,"Platinum",IF(N426&gt;=100,"Gold",IF(N426&gt;=50,"Silver","Regular")))</f>
        <v>Platinum</v>
      </c>
      <c r="P426" s="4" t="str">
        <f t="shared" si="43"/>
        <v>Thursday</v>
      </c>
      <c r="Q426" s="4" t="str">
        <f t="shared" si="44"/>
        <v>Small Order</v>
      </c>
      <c r="R426" s="4" t="str">
        <f t="shared" si="45"/>
        <v>Weekday</v>
      </c>
      <c r="S426" s="4" t="str">
        <f t="shared" si="46"/>
        <v>Regular</v>
      </c>
    </row>
    <row r="427" spans="1:19" x14ac:dyDescent="0.3">
      <c r="A427">
        <v>5703</v>
      </c>
      <c r="B427" t="s">
        <v>25</v>
      </c>
      <c r="C427" s="1">
        <v>45462</v>
      </c>
      <c r="D427" t="s">
        <v>4</v>
      </c>
      <c r="E427" t="s">
        <v>5</v>
      </c>
      <c r="F427">
        <v>3</v>
      </c>
      <c r="G427">
        <v>16.09</v>
      </c>
      <c r="H427">
        <v>48.27</v>
      </c>
      <c r="I427" t="str">
        <f t="shared" si="42"/>
        <v>Medium</v>
      </c>
      <c r="J427">
        <v>9.65</v>
      </c>
      <c r="K427">
        <f t="shared" si="47"/>
        <v>38.620000000000005</v>
      </c>
      <c r="L427" t="str">
        <f t="shared" si="48"/>
        <v>June</v>
      </c>
      <c r="M427">
        <f>YEAR(C427)</f>
        <v>2024</v>
      </c>
      <c r="N427">
        <v>1</v>
      </c>
      <c r="O427" t="str">
        <f>IF(N427&gt;=200,"Platinum",IF(N427&gt;=100,"Gold",IF(N427&gt;=50,"Silver","Regular")))</f>
        <v>Regular</v>
      </c>
      <c r="P427" s="4" t="str">
        <f t="shared" si="43"/>
        <v>Wednesday</v>
      </c>
      <c r="Q427" s="4" t="str">
        <f t="shared" si="44"/>
        <v>Medium Order</v>
      </c>
      <c r="R427" s="4" t="str">
        <f t="shared" si="45"/>
        <v>Weekday</v>
      </c>
      <c r="S427" s="4" t="str">
        <f t="shared" si="46"/>
        <v>Regular</v>
      </c>
    </row>
    <row r="428" spans="1:19" x14ac:dyDescent="0.3">
      <c r="A428">
        <v>3938</v>
      </c>
      <c r="B428" t="s">
        <v>8</v>
      </c>
      <c r="C428" s="1">
        <v>45717</v>
      </c>
      <c r="D428" t="s">
        <v>16</v>
      </c>
      <c r="E428" t="s">
        <v>18</v>
      </c>
      <c r="F428">
        <v>3</v>
      </c>
      <c r="G428">
        <v>15.74</v>
      </c>
      <c r="H428">
        <v>47.22</v>
      </c>
      <c r="I428" t="str">
        <f t="shared" si="42"/>
        <v>Medium</v>
      </c>
      <c r="J428">
        <v>9.44</v>
      </c>
      <c r="K428">
        <f t="shared" si="47"/>
        <v>37.78</v>
      </c>
      <c r="L428" t="str">
        <f t="shared" si="48"/>
        <v>March</v>
      </c>
      <c r="M428">
        <f>YEAR(C428)</f>
        <v>2025</v>
      </c>
      <c r="N428">
        <v>62</v>
      </c>
      <c r="O428" t="str">
        <f>IF(N428&gt;=200,"Platinum",IF(N428&gt;=100,"Gold",IF(N428&gt;=50,"Silver","Regular")))</f>
        <v>Silver</v>
      </c>
      <c r="P428" s="4" t="str">
        <f t="shared" si="43"/>
        <v>Saturday</v>
      </c>
      <c r="Q428" s="4" t="str">
        <f t="shared" si="44"/>
        <v>Medium Order</v>
      </c>
      <c r="R428" s="4" t="str">
        <f t="shared" si="45"/>
        <v>Weekend</v>
      </c>
      <c r="S428" s="4" t="str">
        <f t="shared" si="46"/>
        <v>Regular</v>
      </c>
    </row>
    <row r="429" spans="1:19" x14ac:dyDescent="0.3">
      <c r="A429">
        <v>7211</v>
      </c>
      <c r="B429" t="s">
        <v>15</v>
      </c>
      <c r="C429" s="1">
        <v>45361</v>
      </c>
      <c r="D429" t="s">
        <v>9</v>
      </c>
      <c r="E429" t="s">
        <v>22</v>
      </c>
      <c r="F429">
        <v>4</v>
      </c>
      <c r="G429">
        <v>5.84</v>
      </c>
      <c r="H429">
        <v>23.36</v>
      </c>
      <c r="I429" t="str">
        <f t="shared" si="42"/>
        <v>Low</v>
      </c>
      <c r="J429">
        <v>4.67</v>
      </c>
      <c r="K429">
        <f t="shared" si="47"/>
        <v>18.689999999999998</v>
      </c>
      <c r="L429" t="str">
        <f t="shared" si="48"/>
        <v>March</v>
      </c>
      <c r="M429">
        <f>YEAR(C429)</f>
        <v>2024</v>
      </c>
      <c r="N429">
        <v>289</v>
      </c>
      <c r="O429" t="str">
        <f>IF(N429&gt;=200,"Platinum",IF(N429&gt;=100,"Gold",IF(N429&gt;=50,"Silver","Regular")))</f>
        <v>Platinum</v>
      </c>
      <c r="P429" s="4" t="str">
        <f t="shared" si="43"/>
        <v>Sunday</v>
      </c>
      <c r="Q429" s="4" t="str">
        <f t="shared" si="44"/>
        <v>Medium Order</v>
      </c>
      <c r="R429" s="4" t="str">
        <f t="shared" si="45"/>
        <v>Weekend</v>
      </c>
      <c r="S429" s="4" t="str">
        <f t="shared" si="46"/>
        <v>Regular</v>
      </c>
    </row>
    <row r="430" spans="1:19" x14ac:dyDescent="0.3">
      <c r="A430">
        <v>5016</v>
      </c>
      <c r="B430" t="s">
        <v>31</v>
      </c>
      <c r="C430" s="1">
        <v>45261</v>
      </c>
      <c r="D430" t="s">
        <v>34</v>
      </c>
      <c r="E430" t="s">
        <v>18</v>
      </c>
      <c r="F430">
        <v>1</v>
      </c>
      <c r="G430">
        <v>23.11</v>
      </c>
      <c r="H430">
        <v>23.11</v>
      </c>
      <c r="I430" t="str">
        <f t="shared" si="42"/>
        <v>Low</v>
      </c>
      <c r="J430">
        <v>4.62</v>
      </c>
      <c r="K430">
        <f t="shared" si="47"/>
        <v>18.489999999999998</v>
      </c>
      <c r="L430" t="str">
        <f t="shared" si="48"/>
        <v>December</v>
      </c>
      <c r="M430">
        <f>YEAR(C430)</f>
        <v>2023</v>
      </c>
      <c r="N430">
        <v>444</v>
      </c>
      <c r="O430" t="str">
        <f>IF(N430&gt;=200,"Platinum",IF(N430&gt;=100,"Gold",IF(N430&gt;=50,"Silver","Regular")))</f>
        <v>Platinum</v>
      </c>
      <c r="P430" s="4" t="str">
        <f t="shared" si="43"/>
        <v>Friday</v>
      </c>
      <c r="Q430" s="4" t="str">
        <f t="shared" si="44"/>
        <v>Small Order</v>
      </c>
      <c r="R430" s="4" t="str">
        <f t="shared" si="45"/>
        <v>Weekday</v>
      </c>
      <c r="S430" s="4" t="str">
        <f t="shared" si="46"/>
        <v>Regular</v>
      </c>
    </row>
    <row r="431" spans="1:19" x14ac:dyDescent="0.3">
      <c r="A431">
        <v>5808</v>
      </c>
      <c r="B431" t="s">
        <v>31</v>
      </c>
      <c r="C431" s="1">
        <v>45482</v>
      </c>
      <c r="D431" t="s">
        <v>16</v>
      </c>
      <c r="E431" t="s">
        <v>32</v>
      </c>
      <c r="F431">
        <v>1</v>
      </c>
      <c r="G431">
        <v>22.86</v>
      </c>
      <c r="H431">
        <v>22.86</v>
      </c>
      <c r="I431" t="str">
        <f t="shared" si="42"/>
        <v>Low</v>
      </c>
      <c r="J431">
        <v>4.57</v>
      </c>
      <c r="K431">
        <f t="shared" si="47"/>
        <v>18.29</v>
      </c>
      <c r="L431" t="str">
        <f t="shared" si="48"/>
        <v>July</v>
      </c>
      <c r="M431">
        <f>YEAR(C431)</f>
        <v>2024</v>
      </c>
      <c r="N431">
        <v>486</v>
      </c>
      <c r="O431" t="str">
        <f>IF(N431&gt;=200,"Platinum",IF(N431&gt;=100,"Gold",IF(N431&gt;=50,"Silver","Regular")))</f>
        <v>Platinum</v>
      </c>
      <c r="P431" s="4" t="str">
        <f t="shared" si="43"/>
        <v>Tuesday</v>
      </c>
      <c r="Q431" s="4" t="str">
        <f t="shared" si="44"/>
        <v>Small Order</v>
      </c>
      <c r="R431" s="4" t="str">
        <f t="shared" si="45"/>
        <v>Weekday</v>
      </c>
      <c r="S431" s="4" t="str">
        <f t="shared" si="46"/>
        <v>Regular</v>
      </c>
    </row>
    <row r="432" spans="1:19" x14ac:dyDescent="0.3">
      <c r="A432">
        <v>2931</v>
      </c>
      <c r="B432" t="s">
        <v>15</v>
      </c>
      <c r="C432" s="1">
        <v>45330</v>
      </c>
      <c r="D432" t="s">
        <v>34</v>
      </c>
      <c r="E432" t="s">
        <v>26</v>
      </c>
      <c r="F432">
        <v>2</v>
      </c>
      <c r="G432">
        <v>22.56</v>
      </c>
      <c r="H432">
        <v>45.12</v>
      </c>
      <c r="I432" t="str">
        <f t="shared" si="42"/>
        <v>Medium</v>
      </c>
      <c r="J432">
        <v>9.02</v>
      </c>
      <c r="K432">
        <f t="shared" si="47"/>
        <v>36.099999999999994</v>
      </c>
      <c r="L432" t="str">
        <f t="shared" si="48"/>
        <v>February</v>
      </c>
      <c r="M432">
        <f>YEAR(C432)</f>
        <v>2024</v>
      </c>
      <c r="N432">
        <v>355</v>
      </c>
      <c r="O432" t="str">
        <f>IF(N432&gt;=200,"Platinum",IF(N432&gt;=100,"Gold",IF(N432&gt;=50,"Silver","Regular")))</f>
        <v>Platinum</v>
      </c>
      <c r="P432" s="4" t="str">
        <f t="shared" si="43"/>
        <v>Thursday</v>
      </c>
      <c r="Q432" s="4" t="str">
        <f t="shared" si="44"/>
        <v>Small Order</v>
      </c>
      <c r="R432" s="4" t="str">
        <f t="shared" si="45"/>
        <v>Weekday</v>
      </c>
      <c r="S432" s="4" t="str">
        <f t="shared" si="46"/>
        <v>Regular</v>
      </c>
    </row>
    <row r="433" spans="1:19" x14ac:dyDescent="0.3">
      <c r="A433">
        <v>2600</v>
      </c>
      <c r="B433" t="s">
        <v>13</v>
      </c>
      <c r="C433" s="1">
        <v>45484</v>
      </c>
      <c r="D433" t="s">
        <v>24</v>
      </c>
      <c r="E433" t="s">
        <v>36</v>
      </c>
      <c r="F433">
        <v>2</v>
      </c>
      <c r="G433">
        <v>22.26</v>
      </c>
      <c r="H433">
        <v>44.52</v>
      </c>
      <c r="I433" t="str">
        <f t="shared" si="42"/>
        <v>Medium</v>
      </c>
      <c r="J433">
        <v>8.9</v>
      </c>
      <c r="K433">
        <f t="shared" si="47"/>
        <v>35.620000000000005</v>
      </c>
      <c r="L433" t="str">
        <f t="shared" si="48"/>
        <v>July</v>
      </c>
      <c r="M433">
        <f>YEAR(C433)</f>
        <v>2024</v>
      </c>
      <c r="N433">
        <v>370</v>
      </c>
      <c r="O433" t="str">
        <f>IF(N433&gt;=200,"Platinum",IF(N433&gt;=100,"Gold",IF(N433&gt;=50,"Silver","Regular")))</f>
        <v>Platinum</v>
      </c>
      <c r="P433" s="4" t="str">
        <f t="shared" si="43"/>
        <v>Thursday</v>
      </c>
      <c r="Q433" s="4" t="str">
        <f t="shared" si="44"/>
        <v>Small Order</v>
      </c>
      <c r="R433" s="4" t="str">
        <f t="shared" si="45"/>
        <v>Weekday</v>
      </c>
      <c r="S433" s="4" t="str">
        <f t="shared" si="46"/>
        <v>Regular</v>
      </c>
    </row>
    <row r="434" spans="1:19" x14ac:dyDescent="0.3">
      <c r="A434">
        <v>1689</v>
      </c>
      <c r="B434" t="s">
        <v>25</v>
      </c>
      <c r="C434" s="1">
        <v>45368</v>
      </c>
      <c r="D434" t="s">
        <v>4</v>
      </c>
      <c r="E434" t="s">
        <v>32</v>
      </c>
      <c r="F434">
        <v>1</v>
      </c>
      <c r="G434">
        <v>22.16</v>
      </c>
      <c r="H434">
        <v>22.16</v>
      </c>
      <c r="I434" t="str">
        <f t="shared" si="42"/>
        <v>Low</v>
      </c>
      <c r="J434">
        <v>4.43</v>
      </c>
      <c r="K434">
        <f t="shared" si="47"/>
        <v>17.73</v>
      </c>
      <c r="L434" t="str">
        <f t="shared" si="48"/>
        <v>March</v>
      </c>
      <c r="M434">
        <f>YEAR(C434)</f>
        <v>2024</v>
      </c>
      <c r="N434">
        <v>483</v>
      </c>
      <c r="O434" t="str">
        <f>IF(N434&gt;=200,"Platinum",IF(N434&gt;=100,"Gold",IF(N434&gt;=50,"Silver","Regular")))</f>
        <v>Platinum</v>
      </c>
      <c r="P434" s="4" t="str">
        <f t="shared" si="43"/>
        <v>Sunday</v>
      </c>
      <c r="Q434" s="4" t="str">
        <f t="shared" si="44"/>
        <v>Small Order</v>
      </c>
      <c r="R434" s="4" t="str">
        <f t="shared" si="45"/>
        <v>Weekend</v>
      </c>
      <c r="S434" s="4" t="str">
        <f t="shared" si="46"/>
        <v>Regular</v>
      </c>
    </row>
    <row r="435" spans="1:19" x14ac:dyDescent="0.3">
      <c r="A435">
        <v>1430</v>
      </c>
      <c r="B435" t="s">
        <v>20</v>
      </c>
      <c r="C435" s="1">
        <v>45618</v>
      </c>
      <c r="D435" t="s">
        <v>4</v>
      </c>
      <c r="E435" t="s">
        <v>28</v>
      </c>
      <c r="F435">
        <v>2</v>
      </c>
      <c r="G435">
        <v>21.91</v>
      </c>
      <c r="H435">
        <v>43.82</v>
      </c>
      <c r="I435" t="str">
        <f t="shared" si="42"/>
        <v>Medium</v>
      </c>
      <c r="J435">
        <v>8.76</v>
      </c>
      <c r="K435">
        <f t="shared" si="47"/>
        <v>35.06</v>
      </c>
      <c r="L435" t="str">
        <f t="shared" si="48"/>
        <v>November</v>
      </c>
      <c r="M435">
        <f>YEAR(C435)</f>
        <v>2024</v>
      </c>
      <c r="N435">
        <v>249</v>
      </c>
      <c r="O435" t="str">
        <f>IF(N435&gt;=200,"Platinum",IF(N435&gt;=100,"Gold",IF(N435&gt;=50,"Silver","Regular")))</f>
        <v>Platinum</v>
      </c>
      <c r="P435" s="4" t="str">
        <f t="shared" si="43"/>
        <v>Friday</v>
      </c>
      <c r="Q435" s="4" t="str">
        <f t="shared" si="44"/>
        <v>Small Order</v>
      </c>
      <c r="R435" s="4" t="str">
        <f t="shared" si="45"/>
        <v>Weekday</v>
      </c>
      <c r="S435" s="4" t="str">
        <f t="shared" si="46"/>
        <v>Regular</v>
      </c>
    </row>
    <row r="436" spans="1:19" x14ac:dyDescent="0.3">
      <c r="A436">
        <v>5334</v>
      </c>
      <c r="B436" t="s">
        <v>20</v>
      </c>
      <c r="C436" s="1">
        <v>45756</v>
      </c>
      <c r="D436" t="s">
        <v>23</v>
      </c>
      <c r="E436" t="s">
        <v>30</v>
      </c>
      <c r="F436">
        <v>2</v>
      </c>
      <c r="G436">
        <v>10.93</v>
      </c>
      <c r="H436">
        <v>21.86</v>
      </c>
      <c r="I436" t="str">
        <f t="shared" si="42"/>
        <v>Low</v>
      </c>
      <c r="J436">
        <v>4.37</v>
      </c>
      <c r="K436">
        <f t="shared" si="47"/>
        <v>17.489999999999998</v>
      </c>
      <c r="L436" t="str">
        <f t="shared" si="48"/>
        <v>April</v>
      </c>
      <c r="M436">
        <f>YEAR(C436)</f>
        <v>2025</v>
      </c>
      <c r="N436">
        <v>291</v>
      </c>
      <c r="O436" t="str">
        <f>IF(N436&gt;=200,"Platinum",IF(N436&gt;=100,"Gold",IF(N436&gt;=50,"Silver","Regular")))</f>
        <v>Platinum</v>
      </c>
      <c r="P436" s="4" t="str">
        <f t="shared" si="43"/>
        <v>Wednesday</v>
      </c>
      <c r="Q436" s="4" t="str">
        <f t="shared" si="44"/>
        <v>Small Order</v>
      </c>
      <c r="R436" s="4" t="str">
        <f t="shared" si="45"/>
        <v>Weekday</v>
      </c>
      <c r="S436" s="4" t="str">
        <f t="shared" si="46"/>
        <v>Regular</v>
      </c>
    </row>
    <row r="437" spans="1:19" x14ac:dyDescent="0.3">
      <c r="A437">
        <v>7524</v>
      </c>
      <c r="B437" t="s">
        <v>3</v>
      </c>
      <c r="C437" s="1">
        <v>45392</v>
      </c>
      <c r="D437" t="s">
        <v>34</v>
      </c>
      <c r="E437" t="s">
        <v>5</v>
      </c>
      <c r="F437">
        <v>4</v>
      </c>
      <c r="G437">
        <v>10.48</v>
      </c>
      <c r="H437">
        <v>41.92</v>
      </c>
      <c r="I437" t="str">
        <f t="shared" si="42"/>
        <v>Medium</v>
      </c>
      <c r="J437">
        <v>8.3800000000000008</v>
      </c>
      <c r="K437">
        <f t="shared" si="47"/>
        <v>33.54</v>
      </c>
      <c r="L437" t="str">
        <f t="shared" si="48"/>
        <v>April</v>
      </c>
      <c r="M437">
        <f>YEAR(C437)</f>
        <v>2024</v>
      </c>
      <c r="N437">
        <v>256</v>
      </c>
      <c r="O437" t="str">
        <f>IF(N437&gt;=200,"Platinum",IF(N437&gt;=100,"Gold",IF(N437&gt;=50,"Silver","Regular")))</f>
        <v>Platinum</v>
      </c>
      <c r="P437" s="4" t="str">
        <f t="shared" si="43"/>
        <v>Wednesday</v>
      </c>
      <c r="Q437" s="4" t="str">
        <f t="shared" si="44"/>
        <v>Medium Order</v>
      </c>
      <c r="R437" s="4" t="str">
        <f t="shared" si="45"/>
        <v>Weekday</v>
      </c>
      <c r="S437" s="4" t="str">
        <f t="shared" si="46"/>
        <v>Regular</v>
      </c>
    </row>
    <row r="438" spans="1:19" x14ac:dyDescent="0.3">
      <c r="A438">
        <v>3471</v>
      </c>
      <c r="B438" t="s">
        <v>19</v>
      </c>
      <c r="C438" s="1">
        <v>45193</v>
      </c>
      <c r="D438" t="s">
        <v>23</v>
      </c>
      <c r="E438" t="s">
        <v>5</v>
      </c>
      <c r="F438">
        <v>4</v>
      </c>
      <c r="G438">
        <v>5.04</v>
      </c>
      <c r="H438">
        <v>20.16</v>
      </c>
      <c r="I438" t="str">
        <f t="shared" si="42"/>
        <v>Low</v>
      </c>
      <c r="J438">
        <v>4.03</v>
      </c>
      <c r="K438">
        <f t="shared" si="47"/>
        <v>16.13</v>
      </c>
      <c r="L438" t="str">
        <f t="shared" si="48"/>
        <v>September</v>
      </c>
      <c r="M438">
        <f>YEAR(C438)</f>
        <v>2023</v>
      </c>
      <c r="N438">
        <v>300</v>
      </c>
      <c r="O438" t="str">
        <f>IF(N438&gt;=200,"Platinum",IF(N438&gt;=100,"Gold",IF(N438&gt;=50,"Silver","Regular")))</f>
        <v>Platinum</v>
      </c>
      <c r="P438" s="4" t="str">
        <f t="shared" si="43"/>
        <v>Sunday</v>
      </c>
      <c r="Q438" s="4" t="str">
        <f t="shared" si="44"/>
        <v>Medium Order</v>
      </c>
      <c r="R438" s="4" t="str">
        <f t="shared" si="45"/>
        <v>Weekend</v>
      </c>
      <c r="S438" s="4" t="str">
        <f t="shared" si="46"/>
        <v>Regular</v>
      </c>
    </row>
    <row r="439" spans="1:19" x14ac:dyDescent="0.3">
      <c r="A439">
        <v>4836</v>
      </c>
      <c r="B439" t="s">
        <v>20</v>
      </c>
      <c r="C439" s="1">
        <v>45778</v>
      </c>
      <c r="D439" t="s">
        <v>4</v>
      </c>
      <c r="E439" t="s">
        <v>18</v>
      </c>
      <c r="F439">
        <v>3</v>
      </c>
      <c r="G439">
        <v>13.44</v>
      </c>
      <c r="H439">
        <v>40.32</v>
      </c>
      <c r="I439" t="str">
        <f t="shared" si="42"/>
        <v>Medium</v>
      </c>
      <c r="J439">
        <v>8.06</v>
      </c>
      <c r="K439">
        <f t="shared" si="47"/>
        <v>32.26</v>
      </c>
      <c r="L439" t="str">
        <f t="shared" si="48"/>
        <v>May</v>
      </c>
      <c r="M439">
        <f>YEAR(C439)</f>
        <v>2025</v>
      </c>
      <c r="N439">
        <v>95</v>
      </c>
      <c r="O439" t="str">
        <f>IF(N439&gt;=200,"Platinum",IF(N439&gt;=100,"Gold",IF(N439&gt;=50,"Silver","Regular")))</f>
        <v>Silver</v>
      </c>
      <c r="P439" s="4" t="str">
        <f t="shared" si="43"/>
        <v>Thursday</v>
      </c>
      <c r="Q439" s="4" t="str">
        <f t="shared" si="44"/>
        <v>Medium Order</v>
      </c>
      <c r="R439" s="4" t="str">
        <f t="shared" si="45"/>
        <v>Weekday</v>
      </c>
      <c r="S439" s="4" t="str">
        <f t="shared" si="46"/>
        <v>Regular</v>
      </c>
    </row>
    <row r="440" spans="1:19" x14ac:dyDescent="0.3">
      <c r="A440">
        <v>2646</v>
      </c>
      <c r="B440" t="s">
        <v>19</v>
      </c>
      <c r="C440" s="1">
        <v>45489</v>
      </c>
      <c r="D440" t="s">
        <v>17</v>
      </c>
      <c r="E440" t="s">
        <v>29</v>
      </c>
      <c r="F440">
        <v>2</v>
      </c>
      <c r="G440">
        <v>19.559999999999999</v>
      </c>
      <c r="H440">
        <v>39.119999999999997</v>
      </c>
      <c r="I440" t="str">
        <f t="shared" si="42"/>
        <v>Medium</v>
      </c>
      <c r="J440">
        <v>7.82</v>
      </c>
      <c r="K440">
        <f t="shared" si="47"/>
        <v>31.299999999999997</v>
      </c>
      <c r="L440" t="str">
        <f t="shared" si="48"/>
        <v>July</v>
      </c>
      <c r="M440">
        <f>YEAR(C440)</f>
        <v>2024</v>
      </c>
      <c r="N440">
        <v>224</v>
      </c>
      <c r="O440" t="str">
        <f>IF(N440&gt;=200,"Platinum",IF(N440&gt;=100,"Gold",IF(N440&gt;=50,"Silver","Regular")))</f>
        <v>Platinum</v>
      </c>
      <c r="P440" s="4" t="str">
        <f t="shared" si="43"/>
        <v>Tuesday</v>
      </c>
      <c r="Q440" s="4" t="str">
        <f t="shared" si="44"/>
        <v>Small Order</v>
      </c>
      <c r="R440" s="4" t="str">
        <f t="shared" si="45"/>
        <v>Weekday</v>
      </c>
      <c r="S440" s="4" t="str">
        <f t="shared" si="46"/>
        <v>Regular</v>
      </c>
    </row>
    <row r="441" spans="1:19" x14ac:dyDescent="0.3">
      <c r="A441">
        <v>1053</v>
      </c>
      <c r="B441" t="s">
        <v>15</v>
      </c>
      <c r="C441" s="1">
        <v>45705</v>
      </c>
      <c r="D441" t="s">
        <v>24</v>
      </c>
      <c r="E441" t="s">
        <v>12</v>
      </c>
      <c r="F441">
        <v>2</v>
      </c>
      <c r="G441">
        <v>18.559999999999999</v>
      </c>
      <c r="H441">
        <v>37.119999999999997</v>
      </c>
      <c r="I441" t="str">
        <f t="shared" si="42"/>
        <v>Medium</v>
      </c>
      <c r="J441">
        <v>7.42</v>
      </c>
      <c r="K441">
        <f t="shared" si="47"/>
        <v>29.699999999999996</v>
      </c>
      <c r="L441" t="str">
        <f t="shared" si="48"/>
        <v>February</v>
      </c>
      <c r="M441">
        <f>YEAR(C441)</f>
        <v>2025</v>
      </c>
      <c r="N441">
        <v>493</v>
      </c>
      <c r="O441" t="str">
        <f>IF(N441&gt;=200,"Platinum",IF(N441&gt;=100,"Gold",IF(N441&gt;=50,"Silver","Regular")))</f>
        <v>Platinum</v>
      </c>
      <c r="P441" s="4" t="str">
        <f t="shared" si="43"/>
        <v>Monday</v>
      </c>
      <c r="Q441" s="4" t="str">
        <f t="shared" si="44"/>
        <v>Small Order</v>
      </c>
      <c r="R441" s="4" t="str">
        <f t="shared" si="45"/>
        <v>Weekday</v>
      </c>
      <c r="S441" s="4" t="str">
        <f t="shared" si="46"/>
        <v>Regular</v>
      </c>
    </row>
    <row r="442" spans="1:19" x14ac:dyDescent="0.3">
      <c r="A442">
        <v>3290</v>
      </c>
      <c r="B442" t="s">
        <v>25</v>
      </c>
      <c r="C442" s="1">
        <v>45180</v>
      </c>
      <c r="D442" t="s">
        <v>23</v>
      </c>
      <c r="E442" t="s">
        <v>30</v>
      </c>
      <c r="F442">
        <v>3</v>
      </c>
      <c r="G442">
        <v>11.64</v>
      </c>
      <c r="H442">
        <v>34.92</v>
      </c>
      <c r="I442" t="str">
        <f t="shared" si="42"/>
        <v>Medium</v>
      </c>
      <c r="J442">
        <v>6.98</v>
      </c>
      <c r="K442">
        <f t="shared" si="47"/>
        <v>27.94</v>
      </c>
      <c r="L442" t="str">
        <f t="shared" si="48"/>
        <v>September</v>
      </c>
      <c r="M442">
        <f>YEAR(C442)</f>
        <v>2023</v>
      </c>
      <c r="N442">
        <v>298</v>
      </c>
      <c r="O442" t="str">
        <f>IF(N442&gt;=200,"Platinum",IF(N442&gt;=100,"Gold",IF(N442&gt;=50,"Silver","Regular")))</f>
        <v>Platinum</v>
      </c>
      <c r="P442" s="4" t="str">
        <f t="shared" si="43"/>
        <v>Monday</v>
      </c>
      <c r="Q442" s="4" t="str">
        <f t="shared" si="44"/>
        <v>Medium Order</v>
      </c>
      <c r="R442" s="4" t="str">
        <f t="shared" si="45"/>
        <v>Weekday</v>
      </c>
      <c r="S442" s="4" t="str">
        <f t="shared" si="46"/>
        <v>Regular</v>
      </c>
    </row>
    <row r="443" spans="1:19" x14ac:dyDescent="0.3">
      <c r="A443">
        <v>5232</v>
      </c>
      <c r="B443" t="s">
        <v>31</v>
      </c>
      <c r="C443" s="1">
        <v>45409</v>
      </c>
      <c r="D443" t="s">
        <v>34</v>
      </c>
      <c r="E443" t="s">
        <v>26</v>
      </c>
      <c r="F443">
        <v>4</v>
      </c>
      <c r="G443">
        <v>8.68</v>
      </c>
      <c r="H443">
        <v>34.72</v>
      </c>
      <c r="I443" t="str">
        <f t="shared" si="42"/>
        <v>Medium</v>
      </c>
      <c r="J443">
        <v>6.94</v>
      </c>
      <c r="K443">
        <f t="shared" si="47"/>
        <v>27.779999999999998</v>
      </c>
      <c r="L443" t="str">
        <f t="shared" si="48"/>
        <v>April</v>
      </c>
      <c r="M443">
        <f>YEAR(C443)</f>
        <v>2024</v>
      </c>
      <c r="N443">
        <v>61</v>
      </c>
      <c r="O443" t="str">
        <f>IF(N443&gt;=200,"Platinum",IF(N443&gt;=100,"Gold",IF(N443&gt;=50,"Silver","Regular")))</f>
        <v>Silver</v>
      </c>
      <c r="P443" s="4" t="str">
        <f t="shared" si="43"/>
        <v>Saturday</v>
      </c>
      <c r="Q443" s="4" t="str">
        <f t="shared" si="44"/>
        <v>Medium Order</v>
      </c>
      <c r="R443" s="4" t="str">
        <f t="shared" si="45"/>
        <v>Weekend</v>
      </c>
      <c r="S443" s="4" t="str">
        <f t="shared" si="46"/>
        <v>Regular</v>
      </c>
    </row>
    <row r="444" spans="1:19" x14ac:dyDescent="0.3">
      <c r="A444">
        <v>6304</v>
      </c>
      <c r="B444" t="s">
        <v>3</v>
      </c>
      <c r="C444" s="1">
        <v>45157</v>
      </c>
      <c r="D444" t="s">
        <v>27</v>
      </c>
      <c r="E444" t="s">
        <v>21</v>
      </c>
      <c r="F444">
        <v>1</v>
      </c>
      <c r="G444">
        <v>17.16</v>
      </c>
      <c r="H444">
        <v>17.16</v>
      </c>
      <c r="I444" t="str">
        <f t="shared" si="42"/>
        <v>Low</v>
      </c>
      <c r="J444">
        <v>3.43</v>
      </c>
      <c r="K444">
        <f t="shared" si="47"/>
        <v>13.73</v>
      </c>
      <c r="L444" t="str">
        <f t="shared" si="48"/>
        <v>August</v>
      </c>
      <c r="M444">
        <f>YEAR(C444)</f>
        <v>2023</v>
      </c>
      <c r="N444">
        <v>264</v>
      </c>
      <c r="O444" t="str">
        <f>IF(N444&gt;=200,"Platinum",IF(N444&gt;=100,"Gold",IF(N444&gt;=50,"Silver","Regular")))</f>
        <v>Platinum</v>
      </c>
      <c r="P444" s="4" t="str">
        <f t="shared" si="43"/>
        <v>Saturday</v>
      </c>
      <c r="Q444" s="4" t="str">
        <f t="shared" si="44"/>
        <v>Small Order</v>
      </c>
      <c r="R444" s="4" t="str">
        <f t="shared" si="45"/>
        <v>Weekend</v>
      </c>
      <c r="S444" s="4" t="str">
        <f t="shared" si="46"/>
        <v>Regular</v>
      </c>
    </row>
    <row r="445" spans="1:19" x14ac:dyDescent="0.3">
      <c r="A445">
        <v>2771</v>
      </c>
      <c r="B445" t="s">
        <v>13</v>
      </c>
      <c r="C445" s="1">
        <v>45442</v>
      </c>
      <c r="D445" t="s">
        <v>27</v>
      </c>
      <c r="E445" t="s">
        <v>29</v>
      </c>
      <c r="F445">
        <v>1</v>
      </c>
      <c r="G445">
        <v>16.010000000000002</v>
      </c>
      <c r="H445">
        <v>16.010000000000002</v>
      </c>
      <c r="I445" t="str">
        <f t="shared" si="42"/>
        <v>Low</v>
      </c>
      <c r="J445">
        <v>3.2</v>
      </c>
      <c r="K445">
        <f t="shared" si="47"/>
        <v>12.810000000000002</v>
      </c>
      <c r="L445" t="str">
        <f t="shared" si="48"/>
        <v>May</v>
      </c>
      <c r="M445">
        <f>YEAR(C445)</f>
        <v>2024</v>
      </c>
      <c r="N445">
        <v>155</v>
      </c>
      <c r="O445" t="str">
        <f>IF(N445&gt;=200,"Platinum",IF(N445&gt;=100,"Gold",IF(N445&gt;=50,"Silver","Regular")))</f>
        <v>Gold</v>
      </c>
      <c r="P445" s="4" t="str">
        <f t="shared" si="43"/>
        <v>Thursday</v>
      </c>
      <c r="Q445" s="4" t="str">
        <f t="shared" si="44"/>
        <v>Small Order</v>
      </c>
      <c r="R445" s="4" t="str">
        <f t="shared" si="45"/>
        <v>Weekday</v>
      </c>
      <c r="S445" s="4" t="str">
        <f t="shared" si="46"/>
        <v>Regular</v>
      </c>
    </row>
    <row r="446" spans="1:19" x14ac:dyDescent="0.3">
      <c r="A446">
        <v>5351</v>
      </c>
      <c r="B446" t="s">
        <v>19</v>
      </c>
      <c r="C446" s="1">
        <v>45452</v>
      </c>
      <c r="D446" t="s">
        <v>11</v>
      </c>
      <c r="E446" t="s">
        <v>37</v>
      </c>
      <c r="F446">
        <v>1</v>
      </c>
      <c r="G446">
        <v>15.41</v>
      </c>
      <c r="H446">
        <v>15.41</v>
      </c>
      <c r="I446" t="str">
        <f t="shared" si="42"/>
        <v>Low</v>
      </c>
      <c r="J446">
        <v>3.08</v>
      </c>
      <c r="K446">
        <f t="shared" si="47"/>
        <v>12.33</v>
      </c>
      <c r="L446" t="str">
        <f t="shared" si="48"/>
        <v>June</v>
      </c>
      <c r="M446">
        <f>YEAR(C446)</f>
        <v>2024</v>
      </c>
      <c r="N446">
        <v>220</v>
      </c>
      <c r="O446" t="str">
        <f>IF(N446&gt;=200,"Platinum",IF(N446&gt;=100,"Gold",IF(N446&gt;=50,"Silver","Regular")))</f>
        <v>Platinum</v>
      </c>
      <c r="P446" s="4" t="str">
        <f t="shared" si="43"/>
        <v>Sunday</v>
      </c>
      <c r="Q446" s="4" t="str">
        <f t="shared" si="44"/>
        <v>Small Order</v>
      </c>
      <c r="R446" s="4" t="str">
        <f t="shared" si="45"/>
        <v>Weekend</v>
      </c>
      <c r="S446" s="4" t="str">
        <f t="shared" si="46"/>
        <v>Regular</v>
      </c>
    </row>
    <row r="447" spans="1:19" x14ac:dyDescent="0.3">
      <c r="A447">
        <v>8843</v>
      </c>
      <c r="B447" t="s">
        <v>3</v>
      </c>
      <c r="C447" s="1">
        <v>45487</v>
      </c>
      <c r="D447" t="s">
        <v>17</v>
      </c>
      <c r="E447" t="s">
        <v>30</v>
      </c>
      <c r="F447">
        <v>1</v>
      </c>
      <c r="G447">
        <v>28.52</v>
      </c>
      <c r="H447">
        <v>28.52</v>
      </c>
      <c r="I447" t="str">
        <f t="shared" si="42"/>
        <v>Medium</v>
      </c>
      <c r="J447">
        <v>5.7</v>
      </c>
      <c r="K447">
        <f t="shared" si="47"/>
        <v>22.82</v>
      </c>
      <c r="L447" t="str">
        <f t="shared" si="48"/>
        <v>July</v>
      </c>
      <c r="M447">
        <f>YEAR(C447)</f>
        <v>2024</v>
      </c>
      <c r="N447">
        <v>229</v>
      </c>
      <c r="O447" t="str">
        <f>IF(N447&gt;=200,"Platinum",IF(N447&gt;=100,"Gold",IF(N447&gt;=50,"Silver","Regular")))</f>
        <v>Platinum</v>
      </c>
      <c r="P447" s="4" t="str">
        <f t="shared" si="43"/>
        <v>Sunday</v>
      </c>
      <c r="Q447" s="4" t="str">
        <f t="shared" si="44"/>
        <v>Small Order</v>
      </c>
      <c r="R447" s="4" t="str">
        <f t="shared" si="45"/>
        <v>Weekend</v>
      </c>
      <c r="S447" s="4" t="str">
        <f t="shared" si="46"/>
        <v>Regular</v>
      </c>
    </row>
    <row r="448" spans="1:19" x14ac:dyDescent="0.3">
      <c r="A448">
        <v>1693</v>
      </c>
      <c r="B448" t="s">
        <v>8</v>
      </c>
      <c r="C448" s="1">
        <v>45483</v>
      </c>
      <c r="D448" t="s">
        <v>11</v>
      </c>
      <c r="E448" t="s">
        <v>7</v>
      </c>
      <c r="F448">
        <v>2</v>
      </c>
      <c r="G448">
        <v>13.71</v>
      </c>
      <c r="H448">
        <v>27.42</v>
      </c>
      <c r="I448" t="str">
        <f t="shared" si="42"/>
        <v>Medium</v>
      </c>
      <c r="J448">
        <v>5.48</v>
      </c>
      <c r="K448">
        <f t="shared" si="47"/>
        <v>21.94</v>
      </c>
      <c r="L448" t="str">
        <f t="shared" si="48"/>
        <v>July</v>
      </c>
      <c r="M448">
        <f>YEAR(C448)</f>
        <v>2024</v>
      </c>
      <c r="N448">
        <v>473</v>
      </c>
      <c r="O448" t="str">
        <f>IF(N448&gt;=200,"Platinum",IF(N448&gt;=100,"Gold",IF(N448&gt;=50,"Silver","Regular")))</f>
        <v>Platinum</v>
      </c>
      <c r="P448" s="4" t="str">
        <f t="shared" si="43"/>
        <v>Wednesday</v>
      </c>
      <c r="Q448" s="4" t="str">
        <f t="shared" si="44"/>
        <v>Small Order</v>
      </c>
      <c r="R448" s="4" t="str">
        <f t="shared" si="45"/>
        <v>Weekday</v>
      </c>
      <c r="S448" s="4" t="str">
        <f t="shared" si="46"/>
        <v>Regular</v>
      </c>
    </row>
    <row r="449" spans="1:19" x14ac:dyDescent="0.3">
      <c r="A449">
        <v>6567</v>
      </c>
      <c r="B449" t="s">
        <v>20</v>
      </c>
      <c r="C449" s="1">
        <v>45417</v>
      </c>
      <c r="D449" t="s">
        <v>1</v>
      </c>
      <c r="E449" t="s">
        <v>36</v>
      </c>
      <c r="F449">
        <v>3</v>
      </c>
      <c r="G449">
        <v>4.2699999999999996</v>
      </c>
      <c r="H449">
        <v>12.81</v>
      </c>
      <c r="I449" t="str">
        <f t="shared" si="42"/>
        <v>Low</v>
      </c>
      <c r="J449">
        <v>2.56</v>
      </c>
      <c r="K449">
        <f t="shared" si="47"/>
        <v>10.25</v>
      </c>
      <c r="L449" t="str">
        <f t="shared" si="48"/>
        <v>May</v>
      </c>
      <c r="M449">
        <f>YEAR(C449)</f>
        <v>2024</v>
      </c>
      <c r="N449">
        <v>246</v>
      </c>
      <c r="O449" t="str">
        <f>IF(N449&gt;=200,"Platinum",IF(N449&gt;=100,"Gold",IF(N449&gt;=50,"Silver","Regular")))</f>
        <v>Platinum</v>
      </c>
      <c r="P449" s="4" t="str">
        <f t="shared" si="43"/>
        <v>Sunday</v>
      </c>
      <c r="Q449" s="4" t="str">
        <f t="shared" si="44"/>
        <v>Medium Order</v>
      </c>
      <c r="R449" s="4" t="str">
        <f t="shared" si="45"/>
        <v>Weekend</v>
      </c>
      <c r="S449" s="4" t="str">
        <f t="shared" si="46"/>
        <v>Regular</v>
      </c>
    </row>
    <row r="450" spans="1:19" x14ac:dyDescent="0.3">
      <c r="A450">
        <v>3330</v>
      </c>
      <c r="B450" t="s">
        <v>25</v>
      </c>
      <c r="C450" s="1">
        <v>45200</v>
      </c>
      <c r="D450" t="s">
        <v>24</v>
      </c>
      <c r="E450" t="s">
        <v>30</v>
      </c>
      <c r="F450">
        <v>1</v>
      </c>
      <c r="G450">
        <v>12.11</v>
      </c>
      <c r="H450">
        <v>12.11</v>
      </c>
      <c r="I450" t="str">
        <f t="shared" ref="I450:I513" si="49">IF(J450=0,"No Discount",IF(J450&lt;=5,"Low",IF(J450&lt;=10,"Medium",IF(J450&lt;=20,"High","Very High"))))</f>
        <v>Low</v>
      </c>
      <c r="J450">
        <v>2.42</v>
      </c>
      <c r="K450">
        <f t="shared" si="47"/>
        <v>9.69</v>
      </c>
      <c r="L450" t="str">
        <f t="shared" si="48"/>
        <v>October</v>
      </c>
      <c r="M450">
        <f>YEAR(C450)</f>
        <v>2023</v>
      </c>
      <c r="N450">
        <v>301</v>
      </c>
      <c r="O450" t="str">
        <f>IF(N450&gt;=200,"Platinum",IF(N450&gt;=100,"Gold",IF(N450&gt;=50,"Silver","Regular")))</f>
        <v>Platinum</v>
      </c>
      <c r="P450" s="4" t="str">
        <f t="shared" ref="P450:P513" si="50">TEXT(C450,"dddd")</f>
        <v>Sunday</v>
      </c>
      <c r="Q450" s="4" t="str">
        <f t="shared" ref="Q450:Q513" si="51">IF(F450&lt;=2,"Small Order",IF(F450&lt;=5,"Medium Order",IF(F450&lt;=10,"Large Order","Bulk Order")))</f>
        <v>Small Order</v>
      </c>
      <c r="R450" s="4" t="str">
        <f t="shared" ref="R450:R513" si="52">IF(WEEKDAY(C450,2)&gt;5,"Weekend","Weekday")</f>
        <v>Weekend</v>
      </c>
      <c r="S450" s="4" t="str">
        <f t="shared" ref="S450:S513" si="53">IF(K450&gt;=100,"High Value","Regular")</f>
        <v>Regular</v>
      </c>
    </row>
    <row r="451" spans="1:19" x14ac:dyDescent="0.3">
      <c r="A451">
        <v>1579</v>
      </c>
      <c r="B451" t="s">
        <v>31</v>
      </c>
      <c r="C451" s="1">
        <v>45574</v>
      </c>
      <c r="D451" t="s">
        <v>1</v>
      </c>
      <c r="E451" t="s">
        <v>36</v>
      </c>
      <c r="F451">
        <v>4</v>
      </c>
      <c r="G451">
        <v>5.58</v>
      </c>
      <c r="H451">
        <v>22.32</v>
      </c>
      <c r="I451" t="str">
        <f t="shared" si="49"/>
        <v>Low</v>
      </c>
      <c r="J451">
        <v>4.46</v>
      </c>
      <c r="K451">
        <f t="shared" ref="K451:K514" si="54">MAX(0,H451-J451)</f>
        <v>17.86</v>
      </c>
      <c r="L451" t="str">
        <f t="shared" ref="L451:L514" si="55">TEXT(C451,"mmmm")</f>
        <v>October</v>
      </c>
      <c r="M451">
        <f>YEAR(C451)</f>
        <v>2024</v>
      </c>
      <c r="N451">
        <v>424</v>
      </c>
      <c r="O451" t="str">
        <f>IF(N451&gt;=200,"Platinum",IF(N451&gt;=100,"Gold",IF(N451&gt;=50,"Silver","Regular")))</f>
        <v>Platinum</v>
      </c>
      <c r="P451" s="4" t="str">
        <f t="shared" si="50"/>
        <v>Wednesday</v>
      </c>
      <c r="Q451" s="4" t="str">
        <f t="shared" si="51"/>
        <v>Medium Order</v>
      </c>
      <c r="R451" s="4" t="str">
        <f t="shared" si="52"/>
        <v>Weekday</v>
      </c>
      <c r="S451" s="4" t="str">
        <f t="shared" si="53"/>
        <v>Regular</v>
      </c>
    </row>
    <row r="452" spans="1:19" x14ac:dyDescent="0.3">
      <c r="A452">
        <v>5285</v>
      </c>
      <c r="B452" t="s">
        <v>31</v>
      </c>
      <c r="C452" s="1">
        <v>45424</v>
      </c>
      <c r="D452" t="s">
        <v>9</v>
      </c>
      <c r="E452" t="s">
        <v>32</v>
      </c>
      <c r="F452">
        <v>3</v>
      </c>
      <c r="G452">
        <v>7.34</v>
      </c>
      <c r="H452">
        <v>22.02</v>
      </c>
      <c r="I452" t="str">
        <f t="shared" si="49"/>
        <v>Low</v>
      </c>
      <c r="J452">
        <v>4.4000000000000004</v>
      </c>
      <c r="K452">
        <f t="shared" si="54"/>
        <v>17.619999999999997</v>
      </c>
      <c r="L452" t="str">
        <f t="shared" si="55"/>
        <v>May</v>
      </c>
      <c r="M452">
        <f>YEAR(C452)</f>
        <v>2024</v>
      </c>
      <c r="N452">
        <v>242</v>
      </c>
      <c r="O452" t="str">
        <f>IF(N452&gt;=200,"Platinum",IF(N452&gt;=100,"Gold",IF(N452&gt;=50,"Silver","Regular")))</f>
        <v>Platinum</v>
      </c>
      <c r="P452" s="4" t="str">
        <f t="shared" si="50"/>
        <v>Sunday</v>
      </c>
      <c r="Q452" s="4" t="str">
        <f t="shared" si="51"/>
        <v>Medium Order</v>
      </c>
      <c r="R452" s="4" t="str">
        <f t="shared" si="52"/>
        <v>Weekend</v>
      </c>
      <c r="S452" s="4" t="str">
        <f t="shared" si="53"/>
        <v>Regular</v>
      </c>
    </row>
    <row r="453" spans="1:19" x14ac:dyDescent="0.3">
      <c r="A453">
        <v>6900</v>
      </c>
      <c r="B453" t="s">
        <v>3</v>
      </c>
      <c r="C453" s="1">
        <v>45188</v>
      </c>
      <c r="D453" t="s">
        <v>17</v>
      </c>
      <c r="E453" t="s">
        <v>33</v>
      </c>
      <c r="F453">
        <v>1</v>
      </c>
      <c r="G453">
        <v>21.37</v>
      </c>
      <c r="H453">
        <v>21.37</v>
      </c>
      <c r="I453" t="str">
        <f t="shared" si="49"/>
        <v>Low</v>
      </c>
      <c r="J453">
        <v>4.2699999999999996</v>
      </c>
      <c r="K453">
        <f t="shared" si="54"/>
        <v>17.100000000000001</v>
      </c>
      <c r="L453" t="str">
        <f t="shared" si="55"/>
        <v>September</v>
      </c>
      <c r="M453">
        <f>YEAR(C453)</f>
        <v>2023</v>
      </c>
      <c r="N453">
        <v>38</v>
      </c>
      <c r="O453" t="str">
        <f>IF(N453&gt;=200,"Platinum",IF(N453&gt;=100,"Gold",IF(N453&gt;=50,"Silver","Regular")))</f>
        <v>Regular</v>
      </c>
      <c r="P453" s="4" t="str">
        <f t="shared" si="50"/>
        <v>Tuesday</v>
      </c>
      <c r="Q453" s="4" t="str">
        <f t="shared" si="51"/>
        <v>Small Order</v>
      </c>
      <c r="R453" s="4" t="str">
        <f t="shared" si="52"/>
        <v>Weekday</v>
      </c>
      <c r="S453" s="4" t="str">
        <f t="shared" si="53"/>
        <v>Regular</v>
      </c>
    </row>
    <row r="454" spans="1:19" x14ac:dyDescent="0.3">
      <c r="A454">
        <v>9972</v>
      </c>
      <c r="B454" t="s">
        <v>19</v>
      </c>
      <c r="C454" s="1">
        <v>45846</v>
      </c>
      <c r="D454" t="s">
        <v>9</v>
      </c>
      <c r="E454" t="s">
        <v>35</v>
      </c>
      <c r="F454">
        <v>2</v>
      </c>
      <c r="G454">
        <v>10.11</v>
      </c>
      <c r="H454">
        <v>20.22</v>
      </c>
      <c r="I454" t="str">
        <f t="shared" si="49"/>
        <v>Low</v>
      </c>
      <c r="J454">
        <v>4.04</v>
      </c>
      <c r="K454">
        <f t="shared" si="54"/>
        <v>16.18</v>
      </c>
      <c r="L454" t="str">
        <f t="shared" si="55"/>
        <v>July</v>
      </c>
      <c r="M454">
        <f>YEAR(C454)</f>
        <v>2025</v>
      </c>
      <c r="N454">
        <v>200</v>
      </c>
      <c r="O454" t="str">
        <f>IF(N454&gt;=200,"Platinum",IF(N454&gt;=100,"Gold",IF(N454&gt;=50,"Silver","Regular")))</f>
        <v>Platinum</v>
      </c>
      <c r="P454" s="4" t="str">
        <f t="shared" si="50"/>
        <v>Tuesday</v>
      </c>
      <c r="Q454" s="4" t="str">
        <f t="shared" si="51"/>
        <v>Small Order</v>
      </c>
      <c r="R454" s="4" t="str">
        <f t="shared" si="52"/>
        <v>Weekday</v>
      </c>
      <c r="S454" s="4" t="str">
        <f t="shared" si="53"/>
        <v>Regular</v>
      </c>
    </row>
    <row r="455" spans="1:19" x14ac:dyDescent="0.3">
      <c r="A455">
        <v>1207</v>
      </c>
      <c r="B455" t="s">
        <v>0</v>
      </c>
      <c r="C455" s="1">
        <v>45694</v>
      </c>
      <c r="D455" t="s">
        <v>11</v>
      </c>
      <c r="E455" t="s">
        <v>36</v>
      </c>
      <c r="F455">
        <v>1</v>
      </c>
      <c r="G455">
        <v>19.02</v>
      </c>
      <c r="H455">
        <v>19.02</v>
      </c>
      <c r="I455" t="str">
        <f t="shared" si="49"/>
        <v>Low</v>
      </c>
      <c r="J455">
        <v>3.8</v>
      </c>
      <c r="K455">
        <f t="shared" si="54"/>
        <v>15.219999999999999</v>
      </c>
      <c r="L455" t="str">
        <f t="shared" si="55"/>
        <v>February</v>
      </c>
      <c r="M455">
        <f>YEAR(C455)</f>
        <v>2025</v>
      </c>
      <c r="N455">
        <v>302</v>
      </c>
      <c r="O455" t="str">
        <f>IF(N455&gt;=200,"Platinum",IF(N455&gt;=100,"Gold",IF(N455&gt;=50,"Silver","Regular")))</f>
        <v>Platinum</v>
      </c>
      <c r="P455" s="4" t="str">
        <f t="shared" si="50"/>
        <v>Thursday</v>
      </c>
      <c r="Q455" s="4" t="str">
        <f t="shared" si="51"/>
        <v>Small Order</v>
      </c>
      <c r="R455" s="4" t="str">
        <f t="shared" si="52"/>
        <v>Weekday</v>
      </c>
      <c r="S455" s="4" t="str">
        <f t="shared" si="53"/>
        <v>Regular</v>
      </c>
    </row>
    <row r="456" spans="1:19" x14ac:dyDescent="0.3">
      <c r="A456">
        <v>6378</v>
      </c>
      <c r="B456" t="s">
        <v>31</v>
      </c>
      <c r="C456" s="1">
        <v>45361</v>
      </c>
      <c r="D456" t="s">
        <v>23</v>
      </c>
      <c r="E456" t="s">
        <v>37</v>
      </c>
      <c r="F456">
        <v>1</v>
      </c>
      <c r="G456">
        <v>9.41</v>
      </c>
      <c r="H456">
        <v>9.41</v>
      </c>
      <c r="I456" t="str">
        <f t="shared" si="49"/>
        <v>Low</v>
      </c>
      <c r="J456">
        <v>1.88</v>
      </c>
      <c r="K456">
        <f t="shared" si="54"/>
        <v>7.53</v>
      </c>
      <c r="L456" t="str">
        <f t="shared" si="55"/>
        <v>March</v>
      </c>
      <c r="M456">
        <f>YEAR(C456)</f>
        <v>2024</v>
      </c>
      <c r="N456">
        <v>196</v>
      </c>
      <c r="O456" t="str">
        <f>IF(N456&gt;=200,"Platinum",IF(N456&gt;=100,"Gold",IF(N456&gt;=50,"Silver","Regular")))</f>
        <v>Gold</v>
      </c>
      <c r="P456" s="4" t="str">
        <f t="shared" si="50"/>
        <v>Sunday</v>
      </c>
      <c r="Q456" s="4" t="str">
        <f t="shared" si="51"/>
        <v>Small Order</v>
      </c>
      <c r="R456" s="4" t="str">
        <f t="shared" si="52"/>
        <v>Weekend</v>
      </c>
      <c r="S456" s="4" t="str">
        <f t="shared" si="53"/>
        <v>Regular</v>
      </c>
    </row>
    <row r="457" spans="1:19" x14ac:dyDescent="0.3">
      <c r="A457">
        <v>8239</v>
      </c>
      <c r="B457" t="s">
        <v>8</v>
      </c>
      <c r="C457" s="1">
        <v>45573</v>
      </c>
      <c r="D457" t="s">
        <v>24</v>
      </c>
      <c r="E457" t="s">
        <v>5</v>
      </c>
      <c r="F457">
        <v>1</v>
      </c>
      <c r="G457">
        <v>18.82</v>
      </c>
      <c r="H457">
        <v>18.82</v>
      </c>
      <c r="I457" t="str">
        <f t="shared" si="49"/>
        <v>Low</v>
      </c>
      <c r="J457">
        <v>3.76</v>
      </c>
      <c r="K457">
        <f t="shared" si="54"/>
        <v>15.06</v>
      </c>
      <c r="L457" t="str">
        <f t="shared" si="55"/>
        <v>October</v>
      </c>
      <c r="M457">
        <f>YEAR(C457)</f>
        <v>2024</v>
      </c>
      <c r="N457">
        <v>123</v>
      </c>
      <c r="O457" t="str">
        <f>IF(N457&gt;=200,"Platinum",IF(N457&gt;=100,"Gold",IF(N457&gt;=50,"Silver","Regular")))</f>
        <v>Gold</v>
      </c>
      <c r="P457" s="4" t="str">
        <f t="shared" si="50"/>
        <v>Tuesday</v>
      </c>
      <c r="Q457" s="4" t="str">
        <f t="shared" si="51"/>
        <v>Small Order</v>
      </c>
      <c r="R457" s="4" t="str">
        <f t="shared" si="52"/>
        <v>Weekday</v>
      </c>
      <c r="S457" s="4" t="str">
        <f t="shared" si="53"/>
        <v>Regular</v>
      </c>
    </row>
    <row r="458" spans="1:19" x14ac:dyDescent="0.3">
      <c r="A458">
        <v>1986</v>
      </c>
      <c r="B458" t="s">
        <v>25</v>
      </c>
      <c r="C458" s="1">
        <v>45618</v>
      </c>
      <c r="D458" t="s">
        <v>23</v>
      </c>
      <c r="E458" t="s">
        <v>2</v>
      </c>
      <c r="F458">
        <v>1</v>
      </c>
      <c r="G458">
        <v>9.26</v>
      </c>
      <c r="H458">
        <v>9.26</v>
      </c>
      <c r="I458" t="str">
        <f t="shared" si="49"/>
        <v>Low</v>
      </c>
      <c r="J458">
        <v>1.85</v>
      </c>
      <c r="K458">
        <f t="shared" si="54"/>
        <v>7.41</v>
      </c>
      <c r="L458" t="str">
        <f t="shared" si="55"/>
        <v>November</v>
      </c>
      <c r="M458">
        <f>YEAR(C458)</f>
        <v>2024</v>
      </c>
      <c r="N458">
        <v>197</v>
      </c>
      <c r="O458" t="str">
        <f>IF(N458&gt;=200,"Platinum",IF(N458&gt;=100,"Gold",IF(N458&gt;=50,"Silver","Regular")))</f>
        <v>Gold</v>
      </c>
      <c r="P458" s="4" t="str">
        <f t="shared" si="50"/>
        <v>Friday</v>
      </c>
      <c r="Q458" s="4" t="str">
        <f t="shared" si="51"/>
        <v>Small Order</v>
      </c>
      <c r="R458" s="4" t="str">
        <f t="shared" si="52"/>
        <v>Weekday</v>
      </c>
      <c r="S458" s="4" t="str">
        <f t="shared" si="53"/>
        <v>Regular</v>
      </c>
    </row>
    <row r="459" spans="1:19" x14ac:dyDescent="0.3">
      <c r="A459">
        <v>8579</v>
      </c>
      <c r="B459" t="s">
        <v>15</v>
      </c>
      <c r="C459" s="1">
        <v>45339</v>
      </c>
      <c r="D459" t="s">
        <v>24</v>
      </c>
      <c r="E459" t="s">
        <v>10</v>
      </c>
      <c r="F459">
        <v>1</v>
      </c>
      <c r="G459">
        <v>14.57</v>
      </c>
      <c r="H459">
        <v>14.57</v>
      </c>
      <c r="I459" t="str">
        <f t="shared" si="49"/>
        <v>Low</v>
      </c>
      <c r="J459">
        <v>2.91</v>
      </c>
      <c r="K459">
        <f t="shared" si="54"/>
        <v>11.66</v>
      </c>
      <c r="L459" t="str">
        <f t="shared" si="55"/>
        <v>February</v>
      </c>
      <c r="M459">
        <f>YEAR(C459)</f>
        <v>2024</v>
      </c>
      <c r="N459">
        <v>38</v>
      </c>
      <c r="O459" t="str">
        <f>IF(N459&gt;=200,"Platinum",IF(N459&gt;=100,"Gold",IF(N459&gt;=50,"Silver","Regular")))</f>
        <v>Regular</v>
      </c>
      <c r="P459" s="4" t="str">
        <f t="shared" si="50"/>
        <v>Saturday</v>
      </c>
      <c r="Q459" s="4" t="str">
        <f t="shared" si="51"/>
        <v>Small Order</v>
      </c>
      <c r="R459" s="4" t="str">
        <f t="shared" si="52"/>
        <v>Weekend</v>
      </c>
      <c r="S459" s="4" t="str">
        <f t="shared" si="53"/>
        <v>Regular</v>
      </c>
    </row>
    <row r="460" spans="1:19" x14ac:dyDescent="0.3">
      <c r="A460">
        <v>7567</v>
      </c>
      <c r="B460" t="s">
        <v>0</v>
      </c>
      <c r="C460" s="1">
        <v>45664</v>
      </c>
      <c r="D460" t="s">
        <v>27</v>
      </c>
      <c r="E460" t="s">
        <v>10</v>
      </c>
      <c r="F460">
        <v>1</v>
      </c>
      <c r="G460">
        <v>6.86</v>
      </c>
      <c r="H460">
        <v>6.86</v>
      </c>
      <c r="I460" t="str">
        <f t="shared" si="49"/>
        <v>Low</v>
      </c>
      <c r="J460">
        <v>1.37</v>
      </c>
      <c r="K460">
        <f t="shared" si="54"/>
        <v>5.49</v>
      </c>
      <c r="L460" t="str">
        <f t="shared" si="55"/>
        <v>January</v>
      </c>
      <c r="M460">
        <f>YEAR(C460)</f>
        <v>2025</v>
      </c>
      <c r="N460">
        <v>245</v>
      </c>
      <c r="O460" t="str">
        <f>IF(N460&gt;=200,"Platinum",IF(N460&gt;=100,"Gold",IF(N460&gt;=50,"Silver","Regular")))</f>
        <v>Platinum</v>
      </c>
      <c r="P460" s="4" t="str">
        <f t="shared" si="50"/>
        <v>Tuesday</v>
      </c>
      <c r="Q460" s="4" t="str">
        <f t="shared" si="51"/>
        <v>Small Order</v>
      </c>
      <c r="R460" s="4" t="str">
        <f t="shared" si="52"/>
        <v>Weekday</v>
      </c>
      <c r="S460" s="4" t="str">
        <f t="shared" si="53"/>
        <v>Regular</v>
      </c>
    </row>
    <row r="461" spans="1:19" x14ac:dyDescent="0.3">
      <c r="A461">
        <v>6582</v>
      </c>
      <c r="B461" t="s">
        <v>31</v>
      </c>
      <c r="C461" s="1">
        <v>45288</v>
      </c>
      <c r="D461" t="s">
        <v>6</v>
      </c>
      <c r="E461" t="s">
        <v>30</v>
      </c>
      <c r="F461">
        <v>1</v>
      </c>
      <c r="G461">
        <v>13.27</v>
      </c>
      <c r="H461">
        <v>13.27</v>
      </c>
      <c r="I461" t="str">
        <f t="shared" si="49"/>
        <v>Low</v>
      </c>
      <c r="J461">
        <v>2.65</v>
      </c>
      <c r="K461">
        <f t="shared" si="54"/>
        <v>10.62</v>
      </c>
      <c r="L461" t="str">
        <f t="shared" si="55"/>
        <v>December</v>
      </c>
      <c r="M461">
        <f>YEAR(C461)</f>
        <v>2023</v>
      </c>
      <c r="N461">
        <v>349</v>
      </c>
      <c r="O461" t="str">
        <f>IF(N461&gt;=200,"Platinum",IF(N461&gt;=100,"Gold",IF(N461&gt;=50,"Silver","Regular")))</f>
        <v>Platinum</v>
      </c>
      <c r="P461" s="4" t="str">
        <f t="shared" si="50"/>
        <v>Thursday</v>
      </c>
      <c r="Q461" s="4" t="str">
        <f t="shared" si="51"/>
        <v>Small Order</v>
      </c>
      <c r="R461" s="4" t="str">
        <f t="shared" si="52"/>
        <v>Weekday</v>
      </c>
      <c r="S461" s="4" t="str">
        <f t="shared" si="53"/>
        <v>Regular</v>
      </c>
    </row>
    <row r="462" spans="1:19" x14ac:dyDescent="0.3">
      <c r="A462">
        <v>2143</v>
      </c>
      <c r="B462" t="s">
        <v>13</v>
      </c>
      <c r="C462" s="1">
        <v>45359</v>
      </c>
      <c r="D462" t="s">
        <v>16</v>
      </c>
      <c r="E462" t="s">
        <v>35</v>
      </c>
      <c r="F462">
        <v>2</v>
      </c>
      <c r="G462">
        <v>5.66</v>
      </c>
      <c r="H462">
        <v>11.32</v>
      </c>
      <c r="I462" t="str">
        <f t="shared" si="49"/>
        <v>Low</v>
      </c>
      <c r="J462">
        <v>2.2599999999999998</v>
      </c>
      <c r="K462">
        <f t="shared" si="54"/>
        <v>9.06</v>
      </c>
      <c r="L462" t="str">
        <f t="shared" si="55"/>
        <v>March</v>
      </c>
      <c r="M462">
        <f>YEAR(C462)</f>
        <v>2024</v>
      </c>
      <c r="N462">
        <v>113</v>
      </c>
      <c r="O462" t="str">
        <f>IF(N462&gt;=200,"Platinum",IF(N462&gt;=100,"Gold",IF(N462&gt;=50,"Silver","Regular")))</f>
        <v>Gold</v>
      </c>
      <c r="P462" s="4" t="str">
        <f t="shared" si="50"/>
        <v>Friday</v>
      </c>
      <c r="Q462" s="4" t="str">
        <f t="shared" si="51"/>
        <v>Small Order</v>
      </c>
      <c r="R462" s="4" t="str">
        <f t="shared" si="52"/>
        <v>Weekday</v>
      </c>
      <c r="S462" s="4" t="str">
        <f t="shared" si="53"/>
        <v>Regular</v>
      </c>
    </row>
    <row r="463" spans="1:19" x14ac:dyDescent="0.3">
      <c r="A463">
        <v>6848</v>
      </c>
      <c r="B463" t="s">
        <v>15</v>
      </c>
      <c r="C463" s="1">
        <v>45814</v>
      </c>
      <c r="D463" t="s">
        <v>27</v>
      </c>
      <c r="E463" t="s">
        <v>36</v>
      </c>
      <c r="F463">
        <v>1</v>
      </c>
      <c r="G463">
        <v>5.46</v>
      </c>
      <c r="H463">
        <v>5.46</v>
      </c>
      <c r="I463" t="str">
        <f t="shared" si="49"/>
        <v>Low</v>
      </c>
      <c r="J463">
        <v>1.0900000000000001</v>
      </c>
      <c r="K463">
        <f t="shared" si="54"/>
        <v>4.37</v>
      </c>
      <c r="L463" t="str">
        <f t="shared" si="55"/>
        <v>June</v>
      </c>
      <c r="M463">
        <f>YEAR(C463)</f>
        <v>2025</v>
      </c>
      <c r="N463">
        <v>186</v>
      </c>
      <c r="O463" t="str">
        <f>IF(N463&gt;=200,"Platinum",IF(N463&gt;=100,"Gold",IF(N463&gt;=50,"Silver","Regular")))</f>
        <v>Gold</v>
      </c>
      <c r="P463" s="4" t="str">
        <f t="shared" si="50"/>
        <v>Friday</v>
      </c>
      <c r="Q463" s="4" t="str">
        <f t="shared" si="51"/>
        <v>Small Order</v>
      </c>
      <c r="R463" s="4" t="str">
        <f t="shared" si="52"/>
        <v>Weekday</v>
      </c>
      <c r="S463" s="4" t="str">
        <f t="shared" si="53"/>
        <v>Regular</v>
      </c>
    </row>
    <row r="464" spans="1:19" x14ac:dyDescent="0.3">
      <c r="A464">
        <v>9700</v>
      </c>
      <c r="B464" t="s">
        <v>8</v>
      </c>
      <c r="C464" s="1">
        <v>45320</v>
      </c>
      <c r="D464" t="s">
        <v>9</v>
      </c>
      <c r="E464" t="s">
        <v>37</v>
      </c>
      <c r="F464">
        <v>4</v>
      </c>
      <c r="G464">
        <v>1.19</v>
      </c>
      <c r="H464">
        <v>4.76</v>
      </c>
      <c r="I464" t="str">
        <f t="shared" si="49"/>
        <v>Low</v>
      </c>
      <c r="J464">
        <v>0.95</v>
      </c>
      <c r="K464">
        <f t="shared" si="54"/>
        <v>3.8099999999999996</v>
      </c>
      <c r="L464" t="str">
        <f t="shared" si="55"/>
        <v>January</v>
      </c>
      <c r="M464">
        <f>YEAR(C464)</f>
        <v>2024</v>
      </c>
      <c r="N464">
        <v>393</v>
      </c>
      <c r="O464" t="str">
        <f>IF(N464&gt;=200,"Platinum",IF(N464&gt;=100,"Gold",IF(N464&gt;=50,"Silver","Regular")))</f>
        <v>Platinum</v>
      </c>
      <c r="P464" s="4" t="str">
        <f t="shared" si="50"/>
        <v>Monday</v>
      </c>
      <c r="Q464" s="4" t="str">
        <f t="shared" si="51"/>
        <v>Medium Order</v>
      </c>
      <c r="R464" s="4" t="str">
        <f t="shared" si="52"/>
        <v>Weekday</v>
      </c>
      <c r="S464" s="4" t="str">
        <f t="shared" si="53"/>
        <v>Regular</v>
      </c>
    </row>
    <row r="465" spans="1:19" x14ac:dyDescent="0.3">
      <c r="A465">
        <v>1197</v>
      </c>
      <c r="B465" t="s">
        <v>15</v>
      </c>
      <c r="C465" s="1">
        <v>45425</v>
      </c>
      <c r="D465" t="s">
        <v>34</v>
      </c>
      <c r="E465" t="s">
        <v>37</v>
      </c>
      <c r="F465">
        <v>1</v>
      </c>
      <c r="G465">
        <v>7.62</v>
      </c>
      <c r="H465">
        <v>7.62</v>
      </c>
      <c r="I465" t="str">
        <f t="shared" si="49"/>
        <v>Low</v>
      </c>
      <c r="J465">
        <v>1.52</v>
      </c>
      <c r="K465">
        <f t="shared" si="54"/>
        <v>6.1</v>
      </c>
      <c r="L465" t="str">
        <f t="shared" si="55"/>
        <v>May</v>
      </c>
      <c r="M465">
        <f>YEAR(C465)</f>
        <v>2024</v>
      </c>
      <c r="N465">
        <v>426</v>
      </c>
      <c r="O465" t="str">
        <f>IF(N465&gt;=200,"Platinum",IF(N465&gt;=100,"Gold",IF(N465&gt;=50,"Silver","Regular")))</f>
        <v>Platinum</v>
      </c>
      <c r="P465" s="4" t="str">
        <f t="shared" si="50"/>
        <v>Monday</v>
      </c>
      <c r="Q465" s="4" t="str">
        <f t="shared" si="51"/>
        <v>Small Order</v>
      </c>
      <c r="R465" s="4" t="str">
        <f t="shared" si="52"/>
        <v>Weekday</v>
      </c>
      <c r="S465" s="4" t="str">
        <f t="shared" si="53"/>
        <v>Regular</v>
      </c>
    </row>
    <row r="466" spans="1:19" x14ac:dyDescent="0.3">
      <c r="A466">
        <v>3332</v>
      </c>
      <c r="B466" t="s">
        <v>3</v>
      </c>
      <c r="C466" s="1">
        <v>45697</v>
      </c>
      <c r="D466" t="s">
        <v>1</v>
      </c>
      <c r="E466" t="s">
        <v>26</v>
      </c>
      <c r="F466">
        <v>1</v>
      </c>
      <c r="G466">
        <v>7.27</v>
      </c>
      <c r="H466">
        <v>7.27</v>
      </c>
      <c r="I466" t="str">
        <f t="shared" si="49"/>
        <v>Low</v>
      </c>
      <c r="J466">
        <v>1.45</v>
      </c>
      <c r="K466">
        <f t="shared" si="54"/>
        <v>5.8199999999999994</v>
      </c>
      <c r="L466" t="str">
        <f t="shared" si="55"/>
        <v>February</v>
      </c>
      <c r="M466">
        <f>YEAR(C466)</f>
        <v>2025</v>
      </c>
      <c r="N466">
        <v>92</v>
      </c>
      <c r="O466" t="str">
        <f>IF(N466&gt;=200,"Platinum",IF(N466&gt;=100,"Gold",IF(N466&gt;=50,"Silver","Regular")))</f>
        <v>Silver</v>
      </c>
      <c r="P466" s="4" t="str">
        <f t="shared" si="50"/>
        <v>Sunday</v>
      </c>
      <c r="Q466" s="4" t="str">
        <f t="shared" si="51"/>
        <v>Small Order</v>
      </c>
      <c r="R466" s="4" t="str">
        <f t="shared" si="52"/>
        <v>Weekend</v>
      </c>
      <c r="S466" s="4" t="str">
        <f t="shared" si="53"/>
        <v>Regular</v>
      </c>
    </row>
    <row r="467" spans="1:19" x14ac:dyDescent="0.3">
      <c r="A467">
        <v>3153</v>
      </c>
      <c r="B467" t="s">
        <v>8</v>
      </c>
      <c r="C467" s="1">
        <v>45215</v>
      </c>
      <c r="D467" t="s">
        <v>34</v>
      </c>
      <c r="E467" t="s">
        <v>28</v>
      </c>
      <c r="F467">
        <v>2</v>
      </c>
      <c r="G467">
        <v>3.61</v>
      </c>
      <c r="H467">
        <v>7.22</v>
      </c>
      <c r="I467" t="str">
        <f t="shared" si="49"/>
        <v>Low</v>
      </c>
      <c r="J467">
        <v>1.44</v>
      </c>
      <c r="K467">
        <f t="shared" si="54"/>
        <v>5.7799999999999994</v>
      </c>
      <c r="L467" t="str">
        <f t="shared" si="55"/>
        <v>October</v>
      </c>
      <c r="M467">
        <f>YEAR(C467)</f>
        <v>2023</v>
      </c>
      <c r="N467">
        <v>7</v>
      </c>
      <c r="O467" t="str">
        <f>IF(N467&gt;=200,"Platinum",IF(N467&gt;=100,"Gold",IF(N467&gt;=50,"Silver","Regular")))</f>
        <v>Regular</v>
      </c>
      <c r="P467" s="4" t="str">
        <f t="shared" si="50"/>
        <v>Monday</v>
      </c>
      <c r="Q467" s="4" t="str">
        <f t="shared" si="51"/>
        <v>Small Order</v>
      </c>
      <c r="R467" s="4" t="str">
        <f t="shared" si="52"/>
        <v>Weekday</v>
      </c>
      <c r="S467" s="4" t="str">
        <f t="shared" si="53"/>
        <v>Regular</v>
      </c>
    </row>
    <row r="468" spans="1:19" x14ac:dyDescent="0.3">
      <c r="A468">
        <v>7288</v>
      </c>
      <c r="B468" t="s">
        <v>0</v>
      </c>
      <c r="C468" s="1">
        <v>45731</v>
      </c>
      <c r="D468" t="s">
        <v>23</v>
      </c>
      <c r="E468" t="s">
        <v>29</v>
      </c>
      <c r="F468">
        <v>4</v>
      </c>
      <c r="G468">
        <v>1.68</v>
      </c>
      <c r="H468">
        <v>6.72</v>
      </c>
      <c r="I468" t="str">
        <f t="shared" si="49"/>
        <v>Low</v>
      </c>
      <c r="J468">
        <v>1.34</v>
      </c>
      <c r="K468">
        <f t="shared" si="54"/>
        <v>5.38</v>
      </c>
      <c r="L468" t="str">
        <f t="shared" si="55"/>
        <v>March</v>
      </c>
      <c r="M468">
        <f>YEAR(C468)</f>
        <v>2025</v>
      </c>
      <c r="N468">
        <v>85</v>
      </c>
      <c r="O468" t="str">
        <f>IF(N468&gt;=200,"Platinum",IF(N468&gt;=100,"Gold",IF(N468&gt;=50,"Silver","Regular")))</f>
        <v>Silver</v>
      </c>
      <c r="P468" s="4" t="str">
        <f t="shared" si="50"/>
        <v>Saturday</v>
      </c>
      <c r="Q468" s="4" t="str">
        <f t="shared" si="51"/>
        <v>Medium Order</v>
      </c>
      <c r="R468" s="4" t="str">
        <f t="shared" si="52"/>
        <v>Weekend</v>
      </c>
      <c r="S468" s="4" t="str">
        <f t="shared" si="53"/>
        <v>Regular</v>
      </c>
    </row>
    <row r="469" spans="1:19" x14ac:dyDescent="0.3">
      <c r="A469">
        <v>8412</v>
      </c>
      <c r="B469" t="s">
        <v>49</v>
      </c>
      <c r="C469" s="1">
        <v>45392</v>
      </c>
      <c r="D469" t="s">
        <v>17</v>
      </c>
      <c r="E469" t="s">
        <v>22</v>
      </c>
      <c r="F469">
        <v>1</v>
      </c>
      <c r="G469">
        <v>3.21</v>
      </c>
      <c r="H469">
        <v>3.21</v>
      </c>
      <c r="I469" t="str">
        <f t="shared" si="49"/>
        <v>Low</v>
      </c>
      <c r="J469">
        <v>0.64</v>
      </c>
      <c r="K469">
        <f t="shared" si="54"/>
        <v>2.57</v>
      </c>
      <c r="L469" t="str">
        <f t="shared" si="55"/>
        <v>April</v>
      </c>
      <c r="M469">
        <f>YEAR(C469)</f>
        <v>2024</v>
      </c>
      <c r="N469">
        <v>190</v>
      </c>
      <c r="O469" t="str">
        <f>IF(N469&gt;=200,"Platinum",IF(N469&gt;=100,"Gold",IF(N469&gt;=50,"Silver","Regular")))</f>
        <v>Gold</v>
      </c>
      <c r="P469" s="4" t="str">
        <f t="shared" si="50"/>
        <v>Wednesday</v>
      </c>
      <c r="Q469" s="4" t="str">
        <f t="shared" si="51"/>
        <v>Small Order</v>
      </c>
      <c r="R469" s="4" t="str">
        <f t="shared" si="52"/>
        <v>Weekday</v>
      </c>
      <c r="S469" s="4" t="str">
        <f t="shared" si="53"/>
        <v>Regular</v>
      </c>
    </row>
    <row r="470" spans="1:19" x14ac:dyDescent="0.3">
      <c r="A470">
        <v>3815</v>
      </c>
      <c r="B470" t="s">
        <v>19</v>
      </c>
      <c r="C470" s="1">
        <v>45767</v>
      </c>
      <c r="D470" t="s">
        <v>11</v>
      </c>
      <c r="E470" t="s">
        <v>22</v>
      </c>
      <c r="F470">
        <v>1</v>
      </c>
      <c r="G470">
        <v>4.0199999999999996</v>
      </c>
      <c r="H470">
        <v>4.0199999999999996</v>
      </c>
      <c r="I470" t="str">
        <f t="shared" si="49"/>
        <v>Low</v>
      </c>
      <c r="J470">
        <v>0.8</v>
      </c>
      <c r="K470">
        <f t="shared" si="54"/>
        <v>3.2199999999999998</v>
      </c>
      <c r="L470" t="str">
        <f t="shared" si="55"/>
        <v>April</v>
      </c>
      <c r="M470">
        <f>YEAR(C470)</f>
        <v>2025</v>
      </c>
      <c r="N470">
        <v>26</v>
      </c>
      <c r="O470" t="str">
        <f>IF(N470&gt;=200,"Platinum",IF(N470&gt;=100,"Gold",IF(N470&gt;=50,"Silver","Regular")))</f>
        <v>Regular</v>
      </c>
      <c r="P470" s="4" t="str">
        <f t="shared" si="50"/>
        <v>Sunday</v>
      </c>
      <c r="Q470" s="4" t="str">
        <f t="shared" si="51"/>
        <v>Small Order</v>
      </c>
      <c r="R470" s="4" t="str">
        <f t="shared" si="52"/>
        <v>Weekend</v>
      </c>
      <c r="S470" s="4" t="str">
        <f t="shared" si="53"/>
        <v>Regular</v>
      </c>
    </row>
    <row r="471" spans="1:19" x14ac:dyDescent="0.3">
      <c r="A471">
        <v>5005</v>
      </c>
      <c r="B471" t="s">
        <v>15</v>
      </c>
      <c r="C471" s="1">
        <v>45211</v>
      </c>
      <c r="D471" t="s">
        <v>24</v>
      </c>
      <c r="E471" t="s">
        <v>14</v>
      </c>
      <c r="F471">
        <v>1</v>
      </c>
      <c r="G471">
        <v>20.239999999999998</v>
      </c>
      <c r="H471">
        <v>20.239999999999998</v>
      </c>
      <c r="I471" t="str">
        <f t="shared" si="49"/>
        <v>Low</v>
      </c>
      <c r="J471">
        <v>4.0199999999999996</v>
      </c>
      <c r="K471">
        <f t="shared" si="54"/>
        <v>16.22</v>
      </c>
      <c r="L471" t="str">
        <f t="shared" si="55"/>
        <v>October</v>
      </c>
      <c r="M471">
        <f>YEAR(C471)</f>
        <v>2023</v>
      </c>
      <c r="N471">
        <v>75</v>
      </c>
      <c r="O471" t="str">
        <f>IF(N471&gt;=200,"Platinum",IF(N471&gt;=100,"Gold",IF(N471&gt;=50,"Silver","Regular")))</f>
        <v>Silver</v>
      </c>
      <c r="P471" s="4" t="str">
        <f t="shared" si="50"/>
        <v>Thursday</v>
      </c>
      <c r="Q471" s="4" t="str">
        <f t="shared" si="51"/>
        <v>Small Order</v>
      </c>
      <c r="R471" s="4" t="str">
        <f t="shared" si="52"/>
        <v>Weekday</v>
      </c>
      <c r="S471" s="4" t="str">
        <f t="shared" si="53"/>
        <v>Regular</v>
      </c>
    </row>
    <row r="472" spans="1:19" x14ac:dyDescent="0.3">
      <c r="A472">
        <v>9031</v>
      </c>
      <c r="B472" t="s">
        <v>20</v>
      </c>
      <c r="C472" s="1">
        <v>45226</v>
      </c>
      <c r="D472" t="s">
        <v>24</v>
      </c>
      <c r="E472" t="s">
        <v>18</v>
      </c>
      <c r="F472">
        <v>1</v>
      </c>
      <c r="G472">
        <v>1.36</v>
      </c>
      <c r="H472">
        <v>1.36</v>
      </c>
      <c r="I472" t="str">
        <f t="shared" si="49"/>
        <v>Low</v>
      </c>
      <c r="J472">
        <v>0.27</v>
      </c>
      <c r="K472">
        <f t="shared" si="54"/>
        <v>1.0900000000000001</v>
      </c>
      <c r="L472" t="str">
        <f t="shared" si="55"/>
        <v>October</v>
      </c>
      <c r="M472">
        <f>YEAR(C472)</f>
        <v>2023</v>
      </c>
      <c r="N472">
        <v>70</v>
      </c>
      <c r="O472" t="str">
        <f>IF(N472&gt;=200,"Platinum",IF(N472&gt;=100,"Gold",IF(N472&gt;=50,"Silver","Regular")))</f>
        <v>Silver</v>
      </c>
      <c r="P472" s="4" t="str">
        <f t="shared" si="50"/>
        <v>Friday</v>
      </c>
      <c r="Q472" s="4" t="str">
        <f t="shared" si="51"/>
        <v>Small Order</v>
      </c>
      <c r="R472" s="4" t="str">
        <f t="shared" si="52"/>
        <v>Weekday</v>
      </c>
      <c r="S472" s="4" t="str">
        <f t="shared" si="53"/>
        <v>Regular</v>
      </c>
    </row>
    <row r="473" spans="1:19" x14ac:dyDescent="0.3">
      <c r="A473">
        <v>6095</v>
      </c>
      <c r="B473" t="s">
        <v>3</v>
      </c>
      <c r="C473" s="1">
        <v>45681</v>
      </c>
      <c r="D473" t="s">
        <v>34</v>
      </c>
      <c r="E473" t="s">
        <v>30</v>
      </c>
      <c r="F473">
        <v>1</v>
      </c>
      <c r="G473">
        <v>2.72</v>
      </c>
      <c r="H473">
        <v>2.72</v>
      </c>
      <c r="I473" t="str">
        <f t="shared" si="49"/>
        <v>Low</v>
      </c>
      <c r="J473">
        <v>0.54</v>
      </c>
      <c r="K473">
        <f t="shared" si="54"/>
        <v>2.1800000000000002</v>
      </c>
      <c r="L473" t="str">
        <f t="shared" si="55"/>
        <v>January</v>
      </c>
      <c r="M473">
        <f>YEAR(C473)</f>
        <v>2025</v>
      </c>
      <c r="N473">
        <v>178</v>
      </c>
      <c r="O473" t="str">
        <f>IF(N473&gt;=200,"Platinum",IF(N473&gt;=100,"Gold",IF(N473&gt;=50,"Silver","Regular")))</f>
        <v>Gold</v>
      </c>
      <c r="P473" s="4" t="str">
        <f t="shared" si="50"/>
        <v>Friday</v>
      </c>
      <c r="Q473" s="4" t="str">
        <f t="shared" si="51"/>
        <v>Small Order</v>
      </c>
      <c r="R473" s="4" t="str">
        <f t="shared" si="52"/>
        <v>Weekday</v>
      </c>
      <c r="S473" s="4" t="str">
        <f t="shared" si="53"/>
        <v>Regular</v>
      </c>
    </row>
    <row r="474" spans="1:19" x14ac:dyDescent="0.3">
      <c r="A474">
        <v>3937</v>
      </c>
      <c r="B474" t="s">
        <v>8</v>
      </c>
      <c r="C474" s="1">
        <v>45228</v>
      </c>
      <c r="D474" t="s">
        <v>9</v>
      </c>
      <c r="E474" t="s">
        <v>5</v>
      </c>
      <c r="F474">
        <v>5</v>
      </c>
      <c r="G474">
        <v>4.99</v>
      </c>
      <c r="H474">
        <v>24.95</v>
      </c>
      <c r="I474" t="str">
        <f t="shared" si="49"/>
        <v>Low</v>
      </c>
      <c r="J474">
        <v>4.93</v>
      </c>
      <c r="K474">
        <f t="shared" si="54"/>
        <v>20.02</v>
      </c>
      <c r="L474" t="str">
        <f t="shared" si="55"/>
        <v>October</v>
      </c>
      <c r="M474">
        <f>YEAR(C474)</f>
        <v>2023</v>
      </c>
      <c r="N474">
        <v>224</v>
      </c>
      <c r="O474" t="str">
        <f>IF(N474&gt;=200,"Platinum",IF(N474&gt;=100,"Gold",IF(N474&gt;=50,"Silver","Regular")))</f>
        <v>Platinum</v>
      </c>
      <c r="P474" s="4" t="str">
        <f t="shared" si="50"/>
        <v>Sunday</v>
      </c>
      <c r="Q474" s="4" t="str">
        <f t="shared" si="51"/>
        <v>Medium Order</v>
      </c>
      <c r="R474" s="4" t="str">
        <f t="shared" si="52"/>
        <v>Weekend</v>
      </c>
      <c r="S474" s="4" t="str">
        <f t="shared" si="53"/>
        <v>Regular</v>
      </c>
    </row>
    <row r="475" spans="1:19" x14ac:dyDescent="0.3">
      <c r="A475">
        <v>3545</v>
      </c>
      <c r="B475" t="s">
        <v>3</v>
      </c>
      <c r="C475" s="1">
        <v>45561</v>
      </c>
      <c r="D475" t="s">
        <v>16</v>
      </c>
      <c r="E475" t="s">
        <v>29</v>
      </c>
      <c r="F475">
        <v>1</v>
      </c>
      <c r="G475">
        <v>23.81</v>
      </c>
      <c r="H475">
        <v>23.81</v>
      </c>
      <c r="I475" t="str">
        <f t="shared" si="49"/>
        <v>Low</v>
      </c>
      <c r="J475">
        <v>4.68</v>
      </c>
      <c r="K475">
        <f t="shared" si="54"/>
        <v>19.13</v>
      </c>
      <c r="L475" t="str">
        <f t="shared" si="55"/>
        <v>September</v>
      </c>
      <c r="M475">
        <f>YEAR(C475)</f>
        <v>2024</v>
      </c>
      <c r="N475">
        <v>43</v>
      </c>
      <c r="O475" t="str">
        <f>IF(N475&gt;=200,"Platinum",IF(N475&gt;=100,"Gold",IF(N475&gt;=50,"Silver","Regular")))</f>
        <v>Regular</v>
      </c>
      <c r="P475" s="4" t="str">
        <f t="shared" si="50"/>
        <v>Thursday</v>
      </c>
      <c r="Q475" s="4" t="str">
        <f t="shared" si="51"/>
        <v>Small Order</v>
      </c>
      <c r="R475" s="4" t="str">
        <f t="shared" si="52"/>
        <v>Weekday</v>
      </c>
      <c r="S475" s="4" t="str">
        <f t="shared" si="53"/>
        <v>Regular</v>
      </c>
    </row>
    <row r="476" spans="1:19" x14ac:dyDescent="0.3">
      <c r="A476">
        <v>3258</v>
      </c>
      <c r="B476" t="s">
        <v>0</v>
      </c>
      <c r="C476" s="1">
        <v>45591</v>
      </c>
      <c r="D476" t="s">
        <v>11</v>
      </c>
      <c r="E476" t="s">
        <v>14</v>
      </c>
      <c r="F476">
        <v>3</v>
      </c>
      <c r="G476">
        <v>6.98</v>
      </c>
      <c r="H476">
        <v>20.94</v>
      </c>
      <c r="I476" t="str">
        <f t="shared" si="49"/>
        <v>Low</v>
      </c>
      <c r="J476">
        <v>4.1100000000000003</v>
      </c>
      <c r="K476">
        <f t="shared" si="54"/>
        <v>16.830000000000002</v>
      </c>
      <c r="L476" t="str">
        <f t="shared" si="55"/>
        <v>October</v>
      </c>
      <c r="M476">
        <f>YEAR(C476)</f>
        <v>2024</v>
      </c>
      <c r="N476">
        <v>76</v>
      </c>
      <c r="O476" t="str">
        <f>IF(N476&gt;=200,"Platinum",IF(N476&gt;=100,"Gold",IF(N476&gt;=50,"Silver","Regular")))</f>
        <v>Silver</v>
      </c>
      <c r="P476" s="4" t="str">
        <f t="shared" si="50"/>
        <v>Saturday</v>
      </c>
      <c r="Q476" s="4" t="str">
        <f t="shared" si="51"/>
        <v>Medium Order</v>
      </c>
      <c r="R476" s="4" t="str">
        <f t="shared" si="52"/>
        <v>Weekend</v>
      </c>
      <c r="S476" s="4" t="str">
        <f t="shared" si="53"/>
        <v>Regular</v>
      </c>
    </row>
    <row r="477" spans="1:19" x14ac:dyDescent="0.3">
      <c r="A477">
        <v>3683</v>
      </c>
      <c r="B477" t="s">
        <v>31</v>
      </c>
      <c r="C477" s="1">
        <v>45386</v>
      </c>
      <c r="D477" t="s">
        <v>9</v>
      </c>
      <c r="E477" t="s">
        <v>32</v>
      </c>
      <c r="F477">
        <v>1</v>
      </c>
      <c r="G477">
        <v>1.02</v>
      </c>
      <c r="H477">
        <v>1.02</v>
      </c>
      <c r="I477" t="str">
        <f t="shared" si="49"/>
        <v>Low</v>
      </c>
      <c r="J477">
        <v>0.2</v>
      </c>
      <c r="K477">
        <f t="shared" si="54"/>
        <v>0.82000000000000006</v>
      </c>
      <c r="L477" t="str">
        <f t="shared" si="55"/>
        <v>April</v>
      </c>
      <c r="M477">
        <f>YEAR(C477)</f>
        <v>2024</v>
      </c>
      <c r="N477">
        <v>244</v>
      </c>
      <c r="O477" t="str">
        <f>IF(N477&gt;=200,"Platinum",IF(N477&gt;=100,"Gold",IF(N477&gt;=50,"Silver","Regular")))</f>
        <v>Platinum</v>
      </c>
      <c r="P477" s="4" t="str">
        <f t="shared" si="50"/>
        <v>Thursday</v>
      </c>
      <c r="Q477" s="4" t="str">
        <f t="shared" si="51"/>
        <v>Small Order</v>
      </c>
      <c r="R477" s="4" t="str">
        <f t="shared" si="52"/>
        <v>Weekday</v>
      </c>
      <c r="S477" s="4" t="str">
        <f t="shared" si="53"/>
        <v>Regular</v>
      </c>
    </row>
    <row r="478" spans="1:19" x14ac:dyDescent="0.3">
      <c r="A478">
        <v>1224</v>
      </c>
      <c r="B478" t="s">
        <v>25</v>
      </c>
      <c r="C478" s="1">
        <v>45573</v>
      </c>
      <c r="D478" t="s">
        <v>11</v>
      </c>
      <c r="E478" t="s">
        <v>12</v>
      </c>
      <c r="F478">
        <v>3</v>
      </c>
      <c r="G478">
        <v>7.32</v>
      </c>
      <c r="H478">
        <v>21.96</v>
      </c>
      <c r="I478" t="str">
        <f t="shared" si="49"/>
        <v>Low</v>
      </c>
      <c r="J478">
        <v>4.29</v>
      </c>
      <c r="K478">
        <f t="shared" si="54"/>
        <v>17.670000000000002</v>
      </c>
      <c r="L478" t="str">
        <f t="shared" si="55"/>
        <v>October</v>
      </c>
      <c r="M478">
        <f>YEAR(C478)</f>
        <v>2024</v>
      </c>
      <c r="N478">
        <v>385</v>
      </c>
      <c r="O478" t="str">
        <f>IF(N478&gt;=200,"Platinum",IF(N478&gt;=100,"Gold",IF(N478&gt;=50,"Silver","Regular")))</f>
        <v>Platinum</v>
      </c>
      <c r="P478" s="4" t="str">
        <f t="shared" si="50"/>
        <v>Tuesday</v>
      </c>
      <c r="Q478" s="4" t="str">
        <f t="shared" si="51"/>
        <v>Medium Order</v>
      </c>
      <c r="R478" s="4" t="str">
        <f t="shared" si="52"/>
        <v>Weekday</v>
      </c>
      <c r="S478" s="4" t="str">
        <f t="shared" si="53"/>
        <v>Regular</v>
      </c>
    </row>
    <row r="479" spans="1:19" x14ac:dyDescent="0.3">
      <c r="A479">
        <v>3927</v>
      </c>
      <c r="B479" t="s">
        <v>31</v>
      </c>
      <c r="C479" s="1">
        <v>45539</v>
      </c>
      <c r="D479" t="s">
        <v>4</v>
      </c>
      <c r="E479" t="s">
        <v>14</v>
      </c>
      <c r="F479">
        <v>1</v>
      </c>
      <c r="G479">
        <v>21.21</v>
      </c>
      <c r="H479">
        <v>21.21</v>
      </c>
      <c r="I479" t="str">
        <f t="shared" si="49"/>
        <v>Low</v>
      </c>
      <c r="J479">
        <v>4.13</v>
      </c>
      <c r="K479">
        <f t="shared" si="54"/>
        <v>17.080000000000002</v>
      </c>
      <c r="L479" t="str">
        <f t="shared" si="55"/>
        <v>September</v>
      </c>
      <c r="M479">
        <f>YEAR(C479)</f>
        <v>2024</v>
      </c>
      <c r="N479">
        <v>154</v>
      </c>
      <c r="O479" t="str">
        <f>IF(N479&gt;=200,"Platinum",IF(N479&gt;=100,"Gold",IF(N479&gt;=50,"Silver","Regular")))</f>
        <v>Gold</v>
      </c>
      <c r="P479" s="4" t="str">
        <f t="shared" si="50"/>
        <v>Wednesday</v>
      </c>
      <c r="Q479" s="4" t="str">
        <f t="shared" si="51"/>
        <v>Small Order</v>
      </c>
      <c r="R479" s="4" t="str">
        <f t="shared" si="52"/>
        <v>Weekday</v>
      </c>
      <c r="S479" s="4" t="str">
        <f t="shared" si="53"/>
        <v>Regular</v>
      </c>
    </row>
    <row r="480" spans="1:19" x14ac:dyDescent="0.3">
      <c r="A480">
        <v>3230</v>
      </c>
      <c r="B480" t="s">
        <v>0</v>
      </c>
      <c r="C480" s="1">
        <v>45378</v>
      </c>
      <c r="D480" t="s">
        <v>6</v>
      </c>
      <c r="E480" t="s">
        <v>2</v>
      </c>
      <c r="F480">
        <v>2</v>
      </c>
      <c r="G480">
        <v>8.6199999999999992</v>
      </c>
      <c r="H480">
        <v>17.239999999999998</v>
      </c>
      <c r="I480" t="str">
        <f t="shared" si="49"/>
        <v>Low</v>
      </c>
      <c r="J480">
        <v>3.35</v>
      </c>
      <c r="K480">
        <f t="shared" si="54"/>
        <v>13.889999999999999</v>
      </c>
      <c r="L480" t="str">
        <f t="shared" si="55"/>
        <v>March</v>
      </c>
      <c r="M480">
        <f>YEAR(C480)</f>
        <v>2024</v>
      </c>
      <c r="N480">
        <v>52</v>
      </c>
      <c r="O480" t="str">
        <f>IF(N480&gt;=200,"Platinum",IF(N480&gt;=100,"Gold",IF(N480&gt;=50,"Silver","Regular")))</f>
        <v>Silver</v>
      </c>
      <c r="P480" s="4" t="str">
        <f t="shared" si="50"/>
        <v>Wednesday</v>
      </c>
      <c r="Q480" s="4" t="str">
        <f t="shared" si="51"/>
        <v>Small Order</v>
      </c>
      <c r="R480" s="4" t="str">
        <f t="shared" si="52"/>
        <v>Weekday</v>
      </c>
      <c r="S480" s="4" t="str">
        <f t="shared" si="53"/>
        <v>Regular</v>
      </c>
    </row>
    <row r="481" spans="1:19" x14ac:dyDescent="0.3">
      <c r="A481">
        <v>2880</v>
      </c>
      <c r="B481" t="s">
        <v>20</v>
      </c>
      <c r="C481" s="1">
        <v>45567</v>
      </c>
      <c r="D481" t="s">
        <v>1</v>
      </c>
      <c r="E481" t="s">
        <v>22</v>
      </c>
      <c r="F481">
        <v>3</v>
      </c>
      <c r="G481">
        <v>7.06</v>
      </c>
      <c r="H481">
        <v>21.18</v>
      </c>
      <c r="I481" t="str">
        <f t="shared" si="49"/>
        <v>Low</v>
      </c>
      <c r="J481">
        <v>4.0599999999999996</v>
      </c>
      <c r="K481">
        <f t="shared" si="54"/>
        <v>17.12</v>
      </c>
      <c r="L481" t="str">
        <f t="shared" si="55"/>
        <v>October</v>
      </c>
      <c r="M481">
        <f>YEAR(C481)</f>
        <v>2024</v>
      </c>
      <c r="N481">
        <v>396</v>
      </c>
      <c r="O481" t="str">
        <f>IF(N481&gt;=200,"Platinum",IF(N481&gt;=100,"Gold",IF(N481&gt;=50,"Silver","Regular")))</f>
        <v>Platinum</v>
      </c>
      <c r="P481" s="4" t="str">
        <f t="shared" si="50"/>
        <v>Wednesday</v>
      </c>
      <c r="Q481" s="4" t="str">
        <f t="shared" si="51"/>
        <v>Medium Order</v>
      </c>
      <c r="R481" s="4" t="str">
        <f t="shared" si="52"/>
        <v>Weekday</v>
      </c>
      <c r="S481" s="4" t="str">
        <f t="shared" si="53"/>
        <v>Regular</v>
      </c>
    </row>
    <row r="482" spans="1:19" x14ac:dyDescent="0.3">
      <c r="A482">
        <v>8793</v>
      </c>
      <c r="B482" t="s">
        <v>3</v>
      </c>
      <c r="C482" s="1">
        <v>45515</v>
      </c>
      <c r="D482" t="s">
        <v>1</v>
      </c>
      <c r="E482" t="s">
        <v>14</v>
      </c>
      <c r="F482">
        <v>1</v>
      </c>
      <c r="G482">
        <v>20.66</v>
      </c>
      <c r="H482">
        <v>20.66</v>
      </c>
      <c r="I482" t="str">
        <f t="shared" si="49"/>
        <v>Low</v>
      </c>
      <c r="J482">
        <v>3.95</v>
      </c>
      <c r="K482">
        <f t="shared" si="54"/>
        <v>16.71</v>
      </c>
      <c r="L482" t="str">
        <f t="shared" si="55"/>
        <v>August</v>
      </c>
      <c r="M482">
        <f>YEAR(C482)</f>
        <v>2024</v>
      </c>
      <c r="N482">
        <v>175</v>
      </c>
      <c r="O482" t="str">
        <f>IF(N482&gt;=200,"Platinum",IF(N482&gt;=100,"Gold",IF(N482&gt;=50,"Silver","Regular")))</f>
        <v>Gold</v>
      </c>
      <c r="P482" s="4" t="str">
        <f t="shared" si="50"/>
        <v>Sunday</v>
      </c>
      <c r="Q482" s="4" t="str">
        <f t="shared" si="51"/>
        <v>Small Order</v>
      </c>
      <c r="R482" s="4" t="str">
        <f t="shared" si="52"/>
        <v>Weekend</v>
      </c>
      <c r="S482" s="4" t="str">
        <f t="shared" si="53"/>
        <v>Regular</v>
      </c>
    </row>
    <row r="483" spans="1:19" x14ac:dyDescent="0.3">
      <c r="A483">
        <v>5844</v>
      </c>
      <c r="B483" t="s">
        <v>31</v>
      </c>
      <c r="C483" s="1">
        <v>45575</v>
      </c>
      <c r="D483" t="s">
        <v>27</v>
      </c>
      <c r="E483" t="s">
        <v>29</v>
      </c>
      <c r="F483">
        <v>2</v>
      </c>
      <c r="G483">
        <v>13.11</v>
      </c>
      <c r="H483">
        <v>26.22</v>
      </c>
      <c r="I483" t="str">
        <f t="shared" si="49"/>
        <v>Low</v>
      </c>
      <c r="J483">
        <v>4.99</v>
      </c>
      <c r="K483">
        <f t="shared" si="54"/>
        <v>21.229999999999997</v>
      </c>
      <c r="L483" t="str">
        <f t="shared" si="55"/>
        <v>October</v>
      </c>
      <c r="M483">
        <f>YEAR(C483)</f>
        <v>2024</v>
      </c>
      <c r="N483">
        <v>428</v>
      </c>
      <c r="O483" t="str">
        <f>IF(N483&gt;=200,"Platinum",IF(N483&gt;=100,"Gold",IF(N483&gt;=50,"Silver","Regular")))</f>
        <v>Platinum</v>
      </c>
      <c r="P483" s="4" t="str">
        <f t="shared" si="50"/>
        <v>Thursday</v>
      </c>
      <c r="Q483" s="4" t="str">
        <f t="shared" si="51"/>
        <v>Small Order</v>
      </c>
      <c r="R483" s="4" t="str">
        <f t="shared" si="52"/>
        <v>Weekday</v>
      </c>
      <c r="S483" s="4" t="str">
        <f t="shared" si="53"/>
        <v>Regular</v>
      </c>
    </row>
    <row r="484" spans="1:19" x14ac:dyDescent="0.3">
      <c r="A484">
        <v>7046</v>
      </c>
      <c r="B484" t="s">
        <v>31</v>
      </c>
      <c r="C484" s="1">
        <v>45512</v>
      </c>
      <c r="D484" t="s">
        <v>24</v>
      </c>
      <c r="E484" t="s">
        <v>7</v>
      </c>
      <c r="F484">
        <v>1</v>
      </c>
      <c r="G484">
        <v>23.15</v>
      </c>
      <c r="H484">
        <v>23.15</v>
      </c>
      <c r="I484" t="str">
        <f t="shared" si="49"/>
        <v>Low</v>
      </c>
      <c r="J484">
        <v>4.3899999999999997</v>
      </c>
      <c r="K484">
        <f t="shared" si="54"/>
        <v>18.759999999999998</v>
      </c>
      <c r="L484" t="str">
        <f t="shared" si="55"/>
        <v>August</v>
      </c>
      <c r="M484">
        <f>YEAR(C484)</f>
        <v>2024</v>
      </c>
      <c r="N484">
        <v>485</v>
      </c>
      <c r="O484" t="str">
        <f>IF(N484&gt;=200,"Platinum",IF(N484&gt;=100,"Gold",IF(N484&gt;=50,"Silver","Regular")))</f>
        <v>Platinum</v>
      </c>
      <c r="P484" s="4" t="str">
        <f t="shared" si="50"/>
        <v>Thursday</v>
      </c>
      <c r="Q484" s="4" t="str">
        <f t="shared" si="51"/>
        <v>Small Order</v>
      </c>
      <c r="R484" s="4" t="str">
        <f t="shared" si="52"/>
        <v>Weekday</v>
      </c>
      <c r="S484" s="4" t="str">
        <f t="shared" si="53"/>
        <v>Regular</v>
      </c>
    </row>
    <row r="485" spans="1:19" x14ac:dyDescent="0.3">
      <c r="A485">
        <v>4912</v>
      </c>
      <c r="B485" t="s">
        <v>31</v>
      </c>
      <c r="C485" s="1">
        <v>45589</v>
      </c>
      <c r="D485" t="s">
        <v>17</v>
      </c>
      <c r="E485" t="s">
        <v>18</v>
      </c>
      <c r="F485">
        <v>5</v>
      </c>
      <c r="G485">
        <v>5.0599999999999996</v>
      </c>
      <c r="H485">
        <v>25.3</v>
      </c>
      <c r="I485" t="str">
        <f t="shared" si="49"/>
        <v>Low</v>
      </c>
      <c r="J485">
        <v>4.79</v>
      </c>
      <c r="K485">
        <f t="shared" si="54"/>
        <v>20.51</v>
      </c>
      <c r="L485" t="str">
        <f t="shared" si="55"/>
        <v>October</v>
      </c>
      <c r="M485">
        <f>YEAR(C485)</f>
        <v>2024</v>
      </c>
      <c r="N485">
        <v>81</v>
      </c>
      <c r="O485" t="str">
        <f>IF(N485&gt;=200,"Platinum",IF(N485&gt;=100,"Gold",IF(N485&gt;=50,"Silver","Regular")))</f>
        <v>Silver</v>
      </c>
      <c r="P485" s="4" t="str">
        <f t="shared" si="50"/>
        <v>Thursday</v>
      </c>
      <c r="Q485" s="4" t="str">
        <f t="shared" si="51"/>
        <v>Medium Order</v>
      </c>
      <c r="R485" s="4" t="str">
        <f t="shared" si="52"/>
        <v>Weekday</v>
      </c>
      <c r="S485" s="4" t="str">
        <f t="shared" si="53"/>
        <v>Regular</v>
      </c>
    </row>
    <row r="486" spans="1:19" x14ac:dyDescent="0.3">
      <c r="A486">
        <v>4978</v>
      </c>
      <c r="B486" t="s">
        <v>13</v>
      </c>
      <c r="C486" s="1">
        <v>45224</v>
      </c>
      <c r="D486" t="s">
        <v>11</v>
      </c>
      <c r="E486" t="s">
        <v>30</v>
      </c>
      <c r="F486">
        <v>2</v>
      </c>
      <c r="G486">
        <v>9.02</v>
      </c>
      <c r="H486">
        <v>18.04</v>
      </c>
      <c r="I486" t="str">
        <f t="shared" si="49"/>
        <v>Low</v>
      </c>
      <c r="J486">
        <v>3.4</v>
      </c>
      <c r="K486">
        <f t="shared" si="54"/>
        <v>14.639999999999999</v>
      </c>
      <c r="L486" t="str">
        <f t="shared" si="55"/>
        <v>October</v>
      </c>
      <c r="M486">
        <f>YEAR(C486)</f>
        <v>2023</v>
      </c>
      <c r="N486">
        <v>43</v>
      </c>
      <c r="O486" t="str">
        <f>IF(N486&gt;=200,"Platinum",IF(N486&gt;=100,"Gold",IF(N486&gt;=50,"Silver","Regular")))</f>
        <v>Regular</v>
      </c>
      <c r="P486" s="4" t="str">
        <f t="shared" si="50"/>
        <v>Wednesday</v>
      </c>
      <c r="Q486" s="4" t="str">
        <f t="shared" si="51"/>
        <v>Small Order</v>
      </c>
      <c r="R486" s="4" t="str">
        <f t="shared" si="52"/>
        <v>Weekday</v>
      </c>
      <c r="S486" s="4" t="str">
        <f t="shared" si="53"/>
        <v>Regular</v>
      </c>
    </row>
    <row r="487" spans="1:19" x14ac:dyDescent="0.3">
      <c r="A487">
        <v>2934</v>
      </c>
      <c r="B487" t="s">
        <v>0</v>
      </c>
      <c r="C487" s="1">
        <v>45744</v>
      </c>
      <c r="D487" t="s">
        <v>6</v>
      </c>
      <c r="E487" t="s">
        <v>32</v>
      </c>
      <c r="F487">
        <v>2</v>
      </c>
      <c r="G487">
        <v>11.82</v>
      </c>
      <c r="H487">
        <v>23.64</v>
      </c>
      <c r="I487" t="str">
        <f t="shared" si="49"/>
        <v>Low</v>
      </c>
      <c r="J487">
        <v>4.45</v>
      </c>
      <c r="K487">
        <f t="shared" si="54"/>
        <v>19.190000000000001</v>
      </c>
      <c r="L487" t="str">
        <f t="shared" si="55"/>
        <v>March</v>
      </c>
      <c r="M487">
        <f>YEAR(C487)</f>
        <v>2025</v>
      </c>
      <c r="N487">
        <v>78</v>
      </c>
      <c r="O487" t="str">
        <f>IF(N487&gt;=200,"Platinum",IF(N487&gt;=100,"Gold",IF(N487&gt;=50,"Silver","Regular")))</f>
        <v>Silver</v>
      </c>
      <c r="P487" s="4" t="str">
        <f t="shared" si="50"/>
        <v>Friday</v>
      </c>
      <c r="Q487" s="4" t="str">
        <f t="shared" si="51"/>
        <v>Small Order</v>
      </c>
      <c r="R487" s="4" t="str">
        <f t="shared" si="52"/>
        <v>Weekday</v>
      </c>
      <c r="S487" s="4" t="str">
        <f t="shared" si="53"/>
        <v>Regular</v>
      </c>
    </row>
    <row r="488" spans="1:19" x14ac:dyDescent="0.3">
      <c r="A488">
        <v>5402</v>
      </c>
      <c r="B488" t="s">
        <v>3</v>
      </c>
      <c r="C488" s="1">
        <v>45632</v>
      </c>
      <c r="D488" t="s">
        <v>27</v>
      </c>
      <c r="E488" t="s">
        <v>2</v>
      </c>
      <c r="F488">
        <v>2</v>
      </c>
      <c r="G488">
        <v>10.5</v>
      </c>
      <c r="H488">
        <v>21</v>
      </c>
      <c r="I488" t="str">
        <f t="shared" si="49"/>
        <v>Low</v>
      </c>
      <c r="J488">
        <v>3.95</v>
      </c>
      <c r="K488">
        <f t="shared" si="54"/>
        <v>17.05</v>
      </c>
      <c r="L488" t="str">
        <f t="shared" si="55"/>
        <v>December</v>
      </c>
      <c r="M488">
        <f>YEAR(C488)</f>
        <v>2024</v>
      </c>
      <c r="N488">
        <v>191</v>
      </c>
      <c r="O488" t="str">
        <f>IF(N488&gt;=200,"Platinum",IF(N488&gt;=100,"Gold",IF(N488&gt;=50,"Silver","Regular")))</f>
        <v>Gold</v>
      </c>
      <c r="P488" s="4" t="str">
        <f t="shared" si="50"/>
        <v>Friday</v>
      </c>
      <c r="Q488" s="4" t="str">
        <f t="shared" si="51"/>
        <v>Small Order</v>
      </c>
      <c r="R488" s="4" t="str">
        <f t="shared" si="52"/>
        <v>Weekday</v>
      </c>
      <c r="S488" s="4" t="str">
        <f t="shared" si="53"/>
        <v>Regular</v>
      </c>
    </row>
    <row r="489" spans="1:19" x14ac:dyDescent="0.3">
      <c r="A489">
        <v>8912</v>
      </c>
      <c r="B489" t="s">
        <v>19</v>
      </c>
      <c r="C489" s="1">
        <v>45415</v>
      </c>
      <c r="D489" t="s">
        <v>16</v>
      </c>
      <c r="E489" t="s">
        <v>29</v>
      </c>
      <c r="F489">
        <v>5</v>
      </c>
      <c r="G489">
        <v>4.2300000000000004</v>
      </c>
      <c r="H489">
        <v>21.15</v>
      </c>
      <c r="I489" t="str">
        <f t="shared" si="49"/>
        <v>Low</v>
      </c>
      <c r="J489">
        <v>3.95</v>
      </c>
      <c r="K489">
        <f t="shared" si="54"/>
        <v>17.2</v>
      </c>
      <c r="L489" t="str">
        <f t="shared" si="55"/>
        <v>May</v>
      </c>
      <c r="M489">
        <f>YEAR(C489)</f>
        <v>2024</v>
      </c>
      <c r="N489">
        <v>374</v>
      </c>
      <c r="O489" t="str">
        <f>IF(N489&gt;=200,"Platinum",IF(N489&gt;=100,"Gold",IF(N489&gt;=50,"Silver","Regular")))</f>
        <v>Platinum</v>
      </c>
      <c r="P489" s="4" t="str">
        <f t="shared" si="50"/>
        <v>Friday</v>
      </c>
      <c r="Q489" s="4" t="str">
        <f t="shared" si="51"/>
        <v>Medium Order</v>
      </c>
      <c r="R489" s="4" t="str">
        <f t="shared" si="52"/>
        <v>Weekday</v>
      </c>
      <c r="S489" s="4" t="str">
        <f t="shared" si="53"/>
        <v>Regular</v>
      </c>
    </row>
    <row r="490" spans="1:19" x14ac:dyDescent="0.3">
      <c r="A490">
        <v>7626</v>
      </c>
      <c r="B490" t="s">
        <v>13</v>
      </c>
      <c r="C490" s="1">
        <v>45696</v>
      </c>
      <c r="D490" t="s">
        <v>1</v>
      </c>
      <c r="E490" t="s">
        <v>7</v>
      </c>
      <c r="F490">
        <v>2</v>
      </c>
      <c r="G490">
        <v>6.56</v>
      </c>
      <c r="H490">
        <v>13.12</v>
      </c>
      <c r="I490" t="str">
        <f t="shared" si="49"/>
        <v>Low</v>
      </c>
      <c r="J490">
        <v>2.4500000000000002</v>
      </c>
      <c r="K490">
        <f t="shared" si="54"/>
        <v>10.669999999999998</v>
      </c>
      <c r="L490" t="str">
        <f t="shared" si="55"/>
        <v>February</v>
      </c>
      <c r="M490">
        <f>YEAR(C490)</f>
        <v>2025</v>
      </c>
      <c r="N490">
        <v>271</v>
      </c>
      <c r="O490" t="str">
        <f>IF(N490&gt;=200,"Platinum",IF(N490&gt;=100,"Gold",IF(N490&gt;=50,"Silver","Regular")))</f>
        <v>Platinum</v>
      </c>
      <c r="P490" s="4" t="str">
        <f t="shared" si="50"/>
        <v>Saturday</v>
      </c>
      <c r="Q490" s="4" t="str">
        <f t="shared" si="51"/>
        <v>Small Order</v>
      </c>
      <c r="R490" s="4" t="str">
        <f t="shared" si="52"/>
        <v>Weekend</v>
      </c>
      <c r="S490" s="4" t="str">
        <f t="shared" si="53"/>
        <v>Regular</v>
      </c>
    </row>
    <row r="491" spans="1:19" x14ac:dyDescent="0.3">
      <c r="A491">
        <v>8717</v>
      </c>
      <c r="B491" t="s">
        <v>3</v>
      </c>
      <c r="C491" s="1">
        <v>45743</v>
      </c>
      <c r="D491" t="s">
        <v>11</v>
      </c>
      <c r="E491" t="s">
        <v>29</v>
      </c>
      <c r="F491">
        <v>1</v>
      </c>
      <c r="G491">
        <v>20.85</v>
      </c>
      <c r="H491">
        <v>20.85</v>
      </c>
      <c r="I491" t="str">
        <f t="shared" si="49"/>
        <v>Low</v>
      </c>
      <c r="J491">
        <v>3.88</v>
      </c>
      <c r="K491">
        <f t="shared" si="54"/>
        <v>16.970000000000002</v>
      </c>
      <c r="L491" t="str">
        <f t="shared" si="55"/>
        <v>March</v>
      </c>
      <c r="M491">
        <f>YEAR(C491)</f>
        <v>2025</v>
      </c>
      <c r="N491">
        <v>209</v>
      </c>
      <c r="O491" t="str">
        <f>IF(N491&gt;=200,"Platinum",IF(N491&gt;=100,"Gold",IF(N491&gt;=50,"Silver","Regular")))</f>
        <v>Platinum</v>
      </c>
      <c r="P491" s="4" t="str">
        <f t="shared" si="50"/>
        <v>Thursday</v>
      </c>
      <c r="Q491" s="4" t="str">
        <f t="shared" si="51"/>
        <v>Small Order</v>
      </c>
      <c r="R491" s="4" t="str">
        <f t="shared" si="52"/>
        <v>Weekday</v>
      </c>
      <c r="S491" s="4" t="str">
        <f t="shared" si="53"/>
        <v>Regular</v>
      </c>
    </row>
    <row r="492" spans="1:19" x14ac:dyDescent="0.3">
      <c r="A492">
        <v>4185</v>
      </c>
      <c r="B492" t="s">
        <v>19</v>
      </c>
      <c r="C492" s="1">
        <v>45702</v>
      </c>
      <c r="D492" t="s">
        <v>23</v>
      </c>
      <c r="E492" t="s">
        <v>35</v>
      </c>
      <c r="F492">
        <v>2</v>
      </c>
      <c r="G492">
        <v>12.98</v>
      </c>
      <c r="H492">
        <v>25.96</v>
      </c>
      <c r="I492" t="str">
        <f t="shared" si="49"/>
        <v>Low</v>
      </c>
      <c r="J492">
        <v>4.79</v>
      </c>
      <c r="K492">
        <f t="shared" si="54"/>
        <v>21.17</v>
      </c>
      <c r="L492" t="str">
        <f t="shared" si="55"/>
        <v>February</v>
      </c>
      <c r="M492">
        <f>YEAR(C492)</f>
        <v>2025</v>
      </c>
      <c r="N492">
        <v>140</v>
      </c>
      <c r="O492" t="str">
        <f>IF(N492&gt;=200,"Platinum",IF(N492&gt;=100,"Gold",IF(N492&gt;=50,"Silver","Regular")))</f>
        <v>Gold</v>
      </c>
      <c r="P492" s="4" t="str">
        <f t="shared" si="50"/>
        <v>Friday</v>
      </c>
      <c r="Q492" s="4" t="str">
        <f t="shared" si="51"/>
        <v>Small Order</v>
      </c>
      <c r="R492" s="4" t="str">
        <f t="shared" si="52"/>
        <v>Weekday</v>
      </c>
      <c r="S492" s="4" t="str">
        <f t="shared" si="53"/>
        <v>Regular</v>
      </c>
    </row>
    <row r="493" spans="1:19" x14ac:dyDescent="0.3">
      <c r="A493">
        <v>4611</v>
      </c>
      <c r="B493" t="s">
        <v>13</v>
      </c>
      <c r="C493" s="1">
        <v>45493</v>
      </c>
      <c r="D493" t="s">
        <v>17</v>
      </c>
      <c r="E493" t="s">
        <v>21</v>
      </c>
      <c r="F493">
        <v>3</v>
      </c>
      <c r="G493">
        <v>7.35</v>
      </c>
      <c r="H493">
        <v>22.05</v>
      </c>
      <c r="I493" t="str">
        <f t="shared" si="49"/>
        <v>Low</v>
      </c>
      <c r="J493">
        <v>4.0199999999999996</v>
      </c>
      <c r="K493">
        <f t="shared" si="54"/>
        <v>18.03</v>
      </c>
      <c r="L493" t="str">
        <f t="shared" si="55"/>
        <v>July</v>
      </c>
      <c r="M493">
        <f>YEAR(C493)</f>
        <v>2024</v>
      </c>
      <c r="N493">
        <v>70</v>
      </c>
      <c r="O493" t="str">
        <f>IF(N493&gt;=200,"Platinum",IF(N493&gt;=100,"Gold",IF(N493&gt;=50,"Silver","Regular")))</f>
        <v>Silver</v>
      </c>
      <c r="P493" s="4" t="str">
        <f t="shared" si="50"/>
        <v>Saturday</v>
      </c>
      <c r="Q493" s="4" t="str">
        <f t="shared" si="51"/>
        <v>Medium Order</v>
      </c>
      <c r="R493" s="4" t="str">
        <f t="shared" si="52"/>
        <v>Weekend</v>
      </c>
      <c r="S493" s="4" t="str">
        <f t="shared" si="53"/>
        <v>Regular</v>
      </c>
    </row>
    <row r="494" spans="1:19" x14ac:dyDescent="0.3">
      <c r="A494">
        <v>3615</v>
      </c>
      <c r="B494" t="s">
        <v>25</v>
      </c>
      <c r="C494" s="1">
        <v>45687</v>
      </c>
      <c r="D494" t="s">
        <v>4</v>
      </c>
      <c r="E494" t="s">
        <v>26</v>
      </c>
      <c r="F494">
        <v>4</v>
      </c>
      <c r="G494">
        <v>5.58</v>
      </c>
      <c r="H494">
        <v>22.32</v>
      </c>
      <c r="I494" t="str">
        <f t="shared" si="49"/>
        <v>Low</v>
      </c>
      <c r="J494">
        <v>4.05</v>
      </c>
      <c r="K494">
        <f t="shared" si="54"/>
        <v>18.27</v>
      </c>
      <c r="L494" t="str">
        <f t="shared" si="55"/>
        <v>January</v>
      </c>
      <c r="M494">
        <f>YEAR(C494)</f>
        <v>2025</v>
      </c>
      <c r="N494">
        <v>1</v>
      </c>
      <c r="O494" t="str">
        <f>IF(N494&gt;=200,"Platinum",IF(N494&gt;=100,"Gold",IF(N494&gt;=50,"Silver","Regular")))</f>
        <v>Regular</v>
      </c>
      <c r="P494" s="4" t="str">
        <f t="shared" si="50"/>
        <v>Thursday</v>
      </c>
      <c r="Q494" s="4" t="str">
        <f t="shared" si="51"/>
        <v>Medium Order</v>
      </c>
      <c r="R494" s="4" t="str">
        <f t="shared" si="52"/>
        <v>Weekday</v>
      </c>
      <c r="S494" s="4" t="str">
        <f t="shared" si="53"/>
        <v>Regular</v>
      </c>
    </row>
    <row r="495" spans="1:19" x14ac:dyDescent="0.3">
      <c r="A495">
        <v>5010</v>
      </c>
      <c r="B495" t="s">
        <v>15</v>
      </c>
      <c r="C495" s="1">
        <v>45271</v>
      </c>
      <c r="D495" t="s">
        <v>27</v>
      </c>
      <c r="E495" t="s">
        <v>5</v>
      </c>
      <c r="F495">
        <v>5</v>
      </c>
      <c r="G495">
        <v>1.27</v>
      </c>
      <c r="H495">
        <v>6.35</v>
      </c>
      <c r="I495" t="str">
        <f t="shared" si="49"/>
        <v>Low</v>
      </c>
      <c r="J495">
        <v>1.1399999999999999</v>
      </c>
      <c r="K495">
        <f t="shared" si="54"/>
        <v>5.21</v>
      </c>
      <c r="L495" t="str">
        <f t="shared" si="55"/>
        <v>December</v>
      </c>
      <c r="M495">
        <f>YEAR(C495)</f>
        <v>2023</v>
      </c>
      <c r="N495">
        <v>38</v>
      </c>
      <c r="O495" t="str">
        <f>IF(N495&gt;=200,"Platinum",IF(N495&gt;=100,"Gold",IF(N495&gt;=50,"Silver","Regular")))</f>
        <v>Regular</v>
      </c>
      <c r="P495" s="4" t="str">
        <f t="shared" si="50"/>
        <v>Monday</v>
      </c>
      <c r="Q495" s="4" t="str">
        <f t="shared" si="51"/>
        <v>Medium Order</v>
      </c>
      <c r="R495" s="4" t="str">
        <f t="shared" si="52"/>
        <v>Weekday</v>
      </c>
      <c r="S495" s="4" t="str">
        <f t="shared" si="53"/>
        <v>Regular</v>
      </c>
    </row>
    <row r="496" spans="1:19" x14ac:dyDescent="0.3">
      <c r="A496">
        <v>2646</v>
      </c>
      <c r="B496" t="s">
        <v>20</v>
      </c>
      <c r="C496" s="1">
        <v>45253</v>
      </c>
      <c r="D496" t="s">
        <v>34</v>
      </c>
      <c r="E496" t="s">
        <v>37</v>
      </c>
      <c r="F496">
        <v>5</v>
      </c>
      <c r="G496">
        <v>3.63</v>
      </c>
      <c r="H496">
        <v>18.149999999999999</v>
      </c>
      <c r="I496" t="str">
        <f t="shared" si="49"/>
        <v>Low</v>
      </c>
      <c r="J496">
        <v>3.25</v>
      </c>
      <c r="K496">
        <f t="shared" si="54"/>
        <v>14.899999999999999</v>
      </c>
      <c r="L496" t="str">
        <f t="shared" si="55"/>
        <v>November</v>
      </c>
      <c r="M496">
        <f>YEAR(C496)</f>
        <v>2023</v>
      </c>
      <c r="N496">
        <v>335</v>
      </c>
      <c r="O496" t="str">
        <f>IF(N496&gt;=200,"Platinum",IF(N496&gt;=100,"Gold",IF(N496&gt;=50,"Silver","Regular")))</f>
        <v>Platinum</v>
      </c>
      <c r="P496" s="4" t="str">
        <f t="shared" si="50"/>
        <v>Thursday</v>
      </c>
      <c r="Q496" s="4" t="str">
        <f t="shared" si="51"/>
        <v>Medium Order</v>
      </c>
      <c r="R496" s="4" t="str">
        <f t="shared" si="52"/>
        <v>Weekday</v>
      </c>
      <c r="S496" s="4" t="str">
        <f t="shared" si="53"/>
        <v>Regular</v>
      </c>
    </row>
    <row r="497" spans="1:19" x14ac:dyDescent="0.3">
      <c r="A497">
        <v>6277</v>
      </c>
      <c r="B497" t="s">
        <v>15</v>
      </c>
      <c r="C497" s="1">
        <v>45788</v>
      </c>
      <c r="D497" t="s">
        <v>34</v>
      </c>
      <c r="E497" t="s">
        <v>2</v>
      </c>
      <c r="F497">
        <v>2</v>
      </c>
      <c r="G497">
        <v>10.35</v>
      </c>
      <c r="H497">
        <v>20.7</v>
      </c>
      <c r="I497" t="str">
        <f t="shared" si="49"/>
        <v>Low</v>
      </c>
      <c r="J497">
        <v>3.67</v>
      </c>
      <c r="K497">
        <f t="shared" si="54"/>
        <v>17.03</v>
      </c>
      <c r="L497" t="str">
        <f t="shared" si="55"/>
        <v>May</v>
      </c>
      <c r="M497">
        <f>YEAR(C497)</f>
        <v>2025</v>
      </c>
      <c r="N497">
        <v>276</v>
      </c>
      <c r="O497" t="str">
        <f>IF(N497&gt;=200,"Platinum",IF(N497&gt;=100,"Gold",IF(N497&gt;=50,"Silver","Regular")))</f>
        <v>Platinum</v>
      </c>
      <c r="P497" s="4" t="str">
        <f t="shared" si="50"/>
        <v>Sunday</v>
      </c>
      <c r="Q497" s="4" t="str">
        <f t="shared" si="51"/>
        <v>Small Order</v>
      </c>
      <c r="R497" s="4" t="str">
        <f t="shared" si="52"/>
        <v>Weekend</v>
      </c>
      <c r="S497" s="4" t="str">
        <f t="shared" si="53"/>
        <v>Regular</v>
      </c>
    </row>
    <row r="498" spans="1:19" x14ac:dyDescent="0.3">
      <c r="A498">
        <v>6411</v>
      </c>
      <c r="B498" t="s">
        <v>49</v>
      </c>
      <c r="C498" s="1">
        <v>45647</v>
      </c>
      <c r="D498" t="s">
        <v>9</v>
      </c>
      <c r="E498" t="s">
        <v>33</v>
      </c>
      <c r="F498">
        <v>3</v>
      </c>
      <c r="G498">
        <v>6.48</v>
      </c>
      <c r="H498">
        <v>19.440000000000001</v>
      </c>
      <c r="I498" t="str">
        <f t="shared" si="49"/>
        <v>Low</v>
      </c>
      <c r="J498">
        <v>3.43</v>
      </c>
      <c r="K498">
        <f t="shared" si="54"/>
        <v>16.010000000000002</v>
      </c>
      <c r="L498" t="str">
        <f t="shared" si="55"/>
        <v>December</v>
      </c>
      <c r="M498">
        <f>YEAR(C498)</f>
        <v>2024</v>
      </c>
      <c r="N498">
        <v>90</v>
      </c>
      <c r="O498" t="str">
        <f>IF(N498&gt;=200,"Platinum",IF(N498&gt;=100,"Gold",IF(N498&gt;=50,"Silver","Regular")))</f>
        <v>Silver</v>
      </c>
      <c r="P498" s="4" t="str">
        <f t="shared" si="50"/>
        <v>Saturday</v>
      </c>
      <c r="Q498" s="4" t="str">
        <f t="shared" si="51"/>
        <v>Medium Order</v>
      </c>
      <c r="R498" s="4" t="str">
        <f t="shared" si="52"/>
        <v>Weekend</v>
      </c>
      <c r="S498" s="4" t="str">
        <f t="shared" si="53"/>
        <v>Regular</v>
      </c>
    </row>
    <row r="499" spans="1:19" x14ac:dyDescent="0.3">
      <c r="A499">
        <v>2288</v>
      </c>
      <c r="B499" t="s">
        <v>25</v>
      </c>
      <c r="C499" s="1">
        <v>45452</v>
      </c>
      <c r="D499" t="s">
        <v>6</v>
      </c>
      <c r="E499" t="s">
        <v>26</v>
      </c>
      <c r="F499">
        <v>5</v>
      </c>
      <c r="G499">
        <v>5.54</v>
      </c>
      <c r="H499">
        <v>27.7</v>
      </c>
      <c r="I499" t="str">
        <f t="shared" si="49"/>
        <v>Low</v>
      </c>
      <c r="J499">
        <v>4.88</v>
      </c>
      <c r="K499">
        <f t="shared" si="54"/>
        <v>22.82</v>
      </c>
      <c r="L499" t="str">
        <f t="shared" si="55"/>
        <v>June</v>
      </c>
      <c r="M499">
        <f>YEAR(C499)</f>
        <v>2024</v>
      </c>
      <c r="N499">
        <v>406</v>
      </c>
      <c r="O499" t="str">
        <f>IF(N499&gt;=200,"Platinum",IF(N499&gt;=100,"Gold",IF(N499&gt;=50,"Silver","Regular")))</f>
        <v>Platinum</v>
      </c>
      <c r="P499" s="4" t="str">
        <f t="shared" si="50"/>
        <v>Sunday</v>
      </c>
      <c r="Q499" s="4" t="str">
        <f t="shared" si="51"/>
        <v>Medium Order</v>
      </c>
      <c r="R499" s="4" t="str">
        <f t="shared" si="52"/>
        <v>Weekend</v>
      </c>
      <c r="S499" s="4" t="str">
        <f t="shared" si="53"/>
        <v>Regular</v>
      </c>
    </row>
    <row r="500" spans="1:19" x14ac:dyDescent="0.3">
      <c r="A500">
        <v>5781</v>
      </c>
      <c r="B500" t="s">
        <v>3</v>
      </c>
      <c r="C500" s="1">
        <v>45466</v>
      </c>
      <c r="D500" t="s">
        <v>9</v>
      </c>
      <c r="E500" t="s">
        <v>28</v>
      </c>
      <c r="F500">
        <v>1</v>
      </c>
      <c r="G500">
        <v>22.53</v>
      </c>
      <c r="H500">
        <v>22.53</v>
      </c>
      <c r="I500" t="str">
        <f t="shared" si="49"/>
        <v>Low</v>
      </c>
      <c r="J500">
        <v>3.94</v>
      </c>
      <c r="K500">
        <f t="shared" si="54"/>
        <v>18.59</v>
      </c>
      <c r="L500" t="str">
        <f t="shared" si="55"/>
        <v>June</v>
      </c>
      <c r="M500">
        <f>YEAR(C500)</f>
        <v>2024</v>
      </c>
      <c r="N500">
        <v>277</v>
      </c>
      <c r="O500" t="str">
        <f>IF(N500&gt;=200,"Platinum",IF(N500&gt;=100,"Gold",IF(N500&gt;=50,"Silver","Regular")))</f>
        <v>Platinum</v>
      </c>
      <c r="P500" s="4" t="str">
        <f t="shared" si="50"/>
        <v>Sunday</v>
      </c>
      <c r="Q500" s="4" t="str">
        <f t="shared" si="51"/>
        <v>Small Order</v>
      </c>
      <c r="R500" s="4" t="str">
        <f t="shared" si="52"/>
        <v>Weekend</v>
      </c>
      <c r="S500" s="4" t="str">
        <f t="shared" si="53"/>
        <v>Regular</v>
      </c>
    </row>
    <row r="501" spans="1:19" x14ac:dyDescent="0.3">
      <c r="A501">
        <v>3439</v>
      </c>
      <c r="B501" t="s">
        <v>0</v>
      </c>
      <c r="C501" s="1">
        <v>45332</v>
      </c>
      <c r="D501" t="s">
        <v>17</v>
      </c>
      <c r="E501" t="s">
        <v>28</v>
      </c>
      <c r="F501">
        <v>2</v>
      </c>
      <c r="G501">
        <v>12.97</v>
      </c>
      <c r="H501">
        <v>25.94</v>
      </c>
      <c r="I501" t="str">
        <f t="shared" si="49"/>
        <v>Low</v>
      </c>
      <c r="J501">
        <v>4.49</v>
      </c>
      <c r="K501">
        <f t="shared" si="54"/>
        <v>21.450000000000003</v>
      </c>
      <c r="L501" t="str">
        <f t="shared" si="55"/>
        <v>February</v>
      </c>
      <c r="M501">
        <f>YEAR(C501)</f>
        <v>2024</v>
      </c>
      <c r="N501">
        <v>385</v>
      </c>
      <c r="O501" t="str">
        <f>IF(N501&gt;=200,"Platinum",IF(N501&gt;=100,"Gold",IF(N501&gt;=50,"Silver","Regular")))</f>
        <v>Platinum</v>
      </c>
      <c r="P501" s="4" t="str">
        <f t="shared" si="50"/>
        <v>Saturday</v>
      </c>
      <c r="Q501" s="4" t="str">
        <f t="shared" si="51"/>
        <v>Small Order</v>
      </c>
      <c r="R501" s="4" t="str">
        <f t="shared" si="52"/>
        <v>Weekend</v>
      </c>
      <c r="S501" s="4" t="str">
        <f t="shared" si="53"/>
        <v>Regular</v>
      </c>
    </row>
    <row r="502" spans="1:19" x14ac:dyDescent="0.3">
      <c r="A502">
        <v>6053</v>
      </c>
      <c r="B502" t="s">
        <v>19</v>
      </c>
      <c r="C502" s="1">
        <v>45180</v>
      </c>
      <c r="D502" t="s">
        <v>34</v>
      </c>
      <c r="E502" t="s">
        <v>28</v>
      </c>
      <c r="F502">
        <v>4</v>
      </c>
      <c r="G502">
        <v>5.31</v>
      </c>
      <c r="H502">
        <v>21.24</v>
      </c>
      <c r="I502" t="str">
        <f t="shared" si="49"/>
        <v>Low</v>
      </c>
      <c r="J502">
        <v>3.66</v>
      </c>
      <c r="K502">
        <f t="shared" si="54"/>
        <v>17.579999999999998</v>
      </c>
      <c r="L502" t="str">
        <f t="shared" si="55"/>
        <v>September</v>
      </c>
      <c r="M502">
        <f>YEAR(C502)</f>
        <v>2023</v>
      </c>
      <c r="N502">
        <v>327</v>
      </c>
      <c r="O502" t="str">
        <f>IF(N502&gt;=200,"Platinum",IF(N502&gt;=100,"Gold",IF(N502&gt;=50,"Silver","Regular")))</f>
        <v>Platinum</v>
      </c>
      <c r="P502" s="4" t="str">
        <f t="shared" si="50"/>
        <v>Monday</v>
      </c>
      <c r="Q502" s="4" t="str">
        <f t="shared" si="51"/>
        <v>Medium Order</v>
      </c>
      <c r="R502" s="4" t="str">
        <f t="shared" si="52"/>
        <v>Weekday</v>
      </c>
      <c r="S502" s="4" t="str">
        <f t="shared" si="53"/>
        <v>Regular</v>
      </c>
    </row>
    <row r="503" spans="1:19" x14ac:dyDescent="0.3">
      <c r="A503">
        <v>6744</v>
      </c>
      <c r="B503" t="s">
        <v>8</v>
      </c>
      <c r="C503" s="1">
        <v>45813</v>
      </c>
      <c r="D503" t="s">
        <v>6</v>
      </c>
      <c r="E503" t="s">
        <v>30</v>
      </c>
      <c r="F503">
        <v>2</v>
      </c>
      <c r="G503">
        <v>9.94</v>
      </c>
      <c r="H503">
        <v>19.88</v>
      </c>
      <c r="I503" t="str">
        <f t="shared" si="49"/>
        <v>Low</v>
      </c>
      <c r="J503">
        <v>3.41</v>
      </c>
      <c r="K503">
        <f t="shared" si="54"/>
        <v>16.47</v>
      </c>
      <c r="L503" t="str">
        <f t="shared" si="55"/>
        <v>June</v>
      </c>
      <c r="M503">
        <f>YEAR(C503)</f>
        <v>2025</v>
      </c>
      <c r="N503">
        <v>51</v>
      </c>
      <c r="O503" t="str">
        <f>IF(N503&gt;=200,"Platinum",IF(N503&gt;=100,"Gold",IF(N503&gt;=50,"Silver","Regular")))</f>
        <v>Silver</v>
      </c>
      <c r="P503" s="4" t="str">
        <f t="shared" si="50"/>
        <v>Thursday</v>
      </c>
      <c r="Q503" s="4" t="str">
        <f t="shared" si="51"/>
        <v>Small Order</v>
      </c>
      <c r="R503" s="4" t="str">
        <f t="shared" si="52"/>
        <v>Weekday</v>
      </c>
      <c r="S503" s="4" t="str">
        <f t="shared" si="53"/>
        <v>Regular</v>
      </c>
    </row>
    <row r="504" spans="1:19" x14ac:dyDescent="0.3">
      <c r="A504">
        <v>7044</v>
      </c>
      <c r="B504" t="s">
        <v>8</v>
      </c>
      <c r="C504" s="1">
        <v>45300</v>
      </c>
      <c r="D504" t="s">
        <v>34</v>
      </c>
      <c r="E504" t="s">
        <v>21</v>
      </c>
      <c r="F504">
        <v>5</v>
      </c>
      <c r="G504">
        <v>5.54</v>
      </c>
      <c r="H504">
        <v>27.7</v>
      </c>
      <c r="I504" t="str">
        <f t="shared" si="49"/>
        <v>Low</v>
      </c>
      <c r="J504">
        <v>4.75</v>
      </c>
      <c r="K504">
        <f t="shared" si="54"/>
        <v>22.95</v>
      </c>
      <c r="L504" t="str">
        <f t="shared" si="55"/>
        <v>January</v>
      </c>
      <c r="M504">
        <f>YEAR(C504)</f>
        <v>2024</v>
      </c>
      <c r="N504">
        <v>227</v>
      </c>
      <c r="O504" t="str">
        <f>IF(N504&gt;=200,"Platinum",IF(N504&gt;=100,"Gold",IF(N504&gt;=50,"Silver","Regular")))</f>
        <v>Platinum</v>
      </c>
      <c r="P504" s="4" t="str">
        <f t="shared" si="50"/>
        <v>Tuesday</v>
      </c>
      <c r="Q504" s="4" t="str">
        <f t="shared" si="51"/>
        <v>Medium Order</v>
      </c>
      <c r="R504" s="4" t="str">
        <f t="shared" si="52"/>
        <v>Weekday</v>
      </c>
      <c r="S504" s="4" t="str">
        <f t="shared" si="53"/>
        <v>Regular</v>
      </c>
    </row>
    <row r="505" spans="1:19" x14ac:dyDescent="0.3">
      <c r="A505">
        <v>9281</v>
      </c>
      <c r="B505" t="s">
        <v>0</v>
      </c>
      <c r="C505" s="1">
        <v>45302</v>
      </c>
      <c r="D505" t="s">
        <v>11</v>
      </c>
      <c r="E505" t="s">
        <v>5</v>
      </c>
      <c r="F505">
        <v>5</v>
      </c>
      <c r="G505">
        <v>3.92</v>
      </c>
      <c r="H505">
        <v>19.600000000000001</v>
      </c>
      <c r="I505" t="str">
        <f t="shared" si="49"/>
        <v>Low</v>
      </c>
      <c r="J505">
        <v>3.35</v>
      </c>
      <c r="K505">
        <f t="shared" si="54"/>
        <v>16.25</v>
      </c>
      <c r="L505" t="str">
        <f t="shared" si="55"/>
        <v>January</v>
      </c>
      <c r="M505">
        <f>YEAR(C505)</f>
        <v>2024</v>
      </c>
      <c r="N505">
        <v>413</v>
      </c>
      <c r="O505" t="str">
        <f>IF(N505&gt;=200,"Platinum",IF(N505&gt;=100,"Gold",IF(N505&gt;=50,"Silver","Regular")))</f>
        <v>Platinum</v>
      </c>
      <c r="P505" s="4" t="str">
        <f t="shared" si="50"/>
        <v>Thursday</v>
      </c>
      <c r="Q505" s="4" t="str">
        <f t="shared" si="51"/>
        <v>Medium Order</v>
      </c>
      <c r="R505" s="4" t="str">
        <f t="shared" si="52"/>
        <v>Weekday</v>
      </c>
      <c r="S505" s="4" t="str">
        <f t="shared" si="53"/>
        <v>Regular</v>
      </c>
    </row>
    <row r="506" spans="1:19" x14ac:dyDescent="0.3">
      <c r="A506">
        <v>7293</v>
      </c>
      <c r="B506" t="s">
        <v>8</v>
      </c>
      <c r="C506" s="1">
        <v>45816</v>
      </c>
      <c r="D506" t="s">
        <v>1</v>
      </c>
      <c r="E506" t="s">
        <v>5</v>
      </c>
      <c r="F506">
        <v>5</v>
      </c>
      <c r="G506">
        <v>4.1100000000000003</v>
      </c>
      <c r="H506">
        <v>20.55</v>
      </c>
      <c r="I506" t="str">
        <f t="shared" si="49"/>
        <v>Low</v>
      </c>
      <c r="J506">
        <v>3.51</v>
      </c>
      <c r="K506">
        <f t="shared" si="54"/>
        <v>17.04</v>
      </c>
      <c r="L506" t="str">
        <f t="shared" si="55"/>
        <v>June</v>
      </c>
      <c r="M506">
        <f>YEAR(C506)</f>
        <v>2025</v>
      </c>
      <c r="N506">
        <v>167</v>
      </c>
      <c r="O506" t="str">
        <f>IF(N506&gt;=200,"Platinum",IF(N506&gt;=100,"Gold",IF(N506&gt;=50,"Silver","Regular")))</f>
        <v>Gold</v>
      </c>
      <c r="P506" s="4" t="str">
        <f t="shared" si="50"/>
        <v>Sunday</v>
      </c>
      <c r="Q506" s="4" t="str">
        <f t="shared" si="51"/>
        <v>Medium Order</v>
      </c>
      <c r="R506" s="4" t="str">
        <f t="shared" si="52"/>
        <v>Weekend</v>
      </c>
      <c r="S506" s="4" t="str">
        <f t="shared" si="53"/>
        <v>Regular</v>
      </c>
    </row>
    <row r="507" spans="1:19" x14ac:dyDescent="0.3">
      <c r="A507">
        <v>9025</v>
      </c>
      <c r="B507" t="s">
        <v>8</v>
      </c>
      <c r="C507" s="1">
        <v>45695</v>
      </c>
      <c r="D507" t="s">
        <v>27</v>
      </c>
      <c r="E507" t="s">
        <v>36</v>
      </c>
      <c r="F507">
        <v>1</v>
      </c>
      <c r="G507">
        <v>24.06</v>
      </c>
      <c r="H507">
        <v>24.06</v>
      </c>
      <c r="I507" t="str">
        <f t="shared" si="49"/>
        <v>Low</v>
      </c>
      <c r="J507">
        <v>4.07</v>
      </c>
      <c r="K507">
        <f t="shared" si="54"/>
        <v>19.989999999999998</v>
      </c>
      <c r="L507" t="str">
        <f t="shared" si="55"/>
        <v>February</v>
      </c>
      <c r="M507">
        <f>YEAR(C507)</f>
        <v>2025</v>
      </c>
      <c r="N507">
        <v>170</v>
      </c>
      <c r="O507" t="str">
        <f>IF(N507&gt;=200,"Platinum",IF(N507&gt;=100,"Gold",IF(N507&gt;=50,"Silver","Regular")))</f>
        <v>Gold</v>
      </c>
      <c r="P507" s="4" t="str">
        <f t="shared" si="50"/>
        <v>Friday</v>
      </c>
      <c r="Q507" s="4" t="str">
        <f t="shared" si="51"/>
        <v>Small Order</v>
      </c>
      <c r="R507" s="4" t="str">
        <f t="shared" si="52"/>
        <v>Weekday</v>
      </c>
      <c r="S507" s="4" t="str">
        <f t="shared" si="53"/>
        <v>Regular</v>
      </c>
    </row>
    <row r="508" spans="1:19" x14ac:dyDescent="0.3">
      <c r="A508">
        <v>1964</v>
      </c>
      <c r="B508" t="s">
        <v>8</v>
      </c>
      <c r="C508" s="1">
        <v>45322</v>
      </c>
      <c r="D508" t="s">
        <v>24</v>
      </c>
      <c r="E508" t="s">
        <v>7</v>
      </c>
      <c r="F508">
        <v>1</v>
      </c>
      <c r="G508">
        <v>17.010000000000002</v>
      </c>
      <c r="H508">
        <v>17.010000000000002</v>
      </c>
      <c r="I508" t="str">
        <f t="shared" si="49"/>
        <v>Low</v>
      </c>
      <c r="J508">
        <v>2.85</v>
      </c>
      <c r="K508">
        <f t="shared" si="54"/>
        <v>14.160000000000002</v>
      </c>
      <c r="L508" t="str">
        <f t="shared" si="55"/>
        <v>January</v>
      </c>
      <c r="M508">
        <f>YEAR(C508)</f>
        <v>2024</v>
      </c>
      <c r="N508">
        <v>47</v>
      </c>
      <c r="O508" t="str">
        <f>IF(N508&gt;=200,"Platinum",IF(N508&gt;=100,"Gold",IF(N508&gt;=50,"Silver","Regular")))</f>
        <v>Regular</v>
      </c>
      <c r="P508" s="4" t="str">
        <f t="shared" si="50"/>
        <v>Wednesday</v>
      </c>
      <c r="Q508" s="4" t="str">
        <f t="shared" si="51"/>
        <v>Small Order</v>
      </c>
      <c r="R508" s="4" t="str">
        <f t="shared" si="52"/>
        <v>Weekday</v>
      </c>
      <c r="S508" s="4" t="str">
        <f t="shared" si="53"/>
        <v>Regular</v>
      </c>
    </row>
    <row r="509" spans="1:19" x14ac:dyDescent="0.3">
      <c r="A509">
        <v>8798</v>
      </c>
      <c r="B509" t="s">
        <v>13</v>
      </c>
      <c r="C509" s="1">
        <v>45188</v>
      </c>
      <c r="D509" t="s">
        <v>9</v>
      </c>
      <c r="E509" t="s">
        <v>29</v>
      </c>
      <c r="F509">
        <v>1</v>
      </c>
      <c r="G509">
        <v>17.04</v>
      </c>
      <c r="H509">
        <v>17.04</v>
      </c>
      <c r="I509" t="str">
        <f t="shared" si="49"/>
        <v>Low</v>
      </c>
      <c r="J509">
        <v>2.85</v>
      </c>
      <c r="K509">
        <f t="shared" si="54"/>
        <v>14.19</v>
      </c>
      <c r="L509" t="str">
        <f t="shared" si="55"/>
        <v>September</v>
      </c>
      <c r="M509">
        <f>YEAR(C509)</f>
        <v>2023</v>
      </c>
      <c r="N509">
        <v>487</v>
      </c>
      <c r="O509" t="str">
        <f>IF(N509&gt;=200,"Platinum",IF(N509&gt;=100,"Gold",IF(N509&gt;=50,"Silver","Regular")))</f>
        <v>Platinum</v>
      </c>
      <c r="P509" s="4" t="str">
        <f t="shared" si="50"/>
        <v>Tuesday</v>
      </c>
      <c r="Q509" s="4" t="str">
        <f t="shared" si="51"/>
        <v>Small Order</v>
      </c>
      <c r="R509" s="4" t="str">
        <f t="shared" si="52"/>
        <v>Weekday</v>
      </c>
      <c r="S509" s="4" t="str">
        <f t="shared" si="53"/>
        <v>Regular</v>
      </c>
    </row>
    <row r="510" spans="1:19" x14ac:dyDescent="0.3">
      <c r="A510">
        <v>2526</v>
      </c>
      <c r="B510" t="s">
        <v>8</v>
      </c>
      <c r="C510" s="1">
        <v>45712</v>
      </c>
      <c r="D510" t="s">
        <v>17</v>
      </c>
      <c r="E510" t="s">
        <v>35</v>
      </c>
      <c r="F510">
        <v>5</v>
      </c>
      <c r="G510">
        <v>2.35</v>
      </c>
      <c r="H510">
        <v>11.75</v>
      </c>
      <c r="I510" t="str">
        <f t="shared" si="49"/>
        <v>Low</v>
      </c>
      <c r="J510">
        <v>1.92</v>
      </c>
      <c r="K510">
        <f t="shared" si="54"/>
        <v>9.83</v>
      </c>
      <c r="L510" t="str">
        <f t="shared" si="55"/>
        <v>February</v>
      </c>
      <c r="M510">
        <f>YEAR(C510)</f>
        <v>2025</v>
      </c>
      <c r="N510">
        <v>272</v>
      </c>
      <c r="O510" t="str">
        <f>IF(N510&gt;=200,"Platinum",IF(N510&gt;=100,"Gold",IF(N510&gt;=50,"Silver","Regular")))</f>
        <v>Platinum</v>
      </c>
      <c r="P510" s="4" t="str">
        <f t="shared" si="50"/>
        <v>Monday</v>
      </c>
      <c r="Q510" s="4" t="str">
        <f t="shared" si="51"/>
        <v>Medium Order</v>
      </c>
      <c r="R510" s="4" t="str">
        <f t="shared" si="52"/>
        <v>Weekday</v>
      </c>
      <c r="S510" s="4" t="str">
        <f t="shared" si="53"/>
        <v>Regular</v>
      </c>
    </row>
    <row r="511" spans="1:19" x14ac:dyDescent="0.3">
      <c r="A511">
        <v>9796</v>
      </c>
      <c r="B511" t="s">
        <v>0</v>
      </c>
      <c r="C511" s="1">
        <v>45606</v>
      </c>
      <c r="D511" t="s">
        <v>23</v>
      </c>
      <c r="E511" t="s">
        <v>12</v>
      </c>
      <c r="F511">
        <v>3</v>
      </c>
      <c r="G511">
        <v>5.71</v>
      </c>
      <c r="H511">
        <v>17.13</v>
      </c>
      <c r="I511" t="str">
        <f t="shared" si="49"/>
        <v>Low</v>
      </c>
      <c r="J511">
        <v>2.76</v>
      </c>
      <c r="K511">
        <f t="shared" si="54"/>
        <v>14.37</v>
      </c>
      <c r="L511" t="str">
        <f t="shared" si="55"/>
        <v>November</v>
      </c>
      <c r="M511">
        <f>YEAR(C511)</f>
        <v>2024</v>
      </c>
      <c r="N511">
        <v>279</v>
      </c>
      <c r="O511" t="str">
        <f>IF(N511&gt;=200,"Platinum",IF(N511&gt;=100,"Gold",IF(N511&gt;=50,"Silver","Regular")))</f>
        <v>Platinum</v>
      </c>
      <c r="P511" s="4" t="str">
        <f t="shared" si="50"/>
        <v>Sunday</v>
      </c>
      <c r="Q511" s="4" t="str">
        <f t="shared" si="51"/>
        <v>Medium Order</v>
      </c>
      <c r="R511" s="4" t="str">
        <f t="shared" si="52"/>
        <v>Weekend</v>
      </c>
      <c r="S511" s="4" t="str">
        <f t="shared" si="53"/>
        <v>Regular</v>
      </c>
    </row>
    <row r="512" spans="1:19" x14ac:dyDescent="0.3">
      <c r="A512">
        <v>1132</v>
      </c>
      <c r="B512" t="s">
        <v>3</v>
      </c>
      <c r="C512" s="1">
        <v>45685</v>
      </c>
      <c r="D512" t="s">
        <v>11</v>
      </c>
      <c r="E512" t="s">
        <v>32</v>
      </c>
      <c r="F512">
        <v>2</v>
      </c>
      <c r="G512">
        <v>10.32</v>
      </c>
      <c r="H512">
        <v>20.64</v>
      </c>
      <c r="I512" t="str">
        <f t="shared" si="49"/>
        <v>Low</v>
      </c>
      <c r="J512">
        <v>3.32</v>
      </c>
      <c r="K512">
        <f t="shared" si="54"/>
        <v>17.32</v>
      </c>
      <c r="L512" t="str">
        <f t="shared" si="55"/>
        <v>January</v>
      </c>
      <c r="M512">
        <f>YEAR(C512)</f>
        <v>2025</v>
      </c>
      <c r="N512">
        <v>423</v>
      </c>
      <c r="O512" t="str">
        <f>IF(N512&gt;=200,"Platinum",IF(N512&gt;=100,"Gold",IF(N512&gt;=50,"Silver","Regular")))</f>
        <v>Platinum</v>
      </c>
      <c r="P512" s="4" t="str">
        <f t="shared" si="50"/>
        <v>Tuesday</v>
      </c>
      <c r="Q512" s="4" t="str">
        <f t="shared" si="51"/>
        <v>Small Order</v>
      </c>
      <c r="R512" s="4" t="str">
        <f t="shared" si="52"/>
        <v>Weekday</v>
      </c>
      <c r="S512" s="4" t="str">
        <f t="shared" si="53"/>
        <v>Regular</v>
      </c>
    </row>
    <row r="513" spans="1:19" x14ac:dyDescent="0.3">
      <c r="A513">
        <v>7078</v>
      </c>
      <c r="B513" t="s">
        <v>3</v>
      </c>
      <c r="C513" s="1">
        <v>45665</v>
      </c>
      <c r="D513" t="s">
        <v>6</v>
      </c>
      <c r="E513" t="s">
        <v>30</v>
      </c>
      <c r="F513">
        <v>1</v>
      </c>
      <c r="G513">
        <v>20.53</v>
      </c>
      <c r="H513">
        <v>20.53</v>
      </c>
      <c r="I513" t="str">
        <f t="shared" si="49"/>
        <v>Low</v>
      </c>
      <c r="J513">
        <v>3.3</v>
      </c>
      <c r="K513">
        <f t="shared" si="54"/>
        <v>17.23</v>
      </c>
      <c r="L513" t="str">
        <f t="shared" si="55"/>
        <v>January</v>
      </c>
      <c r="M513">
        <f>YEAR(C513)</f>
        <v>2025</v>
      </c>
      <c r="N513">
        <v>201</v>
      </c>
      <c r="O513" t="str">
        <f>IF(N513&gt;=200,"Platinum",IF(N513&gt;=100,"Gold",IF(N513&gt;=50,"Silver","Regular")))</f>
        <v>Platinum</v>
      </c>
      <c r="P513" s="4" t="str">
        <f t="shared" si="50"/>
        <v>Wednesday</v>
      </c>
      <c r="Q513" s="4" t="str">
        <f t="shared" si="51"/>
        <v>Small Order</v>
      </c>
      <c r="R513" s="4" t="str">
        <f t="shared" si="52"/>
        <v>Weekday</v>
      </c>
      <c r="S513" s="4" t="str">
        <f t="shared" si="53"/>
        <v>Regular</v>
      </c>
    </row>
    <row r="514" spans="1:19" x14ac:dyDescent="0.3">
      <c r="A514">
        <v>5093</v>
      </c>
      <c r="B514" t="s">
        <v>3</v>
      </c>
      <c r="C514" s="1">
        <v>45218</v>
      </c>
      <c r="D514" t="s">
        <v>4</v>
      </c>
      <c r="E514" t="s">
        <v>5</v>
      </c>
      <c r="F514">
        <v>4</v>
      </c>
      <c r="G514">
        <v>1.96</v>
      </c>
      <c r="H514">
        <v>7.84</v>
      </c>
      <c r="I514" t="str">
        <f t="shared" ref="I514:I577" si="56">IF(J514=0,"No Discount",IF(J514&lt;=5,"Low",IF(J514&lt;=10,"Medium",IF(J514&lt;=20,"High","Very High"))))</f>
        <v>Low</v>
      </c>
      <c r="J514">
        <v>1.26</v>
      </c>
      <c r="K514">
        <f t="shared" si="54"/>
        <v>6.58</v>
      </c>
      <c r="L514" t="str">
        <f t="shared" si="55"/>
        <v>October</v>
      </c>
      <c r="M514">
        <f>YEAR(C514)</f>
        <v>2023</v>
      </c>
      <c r="N514">
        <v>223</v>
      </c>
      <c r="O514" t="str">
        <f>IF(N514&gt;=200,"Platinum",IF(N514&gt;=100,"Gold",IF(N514&gt;=50,"Silver","Regular")))</f>
        <v>Platinum</v>
      </c>
      <c r="P514" s="4" t="str">
        <f t="shared" ref="P514:P577" si="57">TEXT(C514,"dddd")</f>
        <v>Thursday</v>
      </c>
      <c r="Q514" s="4" t="str">
        <f t="shared" ref="Q514:Q577" si="58">IF(F514&lt;=2,"Small Order",IF(F514&lt;=5,"Medium Order",IF(F514&lt;=10,"Large Order","Bulk Order")))</f>
        <v>Medium Order</v>
      </c>
      <c r="R514" s="4" t="str">
        <f t="shared" ref="R514:R577" si="59">IF(WEEKDAY(C514,2)&gt;5,"Weekend","Weekday")</f>
        <v>Weekday</v>
      </c>
      <c r="S514" s="4" t="str">
        <f t="shared" ref="S514:S577" si="60">IF(K514&gt;=100,"High Value","Regular")</f>
        <v>Regular</v>
      </c>
    </row>
    <row r="515" spans="1:19" x14ac:dyDescent="0.3">
      <c r="A515">
        <v>9849</v>
      </c>
      <c r="B515" t="s">
        <v>25</v>
      </c>
      <c r="C515" s="1">
        <v>45207</v>
      </c>
      <c r="D515" t="s">
        <v>27</v>
      </c>
      <c r="E515" t="s">
        <v>21</v>
      </c>
      <c r="F515">
        <v>4</v>
      </c>
      <c r="G515">
        <v>6.38</v>
      </c>
      <c r="H515">
        <v>25.52</v>
      </c>
      <c r="I515" t="str">
        <f t="shared" si="56"/>
        <v>Low</v>
      </c>
      <c r="J515">
        <v>4.09</v>
      </c>
      <c r="K515">
        <f t="shared" ref="K515:K578" si="61">MAX(0,H515-J515)</f>
        <v>21.43</v>
      </c>
      <c r="L515" t="str">
        <f t="shared" ref="L515:L578" si="62">TEXT(C515,"mmmm")</f>
        <v>October</v>
      </c>
      <c r="M515">
        <f>YEAR(C515)</f>
        <v>2023</v>
      </c>
      <c r="N515">
        <v>299</v>
      </c>
      <c r="O515" t="str">
        <f>IF(N515&gt;=200,"Platinum",IF(N515&gt;=100,"Gold",IF(N515&gt;=50,"Silver","Regular")))</f>
        <v>Platinum</v>
      </c>
      <c r="P515" s="4" t="str">
        <f t="shared" si="57"/>
        <v>Sunday</v>
      </c>
      <c r="Q515" s="4" t="str">
        <f t="shared" si="58"/>
        <v>Medium Order</v>
      </c>
      <c r="R515" s="4" t="str">
        <f t="shared" si="59"/>
        <v>Weekend</v>
      </c>
      <c r="S515" s="4" t="str">
        <f t="shared" si="60"/>
        <v>Regular</v>
      </c>
    </row>
    <row r="516" spans="1:19" x14ac:dyDescent="0.3">
      <c r="A516">
        <v>4891</v>
      </c>
      <c r="B516" t="s">
        <v>0</v>
      </c>
      <c r="C516" s="1">
        <v>45490</v>
      </c>
      <c r="D516" t="s">
        <v>24</v>
      </c>
      <c r="E516" t="s">
        <v>37</v>
      </c>
      <c r="F516">
        <v>3</v>
      </c>
      <c r="G516">
        <v>5.91</v>
      </c>
      <c r="H516">
        <v>17.73</v>
      </c>
      <c r="I516" t="str">
        <f t="shared" si="56"/>
        <v>Low</v>
      </c>
      <c r="J516">
        <v>2.84</v>
      </c>
      <c r="K516">
        <f t="shared" si="61"/>
        <v>14.89</v>
      </c>
      <c r="L516" t="str">
        <f t="shared" si="62"/>
        <v>July</v>
      </c>
      <c r="M516">
        <f>YEAR(C516)</f>
        <v>2024</v>
      </c>
      <c r="N516">
        <v>275</v>
      </c>
      <c r="O516" t="str">
        <f>IF(N516&gt;=200,"Platinum",IF(N516&gt;=100,"Gold",IF(N516&gt;=50,"Silver","Regular")))</f>
        <v>Platinum</v>
      </c>
      <c r="P516" s="4" t="str">
        <f t="shared" si="57"/>
        <v>Wednesday</v>
      </c>
      <c r="Q516" s="4" t="str">
        <f t="shared" si="58"/>
        <v>Medium Order</v>
      </c>
      <c r="R516" s="4" t="str">
        <f t="shared" si="59"/>
        <v>Weekday</v>
      </c>
      <c r="S516" s="4" t="str">
        <f t="shared" si="60"/>
        <v>Regular</v>
      </c>
    </row>
    <row r="517" spans="1:19" x14ac:dyDescent="0.3">
      <c r="A517">
        <v>9834</v>
      </c>
      <c r="B517" t="s">
        <v>15</v>
      </c>
      <c r="C517" s="1">
        <v>45247</v>
      </c>
      <c r="D517" t="s">
        <v>9</v>
      </c>
      <c r="E517" t="s">
        <v>21</v>
      </c>
      <c r="F517">
        <v>2</v>
      </c>
      <c r="G517">
        <v>15.35</v>
      </c>
      <c r="H517">
        <v>30.7</v>
      </c>
      <c r="I517" t="str">
        <f t="shared" si="56"/>
        <v>Low</v>
      </c>
      <c r="J517">
        <v>4.8600000000000003</v>
      </c>
      <c r="K517">
        <f t="shared" si="61"/>
        <v>25.84</v>
      </c>
      <c r="L517" t="str">
        <f t="shared" si="62"/>
        <v>November</v>
      </c>
      <c r="M517">
        <f>YEAR(C517)</f>
        <v>2023</v>
      </c>
      <c r="N517">
        <v>18</v>
      </c>
      <c r="O517" t="str">
        <f>IF(N517&gt;=200,"Platinum",IF(N517&gt;=100,"Gold",IF(N517&gt;=50,"Silver","Regular")))</f>
        <v>Regular</v>
      </c>
      <c r="P517" s="4" t="str">
        <f t="shared" si="57"/>
        <v>Friday</v>
      </c>
      <c r="Q517" s="4" t="str">
        <f t="shared" si="58"/>
        <v>Small Order</v>
      </c>
      <c r="R517" s="4" t="str">
        <f t="shared" si="59"/>
        <v>Weekday</v>
      </c>
      <c r="S517" s="4" t="str">
        <f t="shared" si="60"/>
        <v>Regular</v>
      </c>
    </row>
    <row r="518" spans="1:19" x14ac:dyDescent="0.3">
      <c r="A518">
        <v>5177</v>
      </c>
      <c r="B518" t="s">
        <v>3</v>
      </c>
      <c r="C518" s="1">
        <v>45302</v>
      </c>
      <c r="D518" t="s">
        <v>9</v>
      </c>
      <c r="E518" t="s">
        <v>35</v>
      </c>
      <c r="F518">
        <v>3</v>
      </c>
      <c r="G518">
        <v>2.5299999999999998</v>
      </c>
      <c r="H518">
        <v>7.59</v>
      </c>
      <c r="I518" t="str">
        <f t="shared" si="56"/>
        <v>Low</v>
      </c>
      <c r="J518">
        <v>1.2</v>
      </c>
      <c r="K518">
        <f t="shared" si="61"/>
        <v>6.39</v>
      </c>
      <c r="L518" t="str">
        <f t="shared" si="62"/>
        <v>January</v>
      </c>
      <c r="M518">
        <f>YEAR(C518)</f>
        <v>2024</v>
      </c>
      <c r="N518">
        <v>139</v>
      </c>
      <c r="O518" t="str">
        <f>IF(N518&gt;=200,"Platinum",IF(N518&gt;=100,"Gold",IF(N518&gt;=50,"Silver","Regular")))</f>
        <v>Gold</v>
      </c>
      <c r="P518" s="4" t="str">
        <f t="shared" si="57"/>
        <v>Thursday</v>
      </c>
      <c r="Q518" s="4" t="str">
        <f t="shared" si="58"/>
        <v>Medium Order</v>
      </c>
      <c r="R518" s="4" t="str">
        <f t="shared" si="59"/>
        <v>Weekday</v>
      </c>
      <c r="S518" s="4" t="str">
        <f t="shared" si="60"/>
        <v>Regular</v>
      </c>
    </row>
    <row r="519" spans="1:19" x14ac:dyDescent="0.3">
      <c r="A519">
        <v>7951</v>
      </c>
      <c r="B519" t="s">
        <v>19</v>
      </c>
      <c r="C519" s="1">
        <v>45681</v>
      </c>
      <c r="D519" t="s">
        <v>24</v>
      </c>
      <c r="E519" t="s">
        <v>7</v>
      </c>
      <c r="F519">
        <v>5</v>
      </c>
      <c r="G519">
        <v>2.37</v>
      </c>
      <c r="H519">
        <v>11.85</v>
      </c>
      <c r="I519" t="str">
        <f t="shared" si="56"/>
        <v>Low</v>
      </c>
      <c r="J519">
        <v>1.86</v>
      </c>
      <c r="K519">
        <f t="shared" si="61"/>
        <v>9.99</v>
      </c>
      <c r="L519" t="str">
        <f t="shared" si="62"/>
        <v>January</v>
      </c>
      <c r="M519">
        <f>YEAR(C519)</f>
        <v>2025</v>
      </c>
      <c r="N519">
        <v>50</v>
      </c>
      <c r="O519" t="str">
        <f>IF(N519&gt;=200,"Platinum",IF(N519&gt;=100,"Gold",IF(N519&gt;=50,"Silver","Regular")))</f>
        <v>Silver</v>
      </c>
      <c r="P519" s="4" t="str">
        <f t="shared" si="57"/>
        <v>Friday</v>
      </c>
      <c r="Q519" s="4" t="str">
        <f t="shared" si="58"/>
        <v>Medium Order</v>
      </c>
      <c r="R519" s="4" t="str">
        <f t="shared" si="59"/>
        <v>Weekday</v>
      </c>
      <c r="S519" s="4" t="str">
        <f t="shared" si="60"/>
        <v>Regular</v>
      </c>
    </row>
    <row r="520" spans="1:19" x14ac:dyDescent="0.3">
      <c r="A520">
        <v>6038</v>
      </c>
      <c r="B520" t="s">
        <v>31</v>
      </c>
      <c r="C520" s="1">
        <v>45225</v>
      </c>
      <c r="D520" t="s">
        <v>11</v>
      </c>
      <c r="E520" t="s">
        <v>2</v>
      </c>
      <c r="F520">
        <v>4</v>
      </c>
      <c r="G520">
        <v>4.45</v>
      </c>
      <c r="H520">
        <v>17.8</v>
      </c>
      <c r="I520" t="str">
        <f t="shared" si="56"/>
        <v>Low</v>
      </c>
      <c r="J520">
        <v>2.78</v>
      </c>
      <c r="K520">
        <f t="shared" si="61"/>
        <v>15.020000000000001</v>
      </c>
      <c r="L520" t="str">
        <f t="shared" si="62"/>
        <v>October</v>
      </c>
      <c r="M520">
        <f>YEAR(C520)</f>
        <v>2023</v>
      </c>
      <c r="N520">
        <v>146</v>
      </c>
      <c r="O520" t="str">
        <f>IF(N520&gt;=200,"Platinum",IF(N520&gt;=100,"Gold",IF(N520&gt;=50,"Silver","Regular")))</f>
        <v>Gold</v>
      </c>
      <c r="P520" s="4" t="str">
        <f t="shared" si="57"/>
        <v>Thursday</v>
      </c>
      <c r="Q520" s="4" t="str">
        <f t="shared" si="58"/>
        <v>Medium Order</v>
      </c>
      <c r="R520" s="4" t="str">
        <f t="shared" si="59"/>
        <v>Weekday</v>
      </c>
      <c r="S520" s="4" t="str">
        <f t="shared" si="60"/>
        <v>Regular</v>
      </c>
    </row>
    <row r="521" spans="1:19" x14ac:dyDescent="0.3">
      <c r="A521">
        <v>8581</v>
      </c>
      <c r="B521" t="s">
        <v>49</v>
      </c>
      <c r="C521" s="1">
        <v>45595</v>
      </c>
      <c r="D521" t="s">
        <v>6</v>
      </c>
      <c r="E521" t="s">
        <v>28</v>
      </c>
      <c r="F521">
        <v>1</v>
      </c>
      <c r="G521">
        <v>16.600000000000001</v>
      </c>
      <c r="H521">
        <v>16.600000000000001</v>
      </c>
      <c r="I521" t="str">
        <f t="shared" si="56"/>
        <v>Low</v>
      </c>
      <c r="J521">
        <v>2.58</v>
      </c>
      <c r="K521">
        <f t="shared" si="61"/>
        <v>14.020000000000001</v>
      </c>
      <c r="L521" t="str">
        <f t="shared" si="62"/>
        <v>October</v>
      </c>
      <c r="M521">
        <f>YEAR(C521)</f>
        <v>2024</v>
      </c>
      <c r="N521">
        <v>228</v>
      </c>
      <c r="O521" t="str">
        <f>IF(N521&gt;=200,"Platinum",IF(N521&gt;=100,"Gold",IF(N521&gt;=50,"Silver","Regular")))</f>
        <v>Platinum</v>
      </c>
      <c r="P521" s="4" t="str">
        <f t="shared" si="57"/>
        <v>Wednesday</v>
      </c>
      <c r="Q521" s="4" t="str">
        <f t="shared" si="58"/>
        <v>Small Order</v>
      </c>
      <c r="R521" s="4" t="str">
        <f t="shared" si="59"/>
        <v>Weekday</v>
      </c>
      <c r="S521" s="4" t="str">
        <f t="shared" si="60"/>
        <v>Regular</v>
      </c>
    </row>
    <row r="522" spans="1:19" x14ac:dyDescent="0.3">
      <c r="A522">
        <v>2070</v>
      </c>
      <c r="B522" t="s">
        <v>3</v>
      </c>
      <c r="C522" s="1">
        <v>45456</v>
      </c>
      <c r="D522" t="s">
        <v>9</v>
      </c>
      <c r="E522" t="s">
        <v>37</v>
      </c>
      <c r="F522">
        <v>4</v>
      </c>
      <c r="G522">
        <v>5.33</v>
      </c>
      <c r="H522">
        <v>21.32</v>
      </c>
      <c r="I522" t="str">
        <f t="shared" si="56"/>
        <v>Low</v>
      </c>
      <c r="J522">
        <v>3.25</v>
      </c>
      <c r="K522">
        <f t="shared" si="61"/>
        <v>18.07</v>
      </c>
      <c r="L522" t="str">
        <f t="shared" si="62"/>
        <v>June</v>
      </c>
      <c r="M522">
        <f>YEAR(C522)</f>
        <v>2024</v>
      </c>
      <c r="N522">
        <v>290</v>
      </c>
      <c r="O522" t="str">
        <f>IF(N522&gt;=200,"Platinum",IF(N522&gt;=100,"Gold",IF(N522&gt;=50,"Silver","Regular")))</f>
        <v>Platinum</v>
      </c>
      <c r="P522" s="4" t="str">
        <f t="shared" si="57"/>
        <v>Thursday</v>
      </c>
      <c r="Q522" s="4" t="str">
        <f t="shared" si="58"/>
        <v>Medium Order</v>
      </c>
      <c r="R522" s="4" t="str">
        <f t="shared" si="59"/>
        <v>Weekday</v>
      </c>
      <c r="S522" s="4" t="str">
        <f t="shared" si="60"/>
        <v>Regular</v>
      </c>
    </row>
    <row r="523" spans="1:19" x14ac:dyDescent="0.3">
      <c r="A523">
        <v>4385</v>
      </c>
      <c r="B523" t="s">
        <v>25</v>
      </c>
      <c r="C523" s="1">
        <v>45776</v>
      </c>
      <c r="D523" t="s">
        <v>1</v>
      </c>
      <c r="E523" t="s">
        <v>30</v>
      </c>
      <c r="F523">
        <v>4</v>
      </c>
      <c r="G523">
        <v>4.5599999999999996</v>
      </c>
      <c r="H523">
        <v>18.239999999999998</v>
      </c>
      <c r="I523" t="str">
        <f t="shared" si="56"/>
        <v>Low</v>
      </c>
      <c r="J523">
        <v>2.78</v>
      </c>
      <c r="K523">
        <f t="shared" si="61"/>
        <v>15.459999999999999</v>
      </c>
      <c r="L523" t="str">
        <f t="shared" si="62"/>
        <v>April</v>
      </c>
      <c r="M523">
        <f>YEAR(C523)</f>
        <v>2025</v>
      </c>
      <c r="N523">
        <v>485</v>
      </c>
      <c r="O523" t="str">
        <f>IF(N523&gt;=200,"Platinum",IF(N523&gt;=100,"Gold",IF(N523&gt;=50,"Silver","Regular")))</f>
        <v>Platinum</v>
      </c>
      <c r="P523" s="4" t="str">
        <f t="shared" si="57"/>
        <v>Tuesday</v>
      </c>
      <c r="Q523" s="4" t="str">
        <f t="shared" si="58"/>
        <v>Medium Order</v>
      </c>
      <c r="R523" s="4" t="str">
        <f t="shared" si="59"/>
        <v>Weekday</v>
      </c>
      <c r="S523" s="4" t="str">
        <f t="shared" si="60"/>
        <v>Regular</v>
      </c>
    </row>
    <row r="524" spans="1:19" x14ac:dyDescent="0.3">
      <c r="A524">
        <v>8941</v>
      </c>
      <c r="B524" t="s">
        <v>8</v>
      </c>
      <c r="C524" s="1">
        <v>45239</v>
      </c>
      <c r="D524" t="s">
        <v>17</v>
      </c>
      <c r="E524" t="s">
        <v>2</v>
      </c>
      <c r="F524">
        <v>1</v>
      </c>
      <c r="G524">
        <v>10.58</v>
      </c>
      <c r="H524">
        <v>10.58</v>
      </c>
      <c r="I524" t="str">
        <f t="shared" si="56"/>
        <v>Low</v>
      </c>
      <c r="J524">
        <v>1.61</v>
      </c>
      <c r="K524">
        <f t="shared" si="61"/>
        <v>8.9700000000000006</v>
      </c>
      <c r="L524" t="str">
        <f t="shared" si="62"/>
        <v>November</v>
      </c>
      <c r="M524">
        <f>YEAR(C524)</f>
        <v>2023</v>
      </c>
      <c r="N524">
        <v>363</v>
      </c>
      <c r="O524" t="str">
        <f>IF(N524&gt;=200,"Platinum",IF(N524&gt;=100,"Gold",IF(N524&gt;=50,"Silver","Regular")))</f>
        <v>Platinum</v>
      </c>
      <c r="P524" s="4" t="str">
        <f t="shared" si="57"/>
        <v>Thursday</v>
      </c>
      <c r="Q524" s="4" t="str">
        <f t="shared" si="58"/>
        <v>Small Order</v>
      </c>
      <c r="R524" s="4" t="str">
        <f t="shared" si="59"/>
        <v>Weekday</v>
      </c>
      <c r="S524" s="4" t="str">
        <f t="shared" si="60"/>
        <v>Regular</v>
      </c>
    </row>
    <row r="525" spans="1:19" x14ac:dyDescent="0.3">
      <c r="A525">
        <v>9592</v>
      </c>
      <c r="B525" t="s">
        <v>20</v>
      </c>
      <c r="C525" s="1">
        <v>45392</v>
      </c>
      <c r="D525" t="s">
        <v>24</v>
      </c>
      <c r="E525" t="s">
        <v>29</v>
      </c>
      <c r="F525">
        <v>1</v>
      </c>
      <c r="G525">
        <v>2.38</v>
      </c>
      <c r="H525">
        <v>2.38</v>
      </c>
      <c r="I525" t="str">
        <f t="shared" si="56"/>
        <v>Low</v>
      </c>
      <c r="J525">
        <v>0.36</v>
      </c>
      <c r="K525">
        <f t="shared" si="61"/>
        <v>2.02</v>
      </c>
      <c r="L525" t="str">
        <f t="shared" si="62"/>
        <v>April</v>
      </c>
      <c r="M525">
        <f>YEAR(C525)</f>
        <v>2024</v>
      </c>
      <c r="N525">
        <v>155</v>
      </c>
      <c r="O525" t="str">
        <f>IF(N525&gt;=200,"Platinum",IF(N525&gt;=100,"Gold",IF(N525&gt;=50,"Silver","Regular")))</f>
        <v>Gold</v>
      </c>
      <c r="P525" s="4" t="str">
        <f t="shared" si="57"/>
        <v>Wednesday</v>
      </c>
      <c r="Q525" s="4" t="str">
        <f t="shared" si="58"/>
        <v>Small Order</v>
      </c>
      <c r="R525" s="4" t="str">
        <f t="shared" si="59"/>
        <v>Weekday</v>
      </c>
      <c r="S525" s="4" t="str">
        <f t="shared" si="60"/>
        <v>Regular</v>
      </c>
    </row>
    <row r="526" spans="1:19" x14ac:dyDescent="0.3">
      <c r="A526">
        <v>7070</v>
      </c>
      <c r="B526" t="s">
        <v>31</v>
      </c>
      <c r="C526" s="1">
        <v>45313</v>
      </c>
      <c r="D526" t="s">
        <v>17</v>
      </c>
      <c r="E526" t="s">
        <v>30</v>
      </c>
      <c r="F526">
        <v>3</v>
      </c>
      <c r="G526">
        <v>1.39</v>
      </c>
      <c r="H526">
        <v>4.17</v>
      </c>
      <c r="I526" t="str">
        <f t="shared" si="56"/>
        <v>Low</v>
      </c>
      <c r="J526">
        <v>0.63</v>
      </c>
      <c r="K526">
        <f t="shared" si="61"/>
        <v>3.54</v>
      </c>
      <c r="L526" t="str">
        <f t="shared" si="62"/>
        <v>January</v>
      </c>
      <c r="M526">
        <f>YEAR(C526)</f>
        <v>2024</v>
      </c>
      <c r="N526">
        <v>355</v>
      </c>
      <c r="O526" t="str">
        <f>IF(N526&gt;=200,"Platinum",IF(N526&gt;=100,"Gold",IF(N526&gt;=50,"Silver","Regular")))</f>
        <v>Platinum</v>
      </c>
      <c r="P526" s="4" t="str">
        <f t="shared" si="57"/>
        <v>Monday</v>
      </c>
      <c r="Q526" s="4" t="str">
        <f t="shared" si="58"/>
        <v>Medium Order</v>
      </c>
      <c r="R526" s="4" t="str">
        <f t="shared" si="59"/>
        <v>Weekday</v>
      </c>
      <c r="S526" s="4" t="str">
        <f t="shared" si="60"/>
        <v>Regular</v>
      </c>
    </row>
    <row r="527" spans="1:19" x14ac:dyDescent="0.3">
      <c r="A527">
        <v>1241</v>
      </c>
      <c r="B527" t="s">
        <v>15</v>
      </c>
      <c r="C527" s="1">
        <v>45217</v>
      </c>
      <c r="D527" t="s">
        <v>24</v>
      </c>
      <c r="E527" t="s">
        <v>5</v>
      </c>
      <c r="F527">
        <v>1</v>
      </c>
      <c r="G527">
        <v>5.04</v>
      </c>
      <c r="H527">
        <v>5.04</v>
      </c>
      <c r="I527" t="str">
        <f t="shared" si="56"/>
        <v>Low</v>
      </c>
      <c r="J527">
        <v>0.76</v>
      </c>
      <c r="K527">
        <f t="shared" si="61"/>
        <v>4.28</v>
      </c>
      <c r="L527" t="str">
        <f t="shared" si="62"/>
        <v>October</v>
      </c>
      <c r="M527">
        <f>YEAR(C527)</f>
        <v>2023</v>
      </c>
      <c r="N527">
        <v>484</v>
      </c>
      <c r="O527" t="str">
        <f>IF(N527&gt;=200,"Platinum",IF(N527&gt;=100,"Gold",IF(N527&gt;=50,"Silver","Regular")))</f>
        <v>Platinum</v>
      </c>
      <c r="P527" s="4" t="str">
        <f t="shared" si="57"/>
        <v>Wednesday</v>
      </c>
      <c r="Q527" s="4" t="str">
        <f t="shared" si="58"/>
        <v>Small Order</v>
      </c>
      <c r="R527" s="4" t="str">
        <f t="shared" si="59"/>
        <v>Weekday</v>
      </c>
      <c r="S527" s="4" t="str">
        <f t="shared" si="60"/>
        <v>Regular</v>
      </c>
    </row>
    <row r="528" spans="1:19" x14ac:dyDescent="0.3">
      <c r="A528">
        <v>4389</v>
      </c>
      <c r="B528" t="s">
        <v>19</v>
      </c>
      <c r="C528" s="1">
        <v>45549</v>
      </c>
      <c r="D528" t="s">
        <v>1</v>
      </c>
      <c r="E528" t="s">
        <v>7</v>
      </c>
      <c r="F528">
        <v>3</v>
      </c>
      <c r="G528">
        <v>6.17</v>
      </c>
      <c r="H528">
        <v>18.510000000000002</v>
      </c>
      <c r="I528" t="str">
        <f t="shared" si="56"/>
        <v>Low</v>
      </c>
      <c r="J528">
        <v>2.79</v>
      </c>
      <c r="K528">
        <f t="shared" si="61"/>
        <v>15.720000000000002</v>
      </c>
      <c r="L528" t="str">
        <f t="shared" si="62"/>
        <v>September</v>
      </c>
      <c r="M528">
        <f>YEAR(C528)</f>
        <v>2024</v>
      </c>
      <c r="N528">
        <v>182</v>
      </c>
      <c r="O528" t="str">
        <f>IF(N528&gt;=200,"Platinum",IF(N528&gt;=100,"Gold",IF(N528&gt;=50,"Silver","Regular")))</f>
        <v>Gold</v>
      </c>
      <c r="P528" s="4" t="str">
        <f t="shared" si="57"/>
        <v>Saturday</v>
      </c>
      <c r="Q528" s="4" t="str">
        <f t="shared" si="58"/>
        <v>Medium Order</v>
      </c>
      <c r="R528" s="4" t="str">
        <f t="shared" si="59"/>
        <v>Weekend</v>
      </c>
      <c r="S528" s="4" t="str">
        <f t="shared" si="60"/>
        <v>Regular</v>
      </c>
    </row>
    <row r="529" spans="1:19" x14ac:dyDescent="0.3">
      <c r="A529">
        <v>4696</v>
      </c>
      <c r="B529" t="s">
        <v>15</v>
      </c>
      <c r="C529" s="1">
        <v>45813</v>
      </c>
      <c r="D529" t="s">
        <v>24</v>
      </c>
      <c r="E529" t="s">
        <v>7</v>
      </c>
      <c r="F529">
        <v>2</v>
      </c>
      <c r="G529">
        <v>2.99</v>
      </c>
      <c r="H529">
        <v>5.98</v>
      </c>
      <c r="I529" t="str">
        <f t="shared" si="56"/>
        <v>Low</v>
      </c>
      <c r="J529">
        <v>0.9</v>
      </c>
      <c r="K529">
        <f t="shared" si="61"/>
        <v>5.08</v>
      </c>
      <c r="L529" t="str">
        <f t="shared" si="62"/>
        <v>June</v>
      </c>
      <c r="M529">
        <f>YEAR(C529)</f>
        <v>2025</v>
      </c>
      <c r="N529">
        <v>79</v>
      </c>
      <c r="O529" t="str">
        <f>IF(N529&gt;=200,"Platinum",IF(N529&gt;=100,"Gold",IF(N529&gt;=50,"Silver","Regular")))</f>
        <v>Silver</v>
      </c>
      <c r="P529" s="4" t="str">
        <f t="shared" si="57"/>
        <v>Thursday</v>
      </c>
      <c r="Q529" s="4" t="str">
        <f t="shared" si="58"/>
        <v>Small Order</v>
      </c>
      <c r="R529" s="4" t="str">
        <f t="shared" si="59"/>
        <v>Weekday</v>
      </c>
      <c r="S529" s="4" t="str">
        <f t="shared" si="60"/>
        <v>Regular</v>
      </c>
    </row>
    <row r="530" spans="1:19" x14ac:dyDescent="0.3">
      <c r="A530">
        <v>4249</v>
      </c>
      <c r="B530" t="s">
        <v>15</v>
      </c>
      <c r="C530" s="1">
        <v>45204</v>
      </c>
      <c r="D530" t="s">
        <v>6</v>
      </c>
      <c r="E530" t="s">
        <v>32</v>
      </c>
      <c r="F530">
        <v>1</v>
      </c>
      <c r="G530">
        <v>5.05</v>
      </c>
      <c r="H530">
        <v>5.05</v>
      </c>
      <c r="I530" t="str">
        <f t="shared" si="56"/>
        <v>Low</v>
      </c>
      <c r="J530">
        <v>0.76</v>
      </c>
      <c r="K530">
        <f t="shared" si="61"/>
        <v>4.29</v>
      </c>
      <c r="L530" t="str">
        <f t="shared" si="62"/>
        <v>October</v>
      </c>
      <c r="M530">
        <f>YEAR(C530)</f>
        <v>2023</v>
      </c>
      <c r="N530">
        <v>63</v>
      </c>
      <c r="O530" t="str">
        <f>IF(N530&gt;=200,"Platinum",IF(N530&gt;=100,"Gold",IF(N530&gt;=50,"Silver","Regular")))</f>
        <v>Silver</v>
      </c>
      <c r="P530" s="4" t="str">
        <f t="shared" si="57"/>
        <v>Thursday</v>
      </c>
      <c r="Q530" s="4" t="str">
        <f t="shared" si="58"/>
        <v>Small Order</v>
      </c>
      <c r="R530" s="4" t="str">
        <f t="shared" si="59"/>
        <v>Weekday</v>
      </c>
      <c r="S530" s="4" t="str">
        <f t="shared" si="60"/>
        <v>Regular</v>
      </c>
    </row>
    <row r="531" spans="1:19" x14ac:dyDescent="0.3">
      <c r="A531">
        <v>5637</v>
      </c>
      <c r="B531" t="s">
        <v>15</v>
      </c>
      <c r="C531" s="1">
        <v>45440</v>
      </c>
      <c r="D531" t="s">
        <v>24</v>
      </c>
      <c r="E531" t="s">
        <v>32</v>
      </c>
      <c r="F531">
        <v>3</v>
      </c>
      <c r="G531">
        <v>1.44</v>
      </c>
      <c r="H531">
        <v>4.32</v>
      </c>
      <c r="I531" t="str">
        <f t="shared" si="56"/>
        <v>Low</v>
      </c>
      <c r="J531">
        <v>0.65</v>
      </c>
      <c r="K531">
        <f t="shared" si="61"/>
        <v>3.6700000000000004</v>
      </c>
      <c r="L531" t="str">
        <f t="shared" si="62"/>
        <v>May</v>
      </c>
      <c r="M531">
        <f>YEAR(C531)</f>
        <v>2024</v>
      </c>
      <c r="N531">
        <v>20</v>
      </c>
      <c r="O531" t="str">
        <f>IF(N531&gt;=200,"Platinum",IF(N531&gt;=100,"Gold",IF(N531&gt;=50,"Silver","Regular")))</f>
        <v>Regular</v>
      </c>
      <c r="P531" s="4" t="str">
        <f t="shared" si="57"/>
        <v>Tuesday</v>
      </c>
      <c r="Q531" s="4" t="str">
        <f t="shared" si="58"/>
        <v>Medium Order</v>
      </c>
      <c r="R531" s="4" t="str">
        <f t="shared" si="59"/>
        <v>Weekday</v>
      </c>
      <c r="S531" s="4" t="str">
        <f t="shared" si="60"/>
        <v>Regular</v>
      </c>
    </row>
    <row r="532" spans="1:19" x14ac:dyDescent="0.3">
      <c r="A532">
        <v>7367</v>
      </c>
      <c r="B532" t="s">
        <v>13</v>
      </c>
      <c r="C532" s="1">
        <v>45497</v>
      </c>
      <c r="D532" t="s">
        <v>1</v>
      </c>
      <c r="E532" t="s">
        <v>26</v>
      </c>
      <c r="F532">
        <v>5</v>
      </c>
      <c r="G532">
        <v>2.1800000000000002</v>
      </c>
      <c r="H532">
        <v>10.9</v>
      </c>
      <c r="I532" t="str">
        <f t="shared" si="56"/>
        <v>Low</v>
      </c>
      <c r="J532">
        <v>1.64</v>
      </c>
      <c r="K532">
        <f t="shared" si="61"/>
        <v>9.26</v>
      </c>
      <c r="L532" t="str">
        <f t="shared" si="62"/>
        <v>July</v>
      </c>
      <c r="M532">
        <f>YEAR(C532)</f>
        <v>2024</v>
      </c>
      <c r="N532">
        <v>276</v>
      </c>
      <c r="O532" t="str">
        <f>IF(N532&gt;=200,"Platinum",IF(N532&gt;=100,"Gold",IF(N532&gt;=50,"Silver","Regular")))</f>
        <v>Platinum</v>
      </c>
      <c r="P532" s="4" t="str">
        <f t="shared" si="57"/>
        <v>Wednesday</v>
      </c>
      <c r="Q532" s="4" t="str">
        <f t="shared" si="58"/>
        <v>Medium Order</v>
      </c>
      <c r="R532" s="4" t="str">
        <f t="shared" si="59"/>
        <v>Weekday</v>
      </c>
      <c r="S532" s="4" t="str">
        <f t="shared" si="60"/>
        <v>Regular</v>
      </c>
    </row>
    <row r="533" spans="1:19" x14ac:dyDescent="0.3">
      <c r="A533">
        <v>1590</v>
      </c>
      <c r="B533" t="s">
        <v>15</v>
      </c>
      <c r="C533" s="1">
        <v>45793</v>
      </c>
      <c r="D533" t="s">
        <v>1</v>
      </c>
      <c r="E533" t="s">
        <v>26</v>
      </c>
      <c r="F533">
        <v>2</v>
      </c>
      <c r="G533">
        <v>2.2599999999999998</v>
      </c>
      <c r="H533">
        <v>4.5199999999999996</v>
      </c>
      <c r="I533" t="str">
        <f t="shared" si="56"/>
        <v>Low</v>
      </c>
      <c r="J533">
        <v>0.68</v>
      </c>
      <c r="K533">
        <f t="shared" si="61"/>
        <v>3.8399999999999994</v>
      </c>
      <c r="L533" t="str">
        <f t="shared" si="62"/>
        <v>May</v>
      </c>
      <c r="M533">
        <f>YEAR(C533)</f>
        <v>2025</v>
      </c>
      <c r="N533">
        <v>102</v>
      </c>
      <c r="O533" t="str">
        <f>IF(N533&gt;=200,"Platinum",IF(N533&gt;=100,"Gold",IF(N533&gt;=50,"Silver","Regular")))</f>
        <v>Gold</v>
      </c>
      <c r="P533" s="4" t="str">
        <f t="shared" si="57"/>
        <v>Friday</v>
      </c>
      <c r="Q533" s="4" t="str">
        <f t="shared" si="58"/>
        <v>Small Order</v>
      </c>
      <c r="R533" s="4" t="str">
        <f t="shared" si="59"/>
        <v>Weekday</v>
      </c>
      <c r="S533" s="4" t="str">
        <f t="shared" si="60"/>
        <v>Regular</v>
      </c>
    </row>
    <row r="534" spans="1:19" x14ac:dyDescent="0.3">
      <c r="A534">
        <v>9346</v>
      </c>
      <c r="B534" t="s">
        <v>31</v>
      </c>
      <c r="C534" s="1">
        <v>45455</v>
      </c>
      <c r="D534" t="s">
        <v>17</v>
      </c>
      <c r="E534" t="s">
        <v>12</v>
      </c>
      <c r="F534">
        <v>1</v>
      </c>
      <c r="G534">
        <v>2.46</v>
      </c>
      <c r="H534">
        <v>2.46</v>
      </c>
      <c r="I534" t="str">
        <f t="shared" si="56"/>
        <v>Low</v>
      </c>
      <c r="J534">
        <v>0.37</v>
      </c>
      <c r="K534">
        <f t="shared" si="61"/>
        <v>2.09</v>
      </c>
      <c r="L534" t="str">
        <f t="shared" si="62"/>
        <v>June</v>
      </c>
      <c r="M534">
        <f>YEAR(C534)</f>
        <v>2024</v>
      </c>
      <c r="N534">
        <v>253</v>
      </c>
      <c r="O534" t="str">
        <f>IF(N534&gt;=200,"Platinum",IF(N534&gt;=100,"Gold",IF(N534&gt;=50,"Silver","Regular")))</f>
        <v>Platinum</v>
      </c>
      <c r="P534" s="4" t="str">
        <f t="shared" si="57"/>
        <v>Wednesday</v>
      </c>
      <c r="Q534" s="4" t="str">
        <f t="shared" si="58"/>
        <v>Small Order</v>
      </c>
      <c r="R534" s="4" t="str">
        <f t="shared" si="59"/>
        <v>Weekday</v>
      </c>
      <c r="S534" s="4" t="str">
        <f t="shared" si="60"/>
        <v>Regular</v>
      </c>
    </row>
    <row r="535" spans="1:19" x14ac:dyDescent="0.3">
      <c r="A535">
        <v>3002</v>
      </c>
      <c r="B535" t="s">
        <v>3</v>
      </c>
      <c r="C535" s="1">
        <v>45464</v>
      </c>
      <c r="D535" t="s">
        <v>4</v>
      </c>
      <c r="E535" t="s">
        <v>21</v>
      </c>
      <c r="F535">
        <v>1</v>
      </c>
      <c r="G535">
        <v>10.44</v>
      </c>
      <c r="H535">
        <v>10.44</v>
      </c>
      <c r="I535" t="str">
        <f t="shared" si="56"/>
        <v>Low</v>
      </c>
      <c r="J535">
        <v>1.57</v>
      </c>
      <c r="K535">
        <f t="shared" si="61"/>
        <v>8.8699999999999992</v>
      </c>
      <c r="L535" t="str">
        <f t="shared" si="62"/>
        <v>June</v>
      </c>
      <c r="M535">
        <f>YEAR(C535)</f>
        <v>2024</v>
      </c>
      <c r="N535">
        <v>332</v>
      </c>
      <c r="O535" t="str">
        <f>IF(N535&gt;=200,"Platinum",IF(N535&gt;=100,"Gold",IF(N535&gt;=50,"Silver","Regular")))</f>
        <v>Platinum</v>
      </c>
      <c r="P535" s="4" t="str">
        <f t="shared" si="57"/>
        <v>Friday</v>
      </c>
      <c r="Q535" s="4" t="str">
        <f t="shared" si="58"/>
        <v>Small Order</v>
      </c>
      <c r="R535" s="4" t="str">
        <f t="shared" si="59"/>
        <v>Weekday</v>
      </c>
      <c r="S535" s="4" t="str">
        <f t="shared" si="60"/>
        <v>Regular</v>
      </c>
    </row>
    <row r="536" spans="1:19" x14ac:dyDescent="0.3">
      <c r="A536">
        <v>5496</v>
      </c>
      <c r="B536" t="s">
        <v>31</v>
      </c>
      <c r="C536" s="1">
        <v>45242</v>
      </c>
      <c r="D536" t="s">
        <v>4</v>
      </c>
      <c r="E536" t="s">
        <v>37</v>
      </c>
      <c r="F536">
        <v>1</v>
      </c>
      <c r="G536">
        <v>11.44</v>
      </c>
      <c r="H536">
        <v>11.44</v>
      </c>
      <c r="I536" t="str">
        <f t="shared" si="56"/>
        <v>Low</v>
      </c>
      <c r="J536">
        <v>1.72</v>
      </c>
      <c r="K536">
        <f t="shared" si="61"/>
        <v>9.7199999999999989</v>
      </c>
      <c r="L536" t="str">
        <f t="shared" si="62"/>
        <v>November</v>
      </c>
      <c r="M536">
        <f>YEAR(C536)</f>
        <v>2023</v>
      </c>
      <c r="N536">
        <v>279</v>
      </c>
      <c r="O536" t="str">
        <f>IF(N536&gt;=200,"Platinum",IF(N536&gt;=100,"Gold",IF(N536&gt;=50,"Silver","Regular")))</f>
        <v>Platinum</v>
      </c>
      <c r="P536" s="4" t="str">
        <f t="shared" si="57"/>
        <v>Sunday</v>
      </c>
      <c r="Q536" s="4" t="str">
        <f t="shared" si="58"/>
        <v>Small Order</v>
      </c>
      <c r="R536" s="4" t="str">
        <f t="shared" si="59"/>
        <v>Weekend</v>
      </c>
      <c r="S536" s="4" t="str">
        <f t="shared" si="60"/>
        <v>Regular</v>
      </c>
    </row>
    <row r="537" spans="1:19" x14ac:dyDescent="0.3">
      <c r="A537">
        <v>7937</v>
      </c>
      <c r="B537" t="s">
        <v>19</v>
      </c>
      <c r="C537" s="1">
        <v>45539</v>
      </c>
      <c r="D537" t="s">
        <v>27</v>
      </c>
      <c r="E537" t="s">
        <v>29</v>
      </c>
      <c r="F537">
        <v>1</v>
      </c>
      <c r="G537">
        <v>10.51</v>
      </c>
      <c r="H537">
        <v>10.51</v>
      </c>
      <c r="I537" t="str">
        <f t="shared" si="56"/>
        <v>Low</v>
      </c>
      <c r="J537">
        <v>1.58</v>
      </c>
      <c r="K537">
        <f t="shared" si="61"/>
        <v>8.93</v>
      </c>
      <c r="L537" t="str">
        <f t="shared" si="62"/>
        <v>September</v>
      </c>
      <c r="M537">
        <f>YEAR(C537)</f>
        <v>2024</v>
      </c>
      <c r="N537">
        <v>59</v>
      </c>
      <c r="O537" t="str">
        <f>IF(N537&gt;=200,"Platinum",IF(N537&gt;=100,"Gold",IF(N537&gt;=50,"Silver","Regular")))</f>
        <v>Silver</v>
      </c>
      <c r="P537" s="4" t="str">
        <f t="shared" si="57"/>
        <v>Wednesday</v>
      </c>
      <c r="Q537" s="4" t="str">
        <f t="shared" si="58"/>
        <v>Small Order</v>
      </c>
      <c r="R537" s="4" t="str">
        <f t="shared" si="59"/>
        <v>Weekday</v>
      </c>
      <c r="S537" s="4" t="str">
        <f t="shared" si="60"/>
        <v>Regular</v>
      </c>
    </row>
    <row r="538" spans="1:19" x14ac:dyDescent="0.3">
      <c r="A538">
        <v>1627</v>
      </c>
      <c r="B538" t="s">
        <v>15</v>
      </c>
      <c r="C538" s="1">
        <v>45367</v>
      </c>
      <c r="D538" t="s">
        <v>4</v>
      </c>
      <c r="E538" t="s">
        <v>14</v>
      </c>
      <c r="F538">
        <v>2</v>
      </c>
      <c r="G538">
        <v>6.52</v>
      </c>
      <c r="H538">
        <v>13.04</v>
      </c>
      <c r="I538" t="str">
        <f t="shared" si="56"/>
        <v>Low</v>
      </c>
      <c r="J538">
        <v>1.96</v>
      </c>
      <c r="K538">
        <f t="shared" si="61"/>
        <v>11.079999999999998</v>
      </c>
      <c r="L538" t="str">
        <f t="shared" si="62"/>
        <v>March</v>
      </c>
      <c r="M538">
        <f>YEAR(C538)</f>
        <v>2024</v>
      </c>
      <c r="N538">
        <v>441</v>
      </c>
      <c r="O538" t="str">
        <f>IF(N538&gt;=200,"Platinum",IF(N538&gt;=100,"Gold",IF(N538&gt;=50,"Silver","Regular")))</f>
        <v>Platinum</v>
      </c>
      <c r="P538" s="4" t="str">
        <f t="shared" si="57"/>
        <v>Saturday</v>
      </c>
      <c r="Q538" s="4" t="str">
        <f t="shared" si="58"/>
        <v>Small Order</v>
      </c>
      <c r="R538" s="4" t="str">
        <f t="shared" si="59"/>
        <v>Weekend</v>
      </c>
      <c r="S538" s="4" t="str">
        <f t="shared" si="60"/>
        <v>Regular</v>
      </c>
    </row>
    <row r="539" spans="1:19" x14ac:dyDescent="0.3">
      <c r="A539">
        <v>3200</v>
      </c>
      <c r="B539" t="s">
        <v>13</v>
      </c>
      <c r="C539" s="1">
        <v>45350</v>
      </c>
      <c r="D539" t="s">
        <v>27</v>
      </c>
      <c r="E539" t="s">
        <v>12</v>
      </c>
      <c r="F539">
        <v>1</v>
      </c>
      <c r="G539">
        <v>11.51</v>
      </c>
      <c r="H539">
        <v>11.51</v>
      </c>
      <c r="I539" t="str">
        <f t="shared" si="56"/>
        <v>Low</v>
      </c>
      <c r="J539">
        <v>1.73</v>
      </c>
      <c r="K539">
        <f t="shared" si="61"/>
        <v>9.7799999999999994</v>
      </c>
      <c r="L539" t="str">
        <f t="shared" si="62"/>
        <v>February</v>
      </c>
      <c r="M539">
        <f>YEAR(C539)</f>
        <v>2024</v>
      </c>
      <c r="N539">
        <v>92</v>
      </c>
      <c r="O539" t="str">
        <f>IF(N539&gt;=200,"Platinum",IF(N539&gt;=100,"Gold",IF(N539&gt;=50,"Silver","Regular")))</f>
        <v>Silver</v>
      </c>
      <c r="P539" s="4" t="str">
        <f t="shared" si="57"/>
        <v>Wednesday</v>
      </c>
      <c r="Q539" s="4" t="str">
        <f t="shared" si="58"/>
        <v>Small Order</v>
      </c>
      <c r="R539" s="4" t="str">
        <f t="shared" si="59"/>
        <v>Weekday</v>
      </c>
      <c r="S539" s="4" t="str">
        <f t="shared" si="60"/>
        <v>Regular</v>
      </c>
    </row>
    <row r="540" spans="1:19" x14ac:dyDescent="0.3">
      <c r="A540">
        <v>6438</v>
      </c>
      <c r="B540" t="s">
        <v>25</v>
      </c>
      <c r="C540" s="1">
        <v>45357</v>
      </c>
      <c r="D540" t="s">
        <v>24</v>
      </c>
      <c r="E540" t="s">
        <v>35</v>
      </c>
      <c r="F540">
        <v>2</v>
      </c>
      <c r="G540">
        <v>3.46</v>
      </c>
      <c r="H540">
        <v>6.92</v>
      </c>
      <c r="I540" t="str">
        <f t="shared" si="56"/>
        <v>Low</v>
      </c>
      <c r="J540">
        <v>1.04</v>
      </c>
      <c r="K540">
        <f t="shared" si="61"/>
        <v>5.88</v>
      </c>
      <c r="L540" t="str">
        <f t="shared" si="62"/>
        <v>March</v>
      </c>
      <c r="M540">
        <f>YEAR(C540)</f>
        <v>2024</v>
      </c>
      <c r="N540">
        <v>190</v>
      </c>
      <c r="O540" t="str">
        <f>IF(N540&gt;=200,"Platinum",IF(N540&gt;=100,"Gold",IF(N540&gt;=50,"Silver","Regular")))</f>
        <v>Gold</v>
      </c>
      <c r="P540" s="4" t="str">
        <f t="shared" si="57"/>
        <v>Wednesday</v>
      </c>
      <c r="Q540" s="4" t="str">
        <f t="shared" si="58"/>
        <v>Small Order</v>
      </c>
      <c r="R540" s="4" t="str">
        <f t="shared" si="59"/>
        <v>Weekday</v>
      </c>
      <c r="S540" s="4" t="str">
        <f t="shared" si="60"/>
        <v>Regular</v>
      </c>
    </row>
    <row r="541" spans="1:19" x14ac:dyDescent="0.3">
      <c r="A541">
        <v>4743</v>
      </c>
      <c r="B541" t="s">
        <v>25</v>
      </c>
      <c r="C541" s="1">
        <v>45466</v>
      </c>
      <c r="D541" t="s">
        <v>1</v>
      </c>
      <c r="E541" t="s">
        <v>2</v>
      </c>
      <c r="F541">
        <v>4</v>
      </c>
      <c r="G541">
        <v>3.51</v>
      </c>
      <c r="H541">
        <v>14.04</v>
      </c>
      <c r="I541" t="str">
        <f t="shared" si="56"/>
        <v>Low</v>
      </c>
      <c r="J541">
        <v>2.11</v>
      </c>
      <c r="K541">
        <f t="shared" si="61"/>
        <v>11.93</v>
      </c>
      <c r="L541" t="str">
        <f t="shared" si="62"/>
        <v>June</v>
      </c>
      <c r="M541">
        <f>YEAR(C541)</f>
        <v>2024</v>
      </c>
      <c r="N541">
        <v>449</v>
      </c>
      <c r="O541" t="str">
        <f>IF(N541&gt;=200,"Platinum",IF(N541&gt;=100,"Gold",IF(N541&gt;=50,"Silver","Regular")))</f>
        <v>Platinum</v>
      </c>
      <c r="P541" s="4" t="str">
        <f t="shared" si="57"/>
        <v>Sunday</v>
      </c>
      <c r="Q541" s="4" t="str">
        <f t="shared" si="58"/>
        <v>Medium Order</v>
      </c>
      <c r="R541" s="4" t="str">
        <f t="shared" si="59"/>
        <v>Weekend</v>
      </c>
      <c r="S541" s="4" t="str">
        <f t="shared" si="60"/>
        <v>Regular</v>
      </c>
    </row>
    <row r="542" spans="1:19" x14ac:dyDescent="0.3">
      <c r="A542">
        <v>7129</v>
      </c>
      <c r="B542" t="s">
        <v>8</v>
      </c>
      <c r="C542" s="1">
        <v>45448</v>
      </c>
      <c r="D542" t="s">
        <v>34</v>
      </c>
      <c r="E542" t="s">
        <v>33</v>
      </c>
      <c r="F542">
        <v>1</v>
      </c>
      <c r="G542">
        <v>7.12</v>
      </c>
      <c r="H542">
        <v>7.12</v>
      </c>
      <c r="I542" t="str">
        <f t="shared" si="56"/>
        <v>Low</v>
      </c>
      <c r="J542">
        <v>1.07</v>
      </c>
      <c r="K542">
        <f t="shared" si="61"/>
        <v>6.05</v>
      </c>
      <c r="L542" t="str">
        <f t="shared" si="62"/>
        <v>June</v>
      </c>
      <c r="M542">
        <f>YEAR(C542)</f>
        <v>2024</v>
      </c>
      <c r="N542">
        <v>222</v>
      </c>
      <c r="O542" t="str">
        <f>IF(N542&gt;=200,"Platinum",IF(N542&gt;=100,"Gold",IF(N542&gt;=50,"Silver","Regular")))</f>
        <v>Platinum</v>
      </c>
      <c r="P542" s="4" t="str">
        <f t="shared" si="57"/>
        <v>Wednesday</v>
      </c>
      <c r="Q542" s="4" t="str">
        <f t="shared" si="58"/>
        <v>Small Order</v>
      </c>
      <c r="R542" s="4" t="str">
        <f t="shared" si="59"/>
        <v>Weekday</v>
      </c>
      <c r="S542" s="4" t="str">
        <f t="shared" si="60"/>
        <v>Regular</v>
      </c>
    </row>
    <row r="543" spans="1:19" x14ac:dyDescent="0.3">
      <c r="A543">
        <v>9540</v>
      </c>
      <c r="B543" t="s">
        <v>0</v>
      </c>
      <c r="C543" s="1">
        <v>45521</v>
      </c>
      <c r="D543" t="s">
        <v>27</v>
      </c>
      <c r="E543" t="s">
        <v>29</v>
      </c>
      <c r="F543">
        <v>2</v>
      </c>
      <c r="G543">
        <v>7.12</v>
      </c>
      <c r="H543">
        <v>14.24</v>
      </c>
      <c r="I543" t="str">
        <f t="shared" si="56"/>
        <v>Low</v>
      </c>
      <c r="J543">
        <v>2.14</v>
      </c>
      <c r="K543">
        <f t="shared" si="61"/>
        <v>12.1</v>
      </c>
      <c r="L543" t="str">
        <f t="shared" si="62"/>
        <v>August</v>
      </c>
      <c r="M543">
        <f>YEAR(C543)</f>
        <v>2024</v>
      </c>
      <c r="N543">
        <v>444</v>
      </c>
      <c r="O543" t="str">
        <f>IF(N543&gt;=200,"Platinum",IF(N543&gt;=100,"Gold",IF(N543&gt;=50,"Silver","Regular")))</f>
        <v>Platinum</v>
      </c>
      <c r="P543" s="4" t="str">
        <f t="shared" si="57"/>
        <v>Saturday</v>
      </c>
      <c r="Q543" s="4" t="str">
        <f t="shared" si="58"/>
        <v>Small Order</v>
      </c>
      <c r="R543" s="4" t="str">
        <f t="shared" si="59"/>
        <v>Weekend</v>
      </c>
      <c r="S543" s="4" t="str">
        <f t="shared" si="60"/>
        <v>Regular</v>
      </c>
    </row>
    <row r="544" spans="1:19" x14ac:dyDescent="0.3">
      <c r="A544">
        <v>6890</v>
      </c>
      <c r="B544" t="s">
        <v>0</v>
      </c>
      <c r="C544" s="1">
        <v>45689</v>
      </c>
      <c r="D544" t="s">
        <v>16</v>
      </c>
      <c r="E544" t="s">
        <v>12</v>
      </c>
      <c r="F544">
        <v>1</v>
      </c>
      <c r="G544">
        <v>5.59</v>
      </c>
      <c r="H544">
        <v>5.59</v>
      </c>
      <c r="I544" t="str">
        <f t="shared" si="56"/>
        <v>Low</v>
      </c>
      <c r="J544">
        <v>0.84</v>
      </c>
      <c r="K544">
        <f t="shared" si="61"/>
        <v>4.75</v>
      </c>
      <c r="L544" t="str">
        <f t="shared" si="62"/>
        <v>February</v>
      </c>
      <c r="M544">
        <f>YEAR(C544)</f>
        <v>2025</v>
      </c>
      <c r="N544">
        <v>243</v>
      </c>
      <c r="O544" t="str">
        <f>IF(N544&gt;=200,"Platinum",IF(N544&gt;=100,"Gold",IF(N544&gt;=50,"Silver","Regular")))</f>
        <v>Platinum</v>
      </c>
      <c r="P544" s="4" t="str">
        <f t="shared" si="57"/>
        <v>Saturday</v>
      </c>
      <c r="Q544" s="4" t="str">
        <f t="shared" si="58"/>
        <v>Small Order</v>
      </c>
      <c r="R544" s="4" t="str">
        <f t="shared" si="59"/>
        <v>Weekend</v>
      </c>
      <c r="S544" s="4" t="str">
        <f t="shared" si="60"/>
        <v>Regular</v>
      </c>
    </row>
    <row r="545" spans="1:19" x14ac:dyDescent="0.3">
      <c r="A545">
        <v>5480</v>
      </c>
      <c r="B545" t="s">
        <v>19</v>
      </c>
      <c r="C545" s="1">
        <v>45368</v>
      </c>
      <c r="D545" t="s">
        <v>27</v>
      </c>
      <c r="E545" t="s">
        <v>2</v>
      </c>
      <c r="F545">
        <v>5</v>
      </c>
      <c r="G545">
        <v>3.86</v>
      </c>
      <c r="H545">
        <v>19.3</v>
      </c>
      <c r="I545" t="str">
        <f t="shared" si="56"/>
        <v>Low</v>
      </c>
      <c r="J545">
        <v>2.9</v>
      </c>
      <c r="K545">
        <f t="shared" si="61"/>
        <v>16.400000000000002</v>
      </c>
      <c r="L545" t="str">
        <f t="shared" si="62"/>
        <v>March</v>
      </c>
      <c r="M545">
        <f>YEAR(C545)</f>
        <v>2024</v>
      </c>
      <c r="N545">
        <v>24</v>
      </c>
      <c r="O545" t="str">
        <f>IF(N545&gt;=200,"Platinum",IF(N545&gt;=100,"Gold",IF(N545&gt;=50,"Silver","Regular")))</f>
        <v>Regular</v>
      </c>
      <c r="P545" s="4" t="str">
        <f t="shared" si="57"/>
        <v>Sunday</v>
      </c>
      <c r="Q545" s="4" t="str">
        <f t="shared" si="58"/>
        <v>Medium Order</v>
      </c>
      <c r="R545" s="4" t="str">
        <f t="shared" si="59"/>
        <v>Weekend</v>
      </c>
      <c r="S545" s="4" t="str">
        <f t="shared" si="60"/>
        <v>Regular</v>
      </c>
    </row>
    <row r="546" spans="1:19" x14ac:dyDescent="0.3">
      <c r="A546">
        <v>9666</v>
      </c>
      <c r="B546" t="s">
        <v>19</v>
      </c>
      <c r="C546" s="1">
        <v>45151</v>
      </c>
      <c r="D546" t="s">
        <v>16</v>
      </c>
      <c r="E546" t="s">
        <v>30</v>
      </c>
      <c r="F546">
        <v>3</v>
      </c>
      <c r="G546">
        <v>3.35</v>
      </c>
      <c r="H546">
        <v>10.050000000000001</v>
      </c>
      <c r="I546" t="str">
        <f t="shared" si="56"/>
        <v>Low</v>
      </c>
      <c r="J546">
        <v>1.51</v>
      </c>
      <c r="K546">
        <f t="shared" si="61"/>
        <v>8.5400000000000009</v>
      </c>
      <c r="L546" t="str">
        <f t="shared" si="62"/>
        <v>August</v>
      </c>
      <c r="M546">
        <f>YEAR(C546)</f>
        <v>2023</v>
      </c>
      <c r="N546">
        <v>339</v>
      </c>
      <c r="O546" t="str">
        <f>IF(N546&gt;=200,"Platinum",IF(N546&gt;=100,"Gold",IF(N546&gt;=50,"Silver","Regular")))</f>
        <v>Platinum</v>
      </c>
      <c r="P546" s="4" t="str">
        <f t="shared" si="57"/>
        <v>Sunday</v>
      </c>
      <c r="Q546" s="4" t="str">
        <f t="shared" si="58"/>
        <v>Medium Order</v>
      </c>
      <c r="R546" s="4" t="str">
        <f t="shared" si="59"/>
        <v>Weekend</v>
      </c>
      <c r="S546" s="4" t="str">
        <f t="shared" si="60"/>
        <v>Regular</v>
      </c>
    </row>
    <row r="547" spans="1:19" x14ac:dyDescent="0.3">
      <c r="A547">
        <v>9361</v>
      </c>
      <c r="B547" t="s">
        <v>25</v>
      </c>
      <c r="C547" s="1">
        <v>45491</v>
      </c>
      <c r="D547" t="s">
        <v>11</v>
      </c>
      <c r="E547" t="s">
        <v>32</v>
      </c>
      <c r="F547">
        <v>1</v>
      </c>
      <c r="G547">
        <v>6.19</v>
      </c>
      <c r="H547">
        <v>6.19</v>
      </c>
      <c r="I547" t="str">
        <f t="shared" si="56"/>
        <v>Low</v>
      </c>
      <c r="J547">
        <v>0.93</v>
      </c>
      <c r="K547">
        <f t="shared" si="61"/>
        <v>5.2600000000000007</v>
      </c>
      <c r="L547" t="str">
        <f t="shared" si="62"/>
        <v>July</v>
      </c>
      <c r="M547">
        <f>YEAR(C547)</f>
        <v>2024</v>
      </c>
      <c r="N547">
        <v>395</v>
      </c>
      <c r="O547" t="str">
        <f>IF(N547&gt;=200,"Platinum",IF(N547&gt;=100,"Gold",IF(N547&gt;=50,"Silver","Regular")))</f>
        <v>Platinum</v>
      </c>
      <c r="P547" s="4" t="str">
        <f t="shared" si="57"/>
        <v>Thursday</v>
      </c>
      <c r="Q547" s="4" t="str">
        <f t="shared" si="58"/>
        <v>Small Order</v>
      </c>
      <c r="R547" s="4" t="str">
        <f t="shared" si="59"/>
        <v>Weekday</v>
      </c>
      <c r="S547" s="4" t="str">
        <f t="shared" si="60"/>
        <v>Regular</v>
      </c>
    </row>
    <row r="548" spans="1:19" x14ac:dyDescent="0.3">
      <c r="A548">
        <v>1058</v>
      </c>
      <c r="B548" t="s">
        <v>8</v>
      </c>
      <c r="C548" s="1">
        <v>45404</v>
      </c>
      <c r="D548" t="s">
        <v>27</v>
      </c>
      <c r="E548" t="s">
        <v>35</v>
      </c>
      <c r="F548">
        <v>4</v>
      </c>
      <c r="G548">
        <v>4.21</v>
      </c>
      <c r="H548">
        <v>16.84</v>
      </c>
      <c r="I548" t="str">
        <f t="shared" si="56"/>
        <v>Low</v>
      </c>
      <c r="J548">
        <v>2.5299999999999998</v>
      </c>
      <c r="K548">
        <f t="shared" si="61"/>
        <v>14.31</v>
      </c>
      <c r="L548" t="str">
        <f t="shared" si="62"/>
        <v>April</v>
      </c>
      <c r="M548">
        <f>YEAR(C548)</f>
        <v>2024</v>
      </c>
      <c r="N548">
        <v>147</v>
      </c>
      <c r="O548" t="str">
        <f>IF(N548&gt;=200,"Platinum",IF(N548&gt;=100,"Gold",IF(N548&gt;=50,"Silver","Regular")))</f>
        <v>Gold</v>
      </c>
      <c r="P548" s="4" t="str">
        <f t="shared" si="57"/>
        <v>Monday</v>
      </c>
      <c r="Q548" s="4" t="str">
        <f t="shared" si="58"/>
        <v>Medium Order</v>
      </c>
      <c r="R548" s="4" t="str">
        <f t="shared" si="59"/>
        <v>Weekday</v>
      </c>
      <c r="S548" s="4" t="str">
        <f t="shared" si="60"/>
        <v>Regular</v>
      </c>
    </row>
    <row r="549" spans="1:19" x14ac:dyDescent="0.3">
      <c r="A549">
        <v>4681</v>
      </c>
      <c r="B549" t="s">
        <v>25</v>
      </c>
      <c r="C549" s="1">
        <v>45194</v>
      </c>
      <c r="D549" t="s">
        <v>11</v>
      </c>
      <c r="E549" t="s">
        <v>37</v>
      </c>
      <c r="F549">
        <v>2</v>
      </c>
      <c r="G549">
        <v>10.55</v>
      </c>
      <c r="H549">
        <v>21.1</v>
      </c>
      <c r="I549" t="str">
        <f t="shared" si="56"/>
        <v>Low</v>
      </c>
      <c r="J549">
        <v>3.17</v>
      </c>
      <c r="K549">
        <f t="shared" si="61"/>
        <v>17.93</v>
      </c>
      <c r="L549" t="str">
        <f t="shared" si="62"/>
        <v>September</v>
      </c>
      <c r="M549">
        <f>YEAR(C549)</f>
        <v>2023</v>
      </c>
      <c r="N549">
        <v>355</v>
      </c>
      <c r="O549" t="str">
        <f>IF(N549&gt;=200,"Platinum",IF(N549&gt;=100,"Gold",IF(N549&gt;=50,"Silver","Regular")))</f>
        <v>Platinum</v>
      </c>
      <c r="P549" s="4" t="str">
        <f t="shared" si="57"/>
        <v>Monday</v>
      </c>
      <c r="Q549" s="4" t="str">
        <f t="shared" si="58"/>
        <v>Small Order</v>
      </c>
      <c r="R549" s="4" t="str">
        <f t="shared" si="59"/>
        <v>Weekday</v>
      </c>
      <c r="S549" s="4" t="str">
        <f t="shared" si="60"/>
        <v>Regular</v>
      </c>
    </row>
    <row r="550" spans="1:19" x14ac:dyDescent="0.3">
      <c r="A550">
        <v>9751</v>
      </c>
      <c r="B550" t="s">
        <v>3</v>
      </c>
      <c r="C550" s="1">
        <v>45243</v>
      </c>
      <c r="D550" t="s">
        <v>34</v>
      </c>
      <c r="E550" t="s">
        <v>30</v>
      </c>
      <c r="F550">
        <v>1</v>
      </c>
      <c r="G550">
        <v>11.45</v>
      </c>
      <c r="H550">
        <v>11.45</v>
      </c>
      <c r="I550" t="str">
        <f t="shared" si="56"/>
        <v>Low</v>
      </c>
      <c r="J550">
        <v>1.72</v>
      </c>
      <c r="K550">
        <f t="shared" si="61"/>
        <v>9.7299999999999986</v>
      </c>
      <c r="L550" t="str">
        <f t="shared" si="62"/>
        <v>November</v>
      </c>
      <c r="M550">
        <f>YEAR(C550)</f>
        <v>2023</v>
      </c>
      <c r="N550">
        <v>218</v>
      </c>
      <c r="O550" t="str">
        <f>IF(N550&gt;=200,"Platinum",IF(N550&gt;=100,"Gold",IF(N550&gt;=50,"Silver","Regular")))</f>
        <v>Platinum</v>
      </c>
      <c r="P550" s="4" t="str">
        <f t="shared" si="57"/>
        <v>Monday</v>
      </c>
      <c r="Q550" s="4" t="str">
        <f t="shared" si="58"/>
        <v>Small Order</v>
      </c>
      <c r="R550" s="4" t="str">
        <f t="shared" si="59"/>
        <v>Weekday</v>
      </c>
      <c r="S550" s="4" t="str">
        <f t="shared" si="60"/>
        <v>Regular</v>
      </c>
    </row>
    <row r="551" spans="1:19" x14ac:dyDescent="0.3">
      <c r="A551">
        <v>6040</v>
      </c>
      <c r="B551" t="s">
        <v>8</v>
      </c>
      <c r="C551" s="1">
        <v>45763</v>
      </c>
      <c r="D551" t="s">
        <v>27</v>
      </c>
      <c r="E551" t="s">
        <v>14</v>
      </c>
      <c r="F551">
        <v>1</v>
      </c>
      <c r="G551">
        <v>12.45</v>
      </c>
      <c r="H551">
        <v>12.45</v>
      </c>
      <c r="I551" t="str">
        <f t="shared" si="56"/>
        <v>Low</v>
      </c>
      <c r="J551">
        <v>1.87</v>
      </c>
      <c r="K551">
        <f t="shared" si="61"/>
        <v>10.579999999999998</v>
      </c>
      <c r="L551" t="str">
        <f t="shared" si="62"/>
        <v>April</v>
      </c>
      <c r="M551">
        <f>YEAR(C551)</f>
        <v>2025</v>
      </c>
      <c r="N551">
        <v>275</v>
      </c>
      <c r="O551" t="str">
        <f>IF(N551&gt;=200,"Platinum",IF(N551&gt;=100,"Gold",IF(N551&gt;=50,"Silver","Regular")))</f>
        <v>Platinum</v>
      </c>
      <c r="P551" s="4" t="str">
        <f t="shared" si="57"/>
        <v>Wednesday</v>
      </c>
      <c r="Q551" s="4" t="str">
        <f t="shared" si="58"/>
        <v>Small Order</v>
      </c>
      <c r="R551" s="4" t="str">
        <f t="shared" si="59"/>
        <v>Weekday</v>
      </c>
      <c r="S551" s="4" t="str">
        <f t="shared" si="60"/>
        <v>Regular</v>
      </c>
    </row>
    <row r="552" spans="1:19" x14ac:dyDescent="0.3">
      <c r="A552">
        <v>1475</v>
      </c>
      <c r="B552" t="s">
        <v>19</v>
      </c>
      <c r="C552" s="1">
        <v>45447</v>
      </c>
      <c r="D552" t="s">
        <v>9</v>
      </c>
      <c r="E552" t="s">
        <v>32</v>
      </c>
      <c r="F552">
        <v>1</v>
      </c>
      <c r="G552">
        <v>25.1</v>
      </c>
      <c r="H552">
        <v>25.1</v>
      </c>
      <c r="I552" t="str">
        <f t="shared" si="56"/>
        <v>Low</v>
      </c>
      <c r="J552">
        <v>3.77</v>
      </c>
      <c r="K552">
        <f t="shared" si="61"/>
        <v>21.330000000000002</v>
      </c>
      <c r="L552" t="str">
        <f t="shared" si="62"/>
        <v>June</v>
      </c>
      <c r="M552">
        <f>YEAR(C552)</f>
        <v>2024</v>
      </c>
      <c r="N552">
        <v>373</v>
      </c>
      <c r="O552" t="str">
        <f>IF(N552&gt;=200,"Platinum",IF(N552&gt;=100,"Gold",IF(N552&gt;=50,"Silver","Regular")))</f>
        <v>Platinum</v>
      </c>
      <c r="P552" s="4" t="str">
        <f t="shared" si="57"/>
        <v>Tuesday</v>
      </c>
      <c r="Q552" s="4" t="str">
        <f t="shared" si="58"/>
        <v>Small Order</v>
      </c>
      <c r="R552" s="4" t="str">
        <f t="shared" si="59"/>
        <v>Weekday</v>
      </c>
      <c r="S552" s="4" t="str">
        <f t="shared" si="60"/>
        <v>Regular</v>
      </c>
    </row>
    <row r="553" spans="1:19" x14ac:dyDescent="0.3">
      <c r="A553">
        <v>3131</v>
      </c>
      <c r="B553" t="s">
        <v>15</v>
      </c>
      <c r="C553" s="1">
        <v>45577</v>
      </c>
      <c r="D553" t="s">
        <v>34</v>
      </c>
      <c r="E553" t="s">
        <v>14</v>
      </c>
      <c r="F553">
        <v>2</v>
      </c>
      <c r="G553">
        <v>5.16</v>
      </c>
      <c r="H553">
        <v>10.32</v>
      </c>
      <c r="I553" t="str">
        <f t="shared" si="56"/>
        <v>Low</v>
      </c>
      <c r="J553">
        <v>1.55</v>
      </c>
      <c r="K553">
        <f t="shared" si="61"/>
        <v>8.77</v>
      </c>
      <c r="L553" t="str">
        <f t="shared" si="62"/>
        <v>October</v>
      </c>
      <c r="M553">
        <f>YEAR(C553)</f>
        <v>2024</v>
      </c>
      <c r="N553">
        <v>458</v>
      </c>
      <c r="O553" t="str">
        <f>IF(N553&gt;=200,"Platinum",IF(N553&gt;=100,"Gold",IF(N553&gt;=50,"Silver","Regular")))</f>
        <v>Platinum</v>
      </c>
      <c r="P553" s="4" t="str">
        <f t="shared" si="57"/>
        <v>Saturday</v>
      </c>
      <c r="Q553" s="4" t="str">
        <f t="shared" si="58"/>
        <v>Small Order</v>
      </c>
      <c r="R553" s="4" t="str">
        <f t="shared" si="59"/>
        <v>Weekend</v>
      </c>
      <c r="S553" s="4" t="str">
        <f t="shared" si="60"/>
        <v>Regular</v>
      </c>
    </row>
    <row r="554" spans="1:19" x14ac:dyDescent="0.3">
      <c r="A554">
        <v>4683</v>
      </c>
      <c r="B554" t="s">
        <v>19</v>
      </c>
      <c r="C554" s="1">
        <v>45562</v>
      </c>
      <c r="D554" t="s">
        <v>24</v>
      </c>
      <c r="E554" t="s">
        <v>12</v>
      </c>
      <c r="F554">
        <v>1</v>
      </c>
      <c r="G554">
        <v>10.32</v>
      </c>
      <c r="H554">
        <v>10.32</v>
      </c>
      <c r="I554" t="str">
        <f t="shared" si="56"/>
        <v>Low</v>
      </c>
      <c r="J554">
        <v>1.55</v>
      </c>
      <c r="K554">
        <f t="shared" si="61"/>
        <v>8.77</v>
      </c>
      <c r="L554" t="str">
        <f t="shared" si="62"/>
        <v>September</v>
      </c>
      <c r="M554">
        <f>YEAR(C554)</f>
        <v>2024</v>
      </c>
      <c r="N554">
        <v>404</v>
      </c>
      <c r="O554" t="str">
        <f>IF(N554&gt;=200,"Platinum",IF(N554&gt;=100,"Gold",IF(N554&gt;=50,"Silver","Regular")))</f>
        <v>Platinum</v>
      </c>
      <c r="P554" s="4" t="str">
        <f t="shared" si="57"/>
        <v>Friday</v>
      </c>
      <c r="Q554" s="4" t="str">
        <f t="shared" si="58"/>
        <v>Small Order</v>
      </c>
      <c r="R554" s="4" t="str">
        <f t="shared" si="59"/>
        <v>Weekday</v>
      </c>
      <c r="S554" s="4" t="str">
        <f t="shared" si="60"/>
        <v>Regular</v>
      </c>
    </row>
    <row r="555" spans="1:19" x14ac:dyDescent="0.3">
      <c r="A555">
        <v>3712</v>
      </c>
      <c r="B555" t="s">
        <v>19</v>
      </c>
      <c r="C555" s="1">
        <v>45705</v>
      </c>
      <c r="D555" t="s">
        <v>11</v>
      </c>
      <c r="E555" t="s">
        <v>29</v>
      </c>
      <c r="F555">
        <v>1</v>
      </c>
      <c r="G555">
        <v>18.11</v>
      </c>
      <c r="H555">
        <v>18.11</v>
      </c>
      <c r="I555" t="str">
        <f t="shared" si="56"/>
        <v>Low</v>
      </c>
      <c r="J555">
        <v>2.72</v>
      </c>
      <c r="K555">
        <f t="shared" si="61"/>
        <v>15.389999999999999</v>
      </c>
      <c r="L555" t="str">
        <f t="shared" si="62"/>
        <v>February</v>
      </c>
      <c r="M555">
        <f>YEAR(C555)</f>
        <v>2025</v>
      </c>
      <c r="N555">
        <v>65</v>
      </c>
      <c r="O555" t="str">
        <f>IF(N555&gt;=200,"Platinum",IF(N555&gt;=100,"Gold",IF(N555&gt;=50,"Silver","Regular")))</f>
        <v>Silver</v>
      </c>
      <c r="P555" s="4" t="str">
        <f t="shared" si="57"/>
        <v>Monday</v>
      </c>
      <c r="Q555" s="4" t="str">
        <f t="shared" si="58"/>
        <v>Small Order</v>
      </c>
      <c r="R555" s="4" t="str">
        <f t="shared" si="59"/>
        <v>Weekday</v>
      </c>
      <c r="S555" s="4" t="str">
        <f t="shared" si="60"/>
        <v>Regular</v>
      </c>
    </row>
    <row r="556" spans="1:19" x14ac:dyDescent="0.3">
      <c r="A556">
        <v>6947</v>
      </c>
      <c r="B556" t="s">
        <v>15</v>
      </c>
      <c r="C556" s="1">
        <v>45827</v>
      </c>
      <c r="D556" t="s">
        <v>24</v>
      </c>
      <c r="E556" t="s">
        <v>26</v>
      </c>
      <c r="F556">
        <v>3</v>
      </c>
      <c r="G556">
        <v>7.68</v>
      </c>
      <c r="H556">
        <v>23.04</v>
      </c>
      <c r="I556" t="str">
        <f t="shared" si="56"/>
        <v>Low</v>
      </c>
      <c r="J556">
        <v>3.46</v>
      </c>
      <c r="K556">
        <f t="shared" si="61"/>
        <v>19.579999999999998</v>
      </c>
      <c r="L556" t="str">
        <f t="shared" si="62"/>
        <v>June</v>
      </c>
      <c r="M556">
        <f>YEAR(C556)</f>
        <v>2025</v>
      </c>
      <c r="N556">
        <v>369</v>
      </c>
      <c r="O556" t="str">
        <f>IF(N556&gt;=200,"Platinum",IF(N556&gt;=100,"Gold",IF(N556&gt;=50,"Silver","Regular")))</f>
        <v>Platinum</v>
      </c>
      <c r="P556" s="4" t="str">
        <f t="shared" si="57"/>
        <v>Thursday</v>
      </c>
      <c r="Q556" s="4" t="str">
        <f t="shared" si="58"/>
        <v>Medium Order</v>
      </c>
      <c r="R556" s="4" t="str">
        <f t="shared" si="59"/>
        <v>Weekday</v>
      </c>
      <c r="S556" s="4" t="str">
        <f t="shared" si="60"/>
        <v>Regular</v>
      </c>
    </row>
    <row r="557" spans="1:19" x14ac:dyDescent="0.3">
      <c r="A557">
        <v>8710</v>
      </c>
      <c r="B557" t="s">
        <v>8</v>
      </c>
      <c r="C557" s="1">
        <v>45366</v>
      </c>
      <c r="D557" t="s">
        <v>6</v>
      </c>
      <c r="E557" t="s">
        <v>14</v>
      </c>
      <c r="F557">
        <v>4</v>
      </c>
      <c r="G557">
        <v>6.11</v>
      </c>
      <c r="H557">
        <v>24.44</v>
      </c>
      <c r="I557" t="str">
        <f t="shared" si="56"/>
        <v>Low</v>
      </c>
      <c r="J557">
        <v>3.67</v>
      </c>
      <c r="K557">
        <f t="shared" si="61"/>
        <v>20.770000000000003</v>
      </c>
      <c r="L557" t="str">
        <f t="shared" si="62"/>
        <v>March</v>
      </c>
      <c r="M557">
        <f>YEAR(C557)</f>
        <v>2024</v>
      </c>
      <c r="N557">
        <v>127</v>
      </c>
      <c r="O557" t="str">
        <f>IF(N557&gt;=200,"Platinum",IF(N557&gt;=100,"Gold",IF(N557&gt;=50,"Silver","Regular")))</f>
        <v>Gold</v>
      </c>
      <c r="P557" s="4" t="str">
        <f t="shared" si="57"/>
        <v>Friday</v>
      </c>
      <c r="Q557" s="4" t="str">
        <f t="shared" si="58"/>
        <v>Medium Order</v>
      </c>
      <c r="R557" s="4" t="str">
        <f t="shared" si="59"/>
        <v>Weekday</v>
      </c>
      <c r="S557" s="4" t="str">
        <f t="shared" si="60"/>
        <v>Regular</v>
      </c>
    </row>
    <row r="558" spans="1:19" x14ac:dyDescent="0.3">
      <c r="A558">
        <v>6772</v>
      </c>
      <c r="B558" t="s">
        <v>25</v>
      </c>
      <c r="C558" s="1">
        <v>45315</v>
      </c>
      <c r="D558" t="s">
        <v>9</v>
      </c>
      <c r="E558" t="s">
        <v>2</v>
      </c>
      <c r="F558">
        <v>2</v>
      </c>
      <c r="G558">
        <v>9.7899999999999991</v>
      </c>
      <c r="H558">
        <v>19.579999999999998</v>
      </c>
      <c r="I558" t="str">
        <f t="shared" si="56"/>
        <v>Low</v>
      </c>
      <c r="J558">
        <v>2.94</v>
      </c>
      <c r="K558">
        <f t="shared" si="61"/>
        <v>16.639999999999997</v>
      </c>
      <c r="L558" t="str">
        <f t="shared" si="62"/>
        <v>January</v>
      </c>
      <c r="M558">
        <f>YEAR(C558)</f>
        <v>2024</v>
      </c>
      <c r="N558">
        <v>0</v>
      </c>
      <c r="O558" t="str">
        <f>IF(N558&gt;=200,"Platinum",IF(N558&gt;=100,"Gold",IF(N558&gt;=50,"Silver","Regular")))</f>
        <v>Regular</v>
      </c>
      <c r="P558" s="4" t="str">
        <f t="shared" si="57"/>
        <v>Wednesday</v>
      </c>
      <c r="Q558" s="4" t="str">
        <f t="shared" si="58"/>
        <v>Small Order</v>
      </c>
      <c r="R558" s="4" t="str">
        <f t="shared" si="59"/>
        <v>Weekday</v>
      </c>
      <c r="S558" s="4" t="str">
        <f t="shared" si="60"/>
        <v>Regular</v>
      </c>
    </row>
    <row r="559" spans="1:19" x14ac:dyDescent="0.3">
      <c r="A559">
        <v>1699</v>
      </c>
      <c r="B559" t="s">
        <v>13</v>
      </c>
      <c r="C559" s="1">
        <v>45503</v>
      </c>
      <c r="D559" t="s">
        <v>24</v>
      </c>
      <c r="E559" t="s">
        <v>22</v>
      </c>
      <c r="F559">
        <v>3</v>
      </c>
      <c r="G559">
        <v>9.7899999999999991</v>
      </c>
      <c r="H559">
        <v>29.37</v>
      </c>
      <c r="I559" t="str">
        <f t="shared" si="56"/>
        <v>Low</v>
      </c>
      <c r="J559">
        <v>4.41</v>
      </c>
      <c r="K559">
        <f t="shared" si="61"/>
        <v>24.96</v>
      </c>
      <c r="L559" t="str">
        <f t="shared" si="62"/>
        <v>July</v>
      </c>
      <c r="M559">
        <f>YEAR(C559)</f>
        <v>2024</v>
      </c>
      <c r="N559">
        <v>274</v>
      </c>
      <c r="O559" t="str">
        <f>IF(N559&gt;=200,"Platinum",IF(N559&gt;=100,"Gold",IF(N559&gt;=50,"Silver","Regular")))</f>
        <v>Platinum</v>
      </c>
      <c r="P559" s="4" t="str">
        <f t="shared" si="57"/>
        <v>Tuesday</v>
      </c>
      <c r="Q559" s="4" t="str">
        <f t="shared" si="58"/>
        <v>Medium Order</v>
      </c>
      <c r="R559" s="4" t="str">
        <f t="shared" si="59"/>
        <v>Weekday</v>
      </c>
      <c r="S559" s="4" t="str">
        <f t="shared" si="60"/>
        <v>Regular</v>
      </c>
    </row>
    <row r="560" spans="1:19" x14ac:dyDescent="0.3">
      <c r="A560">
        <v>7010</v>
      </c>
      <c r="B560" t="s">
        <v>19</v>
      </c>
      <c r="C560" s="1">
        <v>45566</v>
      </c>
      <c r="D560" t="s">
        <v>1</v>
      </c>
      <c r="E560" t="s">
        <v>30</v>
      </c>
      <c r="F560">
        <v>1</v>
      </c>
      <c r="G560">
        <v>26.24</v>
      </c>
      <c r="H560">
        <v>26.24</v>
      </c>
      <c r="I560" t="str">
        <f t="shared" si="56"/>
        <v>Low</v>
      </c>
      <c r="J560">
        <v>3.94</v>
      </c>
      <c r="K560">
        <f t="shared" si="61"/>
        <v>22.299999999999997</v>
      </c>
      <c r="L560" t="str">
        <f t="shared" si="62"/>
        <v>October</v>
      </c>
      <c r="M560">
        <f>YEAR(C560)</f>
        <v>2024</v>
      </c>
      <c r="N560">
        <v>358</v>
      </c>
      <c r="O560" t="str">
        <f>IF(N560&gt;=200,"Platinum",IF(N560&gt;=100,"Gold",IF(N560&gt;=50,"Silver","Regular")))</f>
        <v>Platinum</v>
      </c>
      <c r="P560" s="4" t="str">
        <f t="shared" si="57"/>
        <v>Tuesday</v>
      </c>
      <c r="Q560" s="4" t="str">
        <f t="shared" si="58"/>
        <v>Small Order</v>
      </c>
      <c r="R560" s="4" t="str">
        <f t="shared" si="59"/>
        <v>Weekday</v>
      </c>
      <c r="S560" s="4" t="str">
        <f t="shared" si="60"/>
        <v>Regular</v>
      </c>
    </row>
    <row r="561" spans="1:19" x14ac:dyDescent="0.3">
      <c r="A561">
        <v>9289</v>
      </c>
      <c r="B561" t="s">
        <v>49</v>
      </c>
      <c r="C561" s="1">
        <v>45647</v>
      </c>
      <c r="D561" t="s">
        <v>9</v>
      </c>
      <c r="E561" t="s">
        <v>5</v>
      </c>
      <c r="F561">
        <v>4</v>
      </c>
      <c r="G561">
        <v>3.38</v>
      </c>
      <c r="H561">
        <v>13.52</v>
      </c>
      <c r="I561" t="str">
        <f t="shared" si="56"/>
        <v>Low</v>
      </c>
      <c r="J561">
        <v>2.0299999999999998</v>
      </c>
      <c r="K561">
        <f t="shared" si="61"/>
        <v>11.49</v>
      </c>
      <c r="L561" t="str">
        <f t="shared" si="62"/>
        <v>December</v>
      </c>
      <c r="M561">
        <f>YEAR(C561)</f>
        <v>2024</v>
      </c>
      <c r="N561">
        <v>274</v>
      </c>
      <c r="O561" t="str">
        <f>IF(N561&gt;=200,"Platinum",IF(N561&gt;=100,"Gold",IF(N561&gt;=50,"Silver","Regular")))</f>
        <v>Platinum</v>
      </c>
      <c r="P561" s="4" t="str">
        <f t="shared" si="57"/>
        <v>Saturday</v>
      </c>
      <c r="Q561" s="4" t="str">
        <f t="shared" si="58"/>
        <v>Medium Order</v>
      </c>
      <c r="R561" s="4" t="str">
        <f t="shared" si="59"/>
        <v>Weekend</v>
      </c>
      <c r="S561" s="4" t="str">
        <f t="shared" si="60"/>
        <v>Regular</v>
      </c>
    </row>
    <row r="562" spans="1:19" x14ac:dyDescent="0.3">
      <c r="A562">
        <v>4673</v>
      </c>
      <c r="B562" t="s">
        <v>25</v>
      </c>
      <c r="C562" s="1">
        <v>45239</v>
      </c>
      <c r="D562" t="s">
        <v>4</v>
      </c>
      <c r="E562" t="s">
        <v>30</v>
      </c>
      <c r="F562">
        <v>1</v>
      </c>
      <c r="G562">
        <v>27.64</v>
      </c>
      <c r="H562">
        <v>27.64</v>
      </c>
      <c r="I562" t="str">
        <f t="shared" si="56"/>
        <v>Low</v>
      </c>
      <c r="J562">
        <v>4.1500000000000004</v>
      </c>
      <c r="K562">
        <f t="shared" si="61"/>
        <v>23.490000000000002</v>
      </c>
      <c r="L562" t="str">
        <f t="shared" si="62"/>
        <v>November</v>
      </c>
      <c r="M562">
        <f>YEAR(C562)</f>
        <v>2023</v>
      </c>
      <c r="N562">
        <v>226</v>
      </c>
      <c r="O562" t="str">
        <f>IF(N562&gt;=200,"Platinum",IF(N562&gt;=100,"Gold",IF(N562&gt;=50,"Silver","Regular")))</f>
        <v>Platinum</v>
      </c>
      <c r="P562" s="4" t="str">
        <f t="shared" si="57"/>
        <v>Thursday</v>
      </c>
      <c r="Q562" s="4" t="str">
        <f t="shared" si="58"/>
        <v>Small Order</v>
      </c>
      <c r="R562" s="4" t="str">
        <f t="shared" si="59"/>
        <v>Weekday</v>
      </c>
      <c r="S562" s="4" t="str">
        <f t="shared" si="60"/>
        <v>Regular</v>
      </c>
    </row>
    <row r="563" spans="1:19" x14ac:dyDescent="0.3">
      <c r="A563">
        <v>3161</v>
      </c>
      <c r="B563" t="s">
        <v>13</v>
      </c>
      <c r="C563" s="1">
        <v>45830</v>
      </c>
      <c r="D563" t="s">
        <v>1</v>
      </c>
      <c r="E563" t="s">
        <v>22</v>
      </c>
      <c r="F563">
        <v>3</v>
      </c>
      <c r="G563">
        <v>11.39</v>
      </c>
      <c r="H563">
        <v>34.17</v>
      </c>
      <c r="I563" t="str">
        <f t="shared" si="56"/>
        <v>Medium</v>
      </c>
      <c r="J563">
        <v>5.13</v>
      </c>
      <c r="K563">
        <f t="shared" si="61"/>
        <v>29.040000000000003</v>
      </c>
      <c r="L563" t="str">
        <f t="shared" si="62"/>
        <v>June</v>
      </c>
      <c r="M563">
        <f>YEAR(C563)</f>
        <v>2025</v>
      </c>
      <c r="N563">
        <v>349</v>
      </c>
      <c r="O563" t="str">
        <f>IF(N563&gt;=200,"Platinum",IF(N563&gt;=100,"Gold",IF(N563&gt;=50,"Silver","Regular")))</f>
        <v>Platinum</v>
      </c>
      <c r="P563" s="4" t="str">
        <f t="shared" si="57"/>
        <v>Sunday</v>
      </c>
      <c r="Q563" s="4" t="str">
        <f t="shared" si="58"/>
        <v>Medium Order</v>
      </c>
      <c r="R563" s="4" t="str">
        <f t="shared" si="59"/>
        <v>Weekend</v>
      </c>
      <c r="S563" s="4" t="str">
        <f t="shared" si="60"/>
        <v>Regular</v>
      </c>
    </row>
    <row r="564" spans="1:19" x14ac:dyDescent="0.3">
      <c r="A564">
        <v>7580</v>
      </c>
      <c r="B564" t="s">
        <v>25</v>
      </c>
      <c r="C564" s="1">
        <v>45476</v>
      </c>
      <c r="D564" t="s">
        <v>11</v>
      </c>
      <c r="E564" t="s">
        <v>21</v>
      </c>
      <c r="F564">
        <v>1</v>
      </c>
      <c r="G564">
        <v>22.98</v>
      </c>
      <c r="H564">
        <v>22.98</v>
      </c>
      <c r="I564" t="str">
        <f t="shared" si="56"/>
        <v>Low</v>
      </c>
      <c r="J564">
        <v>3.45</v>
      </c>
      <c r="K564">
        <f t="shared" si="61"/>
        <v>19.53</v>
      </c>
      <c r="L564" t="str">
        <f t="shared" si="62"/>
        <v>July</v>
      </c>
      <c r="M564">
        <f>YEAR(C564)</f>
        <v>2024</v>
      </c>
      <c r="N564">
        <v>431</v>
      </c>
      <c r="O564" t="str">
        <f>IF(N564&gt;=200,"Platinum",IF(N564&gt;=100,"Gold",IF(N564&gt;=50,"Silver","Regular")))</f>
        <v>Platinum</v>
      </c>
      <c r="P564" s="4" t="str">
        <f t="shared" si="57"/>
        <v>Wednesday</v>
      </c>
      <c r="Q564" s="4" t="str">
        <f t="shared" si="58"/>
        <v>Small Order</v>
      </c>
      <c r="R564" s="4" t="str">
        <f t="shared" si="59"/>
        <v>Weekday</v>
      </c>
      <c r="S564" s="4" t="str">
        <f t="shared" si="60"/>
        <v>Regular</v>
      </c>
    </row>
    <row r="565" spans="1:19" x14ac:dyDescent="0.3">
      <c r="A565">
        <v>3587</v>
      </c>
      <c r="B565" t="s">
        <v>13</v>
      </c>
      <c r="C565" s="1">
        <v>45461</v>
      </c>
      <c r="D565" t="s">
        <v>23</v>
      </c>
      <c r="E565" t="s">
        <v>37</v>
      </c>
      <c r="F565">
        <v>1</v>
      </c>
      <c r="G565">
        <v>23.98</v>
      </c>
      <c r="H565">
        <v>23.98</v>
      </c>
      <c r="I565" t="str">
        <f t="shared" si="56"/>
        <v>Low</v>
      </c>
      <c r="J565">
        <v>3.6</v>
      </c>
      <c r="K565">
        <f t="shared" si="61"/>
        <v>20.38</v>
      </c>
      <c r="L565" t="str">
        <f t="shared" si="62"/>
        <v>June</v>
      </c>
      <c r="M565">
        <f>YEAR(C565)</f>
        <v>2024</v>
      </c>
      <c r="N565">
        <v>64</v>
      </c>
      <c r="O565" t="str">
        <f>IF(N565&gt;=200,"Platinum",IF(N565&gt;=100,"Gold",IF(N565&gt;=50,"Silver","Regular")))</f>
        <v>Silver</v>
      </c>
      <c r="P565" s="4" t="str">
        <f t="shared" si="57"/>
        <v>Tuesday</v>
      </c>
      <c r="Q565" s="4" t="str">
        <f t="shared" si="58"/>
        <v>Small Order</v>
      </c>
      <c r="R565" s="4" t="str">
        <f t="shared" si="59"/>
        <v>Weekday</v>
      </c>
      <c r="S565" s="4" t="str">
        <f t="shared" si="60"/>
        <v>Regular</v>
      </c>
    </row>
    <row r="566" spans="1:19" x14ac:dyDescent="0.3">
      <c r="A566">
        <v>9779</v>
      </c>
      <c r="B566" t="s">
        <v>25</v>
      </c>
      <c r="C566" s="1">
        <v>45737</v>
      </c>
      <c r="D566" t="s">
        <v>17</v>
      </c>
      <c r="E566" t="s">
        <v>14</v>
      </c>
      <c r="F566">
        <v>5</v>
      </c>
      <c r="G566">
        <v>4.01</v>
      </c>
      <c r="H566">
        <v>20.05</v>
      </c>
      <c r="I566" t="str">
        <f t="shared" si="56"/>
        <v>Low</v>
      </c>
      <c r="J566">
        <v>3.01</v>
      </c>
      <c r="K566">
        <f t="shared" si="61"/>
        <v>17.04</v>
      </c>
      <c r="L566" t="str">
        <f t="shared" si="62"/>
        <v>March</v>
      </c>
      <c r="M566">
        <f>YEAR(C566)</f>
        <v>2025</v>
      </c>
      <c r="N566">
        <v>254</v>
      </c>
      <c r="O566" t="str">
        <f>IF(N566&gt;=200,"Platinum",IF(N566&gt;=100,"Gold",IF(N566&gt;=50,"Silver","Regular")))</f>
        <v>Platinum</v>
      </c>
      <c r="P566" s="4" t="str">
        <f t="shared" si="57"/>
        <v>Friday</v>
      </c>
      <c r="Q566" s="4" t="str">
        <f t="shared" si="58"/>
        <v>Medium Order</v>
      </c>
      <c r="R566" s="4" t="str">
        <f t="shared" si="59"/>
        <v>Weekday</v>
      </c>
      <c r="S566" s="4" t="str">
        <f t="shared" si="60"/>
        <v>Regular</v>
      </c>
    </row>
    <row r="567" spans="1:19" x14ac:dyDescent="0.3">
      <c r="A567">
        <v>8586</v>
      </c>
      <c r="B567" t="s">
        <v>15</v>
      </c>
      <c r="C567" s="1">
        <v>45855</v>
      </c>
      <c r="D567" t="s">
        <v>16</v>
      </c>
      <c r="E567" t="s">
        <v>30</v>
      </c>
      <c r="F567">
        <v>5</v>
      </c>
      <c r="G567">
        <v>4.05</v>
      </c>
      <c r="H567">
        <v>20.25</v>
      </c>
      <c r="I567" t="str">
        <f t="shared" si="56"/>
        <v>Low</v>
      </c>
      <c r="J567">
        <v>3.04</v>
      </c>
      <c r="K567">
        <f t="shared" si="61"/>
        <v>17.21</v>
      </c>
      <c r="L567" t="str">
        <f t="shared" si="62"/>
        <v>July</v>
      </c>
      <c r="M567">
        <f>YEAR(C567)</f>
        <v>2025</v>
      </c>
      <c r="N567">
        <v>66</v>
      </c>
      <c r="O567" t="str">
        <f>IF(N567&gt;=200,"Platinum",IF(N567&gt;=100,"Gold",IF(N567&gt;=50,"Silver","Regular")))</f>
        <v>Silver</v>
      </c>
      <c r="P567" s="4" t="str">
        <f t="shared" si="57"/>
        <v>Thursday</v>
      </c>
      <c r="Q567" s="4" t="str">
        <f t="shared" si="58"/>
        <v>Medium Order</v>
      </c>
      <c r="R567" s="4" t="str">
        <f t="shared" si="59"/>
        <v>Weekday</v>
      </c>
      <c r="S567" s="4" t="str">
        <f t="shared" si="60"/>
        <v>Regular</v>
      </c>
    </row>
    <row r="568" spans="1:19" x14ac:dyDescent="0.3">
      <c r="A568">
        <v>8770</v>
      </c>
      <c r="B568" t="s">
        <v>3</v>
      </c>
      <c r="C568" s="1">
        <v>45197</v>
      </c>
      <c r="D568" t="s">
        <v>27</v>
      </c>
      <c r="E568" t="s">
        <v>37</v>
      </c>
      <c r="F568">
        <v>2</v>
      </c>
      <c r="G568">
        <v>16.72</v>
      </c>
      <c r="H568">
        <v>33.44</v>
      </c>
      <c r="I568" t="str">
        <f t="shared" si="56"/>
        <v>Medium</v>
      </c>
      <c r="J568">
        <v>5.0199999999999996</v>
      </c>
      <c r="K568">
        <f t="shared" si="61"/>
        <v>28.419999999999998</v>
      </c>
      <c r="L568" t="str">
        <f t="shared" si="62"/>
        <v>September</v>
      </c>
      <c r="M568">
        <f>YEAR(C568)</f>
        <v>2023</v>
      </c>
      <c r="N568">
        <v>281</v>
      </c>
      <c r="O568" t="str">
        <f>IF(N568&gt;=200,"Platinum",IF(N568&gt;=100,"Gold",IF(N568&gt;=50,"Silver","Regular")))</f>
        <v>Platinum</v>
      </c>
      <c r="P568" s="4" t="str">
        <f t="shared" si="57"/>
        <v>Thursday</v>
      </c>
      <c r="Q568" s="4" t="str">
        <f t="shared" si="58"/>
        <v>Small Order</v>
      </c>
      <c r="R568" s="4" t="str">
        <f t="shared" si="59"/>
        <v>Weekday</v>
      </c>
      <c r="S568" s="4" t="str">
        <f t="shared" si="60"/>
        <v>Regular</v>
      </c>
    </row>
    <row r="569" spans="1:19" x14ac:dyDescent="0.3">
      <c r="A569">
        <v>3198</v>
      </c>
      <c r="B569" t="s">
        <v>3</v>
      </c>
      <c r="C569" s="1">
        <v>45806</v>
      </c>
      <c r="D569" t="s">
        <v>34</v>
      </c>
      <c r="E569" t="s">
        <v>35</v>
      </c>
      <c r="F569">
        <v>5</v>
      </c>
      <c r="G569">
        <v>8.5</v>
      </c>
      <c r="H569">
        <v>42.5</v>
      </c>
      <c r="I569" t="str">
        <f t="shared" si="56"/>
        <v>Medium</v>
      </c>
      <c r="J569">
        <v>6.38</v>
      </c>
      <c r="K569">
        <f t="shared" si="61"/>
        <v>36.119999999999997</v>
      </c>
      <c r="L569" t="str">
        <f t="shared" si="62"/>
        <v>May</v>
      </c>
      <c r="M569">
        <f>YEAR(C569)</f>
        <v>2025</v>
      </c>
      <c r="N569">
        <v>436</v>
      </c>
      <c r="O569" t="str">
        <f>IF(N569&gt;=200,"Platinum",IF(N569&gt;=100,"Gold",IF(N569&gt;=50,"Silver","Regular")))</f>
        <v>Platinum</v>
      </c>
      <c r="P569" s="4" t="str">
        <f t="shared" si="57"/>
        <v>Thursday</v>
      </c>
      <c r="Q569" s="4" t="str">
        <f t="shared" si="58"/>
        <v>Medium Order</v>
      </c>
      <c r="R569" s="4" t="str">
        <f t="shared" si="59"/>
        <v>Weekday</v>
      </c>
      <c r="S569" s="4" t="str">
        <f t="shared" si="60"/>
        <v>Regular</v>
      </c>
    </row>
    <row r="570" spans="1:19" x14ac:dyDescent="0.3">
      <c r="A570">
        <v>6123</v>
      </c>
      <c r="B570" t="s">
        <v>13</v>
      </c>
      <c r="C570" s="1">
        <v>45292</v>
      </c>
      <c r="D570" t="s">
        <v>24</v>
      </c>
      <c r="E570" t="s">
        <v>36</v>
      </c>
      <c r="F570">
        <v>1</v>
      </c>
      <c r="G570">
        <v>21.65</v>
      </c>
      <c r="H570">
        <v>21.65</v>
      </c>
      <c r="I570" t="str">
        <f t="shared" si="56"/>
        <v>Low</v>
      </c>
      <c r="J570">
        <v>3.25</v>
      </c>
      <c r="K570">
        <f t="shared" si="61"/>
        <v>18.399999999999999</v>
      </c>
      <c r="L570" t="str">
        <f t="shared" si="62"/>
        <v>January</v>
      </c>
      <c r="M570">
        <f>YEAR(C570)</f>
        <v>2024</v>
      </c>
      <c r="N570">
        <v>405</v>
      </c>
      <c r="O570" t="str">
        <f>IF(N570&gt;=200,"Platinum",IF(N570&gt;=100,"Gold",IF(N570&gt;=50,"Silver","Regular")))</f>
        <v>Platinum</v>
      </c>
      <c r="P570" s="4" t="str">
        <f t="shared" si="57"/>
        <v>Monday</v>
      </c>
      <c r="Q570" s="4" t="str">
        <f t="shared" si="58"/>
        <v>Small Order</v>
      </c>
      <c r="R570" s="4" t="str">
        <f t="shared" si="59"/>
        <v>Weekday</v>
      </c>
      <c r="S570" s="4" t="str">
        <f t="shared" si="60"/>
        <v>Regular</v>
      </c>
    </row>
    <row r="571" spans="1:19" x14ac:dyDescent="0.3">
      <c r="A571">
        <v>6869</v>
      </c>
      <c r="B571" t="s">
        <v>8</v>
      </c>
      <c r="C571" s="1">
        <v>45805</v>
      </c>
      <c r="D571" t="s">
        <v>27</v>
      </c>
      <c r="E571" t="s">
        <v>5</v>
      </c>
      <c r="F571">
        <v>2</v>
      </c>
      <c r="G571">
        <v>9.06</v>
      </c>
      <c r="H571">
        <v>18.12</v>
      </c>
      <c r="I571" t="str">
        <f t="shared" si="56"/>
        <v>Low</v>
      </c>
      <c r="J571">
        <v>2.72</v>
      </c>
      <c r="K571">
        <f t="shared" si="61"/>
        <v>15.4</v>
      </c>
      <c r="L571" t="str">
        <f t="shared" si="62"/>
        <v>May</v>
      </c>
      <c r="M571">
        <f>YEAR(C571)</f>
        <v>2025</v>
      </c>
      <c r="N571">
        <v>491</v>
      </c>
      <c r="O571" t="str">
        <f>IF(N571&gt;=200,"Platinum",IF(N571&gt;=100,"Gold",IF(N571&gt;=50,"Silver","Regular")))</f>
        <v>Platinum</v>
      </c>
      <c r="P571" s="4" t="str">
        <f t="shared" si="57"/>
        <v>Wednesday</v>
      </c>
      <c r="Q571" s="4" t="str">
        <f t="shared" si="58"/>
        <v>Small Order</v>
      </c>
      <c r="R571" s="4" t="str">
        <f t="shared" si="59"/>
        <v>Weekday</v>
      </c>
      <c r="S571" s="4" t="str">
        <f t="shared" si="60"/>
        <v>Regular</v>
      </c>
    </row>
    <row r="572" spans="1:19" x14ac:dyDescent="0.3">
      <c r="A572">
        <v>2124</v>
      </c>
      <c r="B572" t="s">
        <v>31</v>
      </c>
      <c r="C572" s="1">
        <v>45751</v>
      </c>
      <c r="D572" t="s">
        <v>1</v>
      </c>
      <c r="E572" t="s">
        <v>12</v>
      </c>
      <c r="F572">
        <v>5</v>
      </c>
      <c r="G572">
        <v>9.14</v>
      </c>
      <c r="H572">
        <v>45.7</v>
      </c>
      <c r="I572" t="str">
        <f t="shared" si="56"/>
        <v>Medium</v>
      </c>
      <c r="J572">
        <v>6.86</v>
      </c>
      <c r="K572">
        <f t="shared" si="61"/>
        <v>38.840000000000003</v>
      </c>
      <c r="L572" t="str">
        <f t="shared" si="62"/>
        <v>April</v>
      </c>
      <c r="M572">
        <f>YEAR(C572)</f>
        <v>2025</v>
      </c>
      <c r="N572">
        <v>275</v>
      </c>
      <c r="O572" t="str">
        <f>IF(N572&gt;=200,"Platinum",IF(N572&gt;=100,"Gold",IF(N572&gt;=50,"Silver","Regular")))</f>
        <v>Platinum</v>
      </c>
      <c r="P572" s="4" t="str">
        <f t="shared" si="57"/>
        <v>Friday</v>
      </c>
      <c r="Q572" s="4" t="str">
        <f t="shared" si="58"/>
        <v>Medium Order</v>
      </c>
      <c r="R572" s="4" t="str">
        <f t="shared" si="59"/>
        <v>Weekday</v>
      </c>
      <c r="S572" s="4" t="str">
        <f t="shared" si="60"/>
        <v>Regular</v>
      </c>
    </row>
    <row r="573" spans="1:19" x14ac:dyDescent="0.3">
      <c r="A573">
        <v>4404</v>
      </c>
      <c r="B573" t="s">
        <v>20</v>
      </c>
      <c r="C573" s="1">
        <v>45630</v>
      </c>
      <c r="D573" t="s">
        <v>34</v>
      </c>
      <c r="E573" t="s">
        <v>30</v>
      </c>
      <c r="F573">
        <v>2</v>
      </c>
      <c r="G573">
        <v>18.420000000000002</v>
      </c>
      <c r="H573">
        <v>36.840000000000003</v>
      </c>
      <c r="I573" t="str">
        <f t="shared" si="56"/>
        <v>Medium</v>
      </c>
      <c r="J573">
        <v>5.53</v>
      </c>
      <c r="K573">
        <f t="shared" si="61"/>
        <v>31.310000000000002</v>
      </c>
      <c r="L573" t="str">
        <f t="shared" si="62"/>
        <v>December</v>
      </c>
      <c r="M573">
        <f>YEAR(C573)</f>
        <v>2024</v>
      </c>
      <c r="N573">
        <v>4</v>
      </c>
      <c r="O573" t="str">
        <f>IF(N573&gt;=200,"Platinum",IF(N573&gt;=100,"Gold",IF(N573&gt;=50,"Silver","Regular")))</f>
        <v>Regular</v>
      </c>
      <c r="P573" s="4" t="str">
        <f t="shared" si="57"/>
        <v>Wednesday</v>
      </c>
      <c r="Q573" s="4" t="str">
        <f t="shared" si="58"/>
        <v>Small Order</v>
      </c>
      <c r="R573" s="4" t="str">
        <f t="shared" si="59"/>
        <v>Weekday</v>
      </c>
      <c r="S573" s="4" t="str">
        <f t="shared" si="60"/>
        <v>Regular</v>
      </c>
    </row>
    <row r="574" spans="1:19" x14ac:dyDescent="0.3">
      <c r="A574">
        <v>9447</v>
      </c>
      <c r="B574" t="s">
        <v>19</v>
      </c>
      <c r="C574" s="1">
        <v>45727</v>
      </c>
      <c r="D574" t="s">
        <v>16</v>
      </c>
      <c r="E574" t="s">
        <v>35</v>
      </c>
      <c r="F574">
        <v>3</v>
      </c>
      <c r="G574">
        <v>10.77</v>
      </c>
      <c r="H574">
        <v>32.31</v>
      </c>
      <c r="I574" t="str">
        <f t="shared" si="56"/>
        <v>Low</v>
      </c>
      <c r="J574">
        <v>4.8499999999999996</v>
      </c>
      <c r="K574">
        <f t="shared" si="61"/>
        <v>27.46</v>
      </c>
      <c r="L574" t="str">
        <f t="shared" si="62"/>
        <v>March</v>
      </c>
      <c r="M574">
        <f>YEAR(C574)</f>
        <v>2025</v>
      </c>
      <c r="N574">
        <v>456</v>
      </c>
      <c r="O574" t="str">
        <f>IF(N574&gt;=200,"Platinum",IF(N574&gt;=100,"Gold",IF(N574&gt;=50,"Silver","Regular")))</f>
        <v>Platinum</v>
      </c>
      <c r="P574" s="4" t="str">
        <f t="shared" si="57"/>
        <v>Tuesday</v>
      </c>
      <c r="Q574" s="4" t="str">
        <f t="shared" si="58"/>
        <v>Medium Order</v>
      </c>
      <c r="R574" s="4" t="str">
        <f t="shared" si="59"/>
        <v>Weekday</v>
      </c>
      <c r="S574" s="4" t="str">
        <f t="shared" si="60"/>
        <v>Regular</v>
      </c>
    </row>
    <row r="575" spans="1:19" x14ac:dyDescent="0.3">
      <c r="A575">
        <v>1042</v>
      </c>
      <c r="B575" t="s">
        <v>8</v>
      </c>
      <c r="C575" s="1">
        <v>45364</v>
      </c>
      <c r="D575" t="s">
        <v>16</v>
      </c>
      <c r="E575" t="s">
        <v>14</v>
      </c>
      <c r="F575">
        <v>1</v>
      </c>
      <c r="G575">
        <v>9.26</v>
      </c>
      <c r="H575">
        <v>9.26</v>
      </c>
      <c r="I575" t="str">
        <f t="shared" si="56"/>
        <v>Low</v>
      </c>
      <c r="J575">
        <v>1.39</v>
      </c>
      <c r="K575">
        <f t="shared" si="61"/>
        <v>7.87</v>
      </c>
      <c r="L575" t="str">
        <f t="shared" si="62"/>
        <v>March</v>
      </c>
      <c r="M575">
        <f>YEAR(C575)</f>
        <v>2024</v>
      </c>
      <c r="N575">
        <v>35</v>
      </c>
      <c r="O575" t="str">
        <f>IF(N575&gt;=200,"Platinum",IF(N575&gt;=100,"Gold",IF(N575&gt;=50,"Silver","Regular")))</f>
        <v>Regular</v>
      </c>
      <c r="P575" s="4" t="str">
        <f t="shared" si="57"/>
        <v>Wednesday</v>
      </c>
      <c r="Q575" s="4" t="str">
        <f t="shared" si="58"/>
        <v>Small Order</v>
      </c>
      <c r="R575" s="4" t="str">
        <f t="shared" si="59"/>
        <v>Weekday</v>
      </c>
      <c r="S575" s="4" t="str">
        <f t="shared" si="60"/>
        <v>Regular</v>
      </c>
    </row>
    <row r="576" spans="1:19" x14ac:dyDescent="0.3">
      <c r="A576">
        <v>6514</v>
      </c>
      <c r="B576" t="s">
        <v>0</v>
      </c>
      <c r="C576" s="1">
        <v>45224</v>
      </c>
      <c r="D576" t="s">
        <v>27</v>
      </c>
      <c r="E576" t="s">
        <v>30</v>
      </c>
      <c r="F576">
        <v>2</v>
      </c>
      <c r="G576">
        <v>20.12</v>
      </c>
      <c r="H576">
        <v>40.24</v>
      </c>
      <c r="I576" t="str">
        <f t="shared" si="56"/>
        <v>Medium</v>
      </c>
      <c r="J576">
        <v>6.04</v>
      </c>
      <c r="K576">
        <f t="shared" si="61"/>
        <v>34.200000000000003</v>
      </c>
      <c r="L576" t="str">
        <f t="shared" si="62"/>
        <v>October</v>
      </c>
      <c r="M576">
        <f>YEAR(C576)</f>
        <v>2023</v>
      </c>
      <c r="N576">
        <v>484</v>
      </c>
      <c r="O576" t="str">
        <f>IF(N576&gt;=200,"Platinum",IF(N576&gt;=100,"Gold",IF(N576&gt;=50,"Silver","Regular")))</f>
        <v>Platinum</v>
      </c>
      <c r="P576" s="4" t="str">
        <f t="shared" si="57"/>
        <v>Wednesday</v>
      </c>
      <c r="Q576" s="4" t="str">
        <f t="shared" si="58"/>
        <v>Small Order</v>
      </c>
      <c r="R576" s="4" t="str">
        <f t="shared" si="59"/>
        <v>Weekday</v>
      </c>
      <c r="S576" s="4" t="str">
        <f t="shared" si="60"/>
        <v>Regular</v>
      </c>
    </row>
    <row r="577" spans="1:19" x14ac:dyDescent="0.3">
      <c r="A577">
        <v>3600</v>
      </c>
      <c r="B577" t="s">
        <v>8</v>
      </c>
      <c r="C577" s="1">
        <v>45427</v>
      </c>
      <c r="D577" t="s">
        <v>17</v>
      </c>
      <c r="E577" t="s">
        <v>29</v>
      </c>
      <c r="F577">
        <v>2</v>
      </c>
      <c r="G577">
        <v>10.26</v>
      </c>
      <c r="H577">
        <v>20.52</v>
      </c>
      <c r="I577" t="str">
        <f t="shared" si="56"/>
        <v>Low</v>
      </c>
      <c r="J577">
        <v>3.08</v>
      </c>
      <c r="K577">
        <f t="shared" si="61"/>
        <v>17.439999999999998</v>
      </c>
      <c r="L577" t="str">
        <f t="shared" si="62"/>
        <v>May</v>
      </c>
      <c r="M577">
        <f>YEAR(C577)</f>
        <v>2024</v>
      </c>
      <c r="N577">
        <v>449</v>
      </c>
      <c r="O577" t="str">
        <f>IF(N577&gt;=200,"Platinum",IF(N577&gt;=100,"Gold",IF(N577&gt;=50,"Silver","Regular")))</f>
        <v>Platinum</v>
      </c>
      <c r="P577" s="4" t="str">
        <f t="shared" si="57"/>
        <v>Wednesday</v>
      </c>
      <c r="Q577" s="4" t="str">
        <f t="shared" si="58"/>
        <v>Small Order</v>
      </c>
      <c r="R577" s="4" t="str">
        <f t="shared" si="59"/>
        <v>Weekday</v>
      </c>
      <c r="S577" s="4" t="str">
        <f t="shared" si="60"/>
        <v>Regular</v>
      </c>
    </row>
    <row r="578" spans="1:19" x14ac:dyDescent="0.3">
      <c r="A578">
        <v>1525</v>
      </c>
      <c r="B578" t="s">
        <v>20</v>
      </c>
      <c r="C578" s="1">
        <v>45770</v>
      </c>
      <c r="D578" t="s">
        <v>16</v>
      </c>
      <c r="E578" t="s">
        <v>33</v>
      </c>
      <c r="F578">
        <v>4</v>
      </c>
      <c r="G578">
        <v>10.51</v>
      </c>
      <c r="H578">
        <v>42.04</v>
      </c>
      <c r="I578" t="str">
        <f t="shared" ref="I578:I641" si="63">IF(J578=0,"No Discount",IF(J578&lt;=5,"Low",IF(J578&lt;=10,"Medium",IF(J578&lt;=20,"High","Very High"))))</f>
        <v>Medium</v>
      </c>
      <c r="J578">
        <v>6.31</v>
      </c>
      <c r="K578">
        <f t="shared" si="61"/>
        <v>35.729999999999997</v>
      </c>
      <c r="L578" t="str">
        <f t="shared" si="62"/>
        <v>April</v>
      </c>
      <c r="M578">
        <f>YEAR(C578)</f>
        <v>2025</v>
      </c>
      <c r="N578">
        <v>442</v>
      </c>
      <c r="O578" t="str">
        <f>IF(N578&gt;=200,"Platinum",IF(N578&gt;=100,"Gold",IF(N578&gt;=50,"Silver","Regular")))</f>
        <v>Platinum</v>
      </c>
      <c r="P578" s="4" t="str">
        <f t="shared" ref="P578:P641" si="64">TEXT(C578,"dddd")</f>
        <v>Wednesday</v>
      </c>
      <c r="Q578" s="4" t="str">
        <f t="shared" ref="Q578:Q641" si="65">IF(F578&lt;=2,"Small Order",IF(F578&lt;=5,"Medium Order",IF(F578&lt;=10,"Large Order","Bulk Order")))</f>
        <v>Medium Order</v>
      </c>
      <c r="R578" s="4" t="str">
        <f t="shared" ref="R578:R641" si="66">IF(WEEKDAY(C578,2)&gt;5,"Weekend","Weekday")</f>
        <v>Weekday</v>
      </c>
      <c r="S578" s="4" t="str">
        <f t="shared" ref="S578:S641" si="67">IF(K578&gt;=100,"High Value","Regular")</f>
        <v>Regular</v>
      </c>
    </row>
    <row r="579" spans="1:19" x14ac:dyDescent="0.3">
      <c r="A579">
        <v>7483</v>
      </c>
      <c r="B579" t="s">
        <v>20</v>
      </c>
      <c r="C579" s="1">
        <v>45403</v>
      </c>
      <c r="D579" t="s">
        <v>24</v>
      </c>
      <c r="E579" t="s">
        <v>33</v>
      </c>
      <c r="F579">
        <v>2</v>
      </c>
      <c r="G579">
        <v>21.12</v>
      </c>
      <c r="H579">
        <v>42.24</v>
      </c>
      <c r="I579" t="str">
        <f t="shared" si="63"/>
        <v>Medium</v>
      </c>
      <c r="J579">
        <v>6.34</v>
      </c>
      <c r="K579">
        <f t="shared" ref="K579:K642" si="68">MAX(0,H579-J579)</f>
        <v>35.900000000000006</v>
      </c>
      <c r="L579" t="str">
        <f t="shared" ref="L579:L642" si="69">TEXT(C579,"mmmm")</f>
        <v>April</v>
      </c>
      <c r="M579">
        <f>YEAR(C579)</f>
        <v>2024</v>
      </c>
      <c r="N579">
        <v>275</v>
      </c>
      <c r="O579" t="str">
        <f>IF(N579&gt;=200,"Platinum",IF(N579&gt;=100,"Gold",IF(N579&gt;=50,"Silver","Regular")))</f>
        <v>Platinum</v>
      </c>
      <c r="P579" s="4" t="str">
        <f t="shared" si="64"/>
        <v>Sunday</v>
      </c>
      <c r="Q579" s="4" t="str">
        <f t="shared" si="65"/>
        <v>Small Order</v>
      </c>
      <c r="R579" s="4" t="str">
        <f t="shared" si="66"/>
        <v>Weekend</v>
      </c>
      <c r="S579" s="4" t="str">
        <f t="shared" si="67"/>
        <v>Regular</v>
      </c>
    </row>
    <row r="580" spans="1:19" x14ac:dyDescent="0.3">
      <c r="A580">
        <v>9300</v>
      </c>
      <c r="B580" t="s">
        <v>25</v>
      </c>
      <c r="C580" s="1">
        <v>45862</v>
      </c>
      <c r="D580" t="s">
        <v>27</v>
      </c>
      <c r="E580" t="s">
        <v>7</v>
      </c>
      <c r="F580">
        <v>3</v>
      </c>
      <c r="G580">
        <v>3.62</v>
      </c>
      <c r="H580">
        <v>10.86</v>
      </c>
      <c r="I580" t="str">
        <f t="shared" si="63"/>
        <v>Low</v>
      </c>
      <c r="J580">
        <v>1.63</v>
      </c>
      <c r="K580">
        <f t="shared" si="68"/>
        <v>9.23</v>
      </c>
      <c r="L580" t="str">
        <f t="shared" si="69"/>
        <v>July</v>
      </c>
      <c r="M580">
        <f>YEAR(C580)</f>
        <v>2025</v>
      </c>
      <c r="N580">
        <v>395</v>
      </c>
      <c r="O580" t="str">
        <f>IF(N580&gt;=200,"Platinum",IF(N580&gt;=100,"Gold",IF(N580&gt;=50,"Silver","Regular")))</f>
        <v>Platinum</v>
      </c>
      <c r="P580" s="4" t="str">
        <f t="shared" si="64"/>
        <v>Thursday</v>
      </c>
      <c r="Q580" s="4" t="str">
        <f t="shared" si="65"/>
        <v>Medium Order</v>
      </c>
      <c r="R580" s="4" t="str">
        <f t="shared" si="66"/>
        <v>Weekday</v>
      </c>
      <c r="S580" s="4" t="str">
        <f t="shared" si="67"/>
        <v>Regular</v>
      </c>
    </row>
    <row r="581" spans="1:19" x14ac:dyDescent="0.3">
      <c r="A581">
        <v>3365</v>
      </c>
      <c r="B581" t="s">
        <v>13</v>
      </c>
      <c r="C581" s="1">
        <v>45770</v>
      </c>
      <c r="D581" t="s">
        <v>6</v>
      </c>
      <c r="E581" t="s">
        <v>36</v>
      </c>
      <c r="F581">
        <v>1</v>
      </c>
      <c r="G581">
        <v>10.86</v>
      </c>
      <c r="H581">
        <v>10.86</v>
      </c>
      <c r="I581" t="str">
        <f t="shared" si="63"/>
        <v>Low</v>
      </c>
      <c r="J581">
        <v>1.63</v>
      </c>
      <c r="K581">
        <f t="shared" si="68"/>
        <v>9.23</v>
      </c>
      <c r="L581" t="str">
        <f t="shared" si="69"/>
        <v>April</v>
      </c>
      <c r="M581">
        <f>YEAR(C581)</f>
        <v>2025</v>
      </c>
      <c r="N581">
        <v>416</v>
      </c>
      <c r="O581" t="str">
        <f>IF(N581&gt;=200,"Platinum",IF(N581&gt;=100,"Gold",IF(N581&gt;=50,"Silver","Regular")))</f>
        <v>Platinum</v>
      </c>
      <c r="P581" s="4" t="str">
        <f t="shared" si="64"/>
        <v>Wednesday</v>
      </c>
      <c r="Q581" s="4" t="str">
        <f t="shared" si="65"/>
        <v>Small Order</v>
      </c>
      <c r="R581" s="4" t="str">
        <f t="shared" si="66"/>
        <v>Weekday</v>
      </c>
      <c r="S581" s="4" t="str">
        <f t="shared" si="67"/>
        <v>Regular</v>
      </c>
    </row>
    <row r="582" spans="1:19" x14ac:dyDescent="0.3">
      <c r="A582">
        <v>7224</v>
      </c>
      <c r="B582" t="s">
        <v>0</v>
      </c>
      <c r="C582" s="1">
        <v>45769</v>
      </c>
      <c r="D582" t="s">
        <v>1</v>
      </c>
      <c r="E582" t="s">
        <v>22</v>
      </c>
      <c r="F582">
        <v>5</v>
      </c>
      <c r="G582">
        <v>5.53</v>
      </c>
      <c r="H582">
        <v>27.65</v>
      </c>
      <c r="I582" t="str">
        <f t="shared" si="63"/>
        <v>Low</v>
      </c>
      <c r="J582">
        <v>4.1500000000000004</v>
      </c>
      <c r="K582">
        <f t="shared" si="68"/>
        <v>23.5</v>
      </c>
      <c r="L582" t="str">
        <f t="shared" si="69"/>
        <v>April</v>
      </c>
      <c r="M582">
        <f>YEAR(C582)</f>
        <v>2025</v>
      </c>
      <c r="N582">
        <v>179</v>
      </c>
      <c r="O582" t="str">
        <f>IF(N582&gt;=200,"Platinum",IF(N582&gt;=100,"Gold",IF(N582&gt;=50,"Silver","Regular")))</f>
        <v>Gold</v>
      </c>
      <c r="P582" s="4" t="str">
        <f t="shared" si="64"/>
        <v>Tuesday</v>
      </c>
      <c r="Q582" s="4" t="str">
        <f t="shared" si="65"/>
        <v>Medium Order</v>
      </c>
      <c r="R582" s="4" t="str">
        <f t="shared" si="66"/>
        <v>Weekday</v>
      </c>
      <c r="S582" s="4" t="str">
        <f t="shared" si="67"/>
        <v>Regular</v>
      </c>
    </row>
    <row r="583" spans="1:19" x14ac:dyDescent="0.3">
      <c r="A583">
        <v>6347</v>
      </c>
      <c r="B583" t="s">
        <v>3</v>
      </c>
      <c r="C583" s="1">
        <v>45168</v>
      </c>
      <c r="D583" t="s">
        <v>24</v>
      </c>
      <c r="E583" t="s">
        <v>10</v>
      </c>
      <c r="F583">
        <v>1</v>
      </c>
      <c r="G583">
        <v>11.06</v>
      </c>
      <c r="H583">
        <v>11.06</v>
      </c>
      <c r="I583" t="str">
        <f t="shared" si="63"/>
        <v>Low</v>
      </c>
      <c r="J583">
        <v>1.66</v>
      </c>
      <c r="K583">
        <f t="shared" si="68"/>
        <v>9.4</v>
      </c>
      <c r="L583" t="str">
        <f t="shared" si="69"/>
        <v>August</v>
      </c>
      <c r="M583">
        <f>YEAR(C583)</f>
        <v>2023</v>
      </c>
      <c r="N583">
        <v>84</v>
      </c>
      <c r="O583" t="str">
        <f>IF(N583&gt;=200,"Platinum",IF(N583&gt;=100,"Gold",IF(N583&gt;=50,"Silver","Regular")))</f>
        <v>Silver</v>
      </c>
      <c r="P583" s="4" t="str">
        <f t="shared" si="64"/>
        <v>Wednesday</v>
      </c>
      <c r="Q583" s="4" t="str">
        <f t="shared" si="65"/>
        <v>Small Order</v>
      </c>
      <c r="R583" s="4" t="str">
        <f t="shared" si="66"/>
        <v>Weekday</v>
      </c>
      <c r="S583" s="4" t="str">
        <f t="shared" si="67"/>
        <v>Regular</v>
      </c>
    </row>
    <row r="584" spans="1:19" x14ac:dyDescent="0.3">
      <c r="A584">
        <v>8066</v>
      </c>
      <c r="B584" t="s">
        <v>31</v>
      </c>
      <c r="C584" s="1">
        <v>45199</v>
      </c>
      <c r="D584" t="s">
        <v>34</v>
      </c>
      <c r="E584" t="s">
        <v>10</v>
      </c>
      <c r="F584">
        <v>4</v>
      </c>
      <c r="G584">
        <v>11.11</v>
      </c>
      <c r="H584">
        <v>44.44</v>
      </c>
      <c r="I584" t="str">
        <f t="shared" si="63"/>
        <v>Medium</v>
      </c>
      <c r="J584">
        <v>6.67</v>
      </c>
      <c r="K584">
        <f t="shared" si="68"/>
        <v>37.769999999999996</v>
      </c>
      <c r="L584" t="str">
        <f t="shared" si="69"/>
        <v>September</v>
      </c>
      <c r="M584">
        <f>YEAR(C584)</f>
        <v>2023</v>
      </c>
      <c r="N584">
        <v>478</v>
      </c>
      <c r="O584" t="str">
        <f>IF(N584&gt;=200,"Platinum",IF(N584&gt;=100,"Gold",IF(N584&gt;=50,"Silver","Regular")))</f>
        <v>Platinum</v>
      </c>
      <c r="P584" s="4" t="str">
        <f t="shared" si="64"/>
        <v>Saturday</v>
      </c>
      <c r="Q584" s="4" t="str">
        <f t="shared" si="65"/>
        <v>Medium Order</v>
      </c>
      <c r="R584" s="4" t="str">
        <f t="shared" si="66"/>
        <v>Weekend</v>
      </c>
      <c r="S584" s="4" t="str">
        <f t="shared" si="67"/>
        <v>Regular</v>
      </c>
    </row>
    <row r="585" spans="1:19" x14ac:dyDescent="0.3">
      <c r="A585">
        <v>7164</v>
      </c>
      <c r="B585" t="s">
        <v>3</v>
      </c>
      <c r="C585" s="1">
        <v>45804</v>
      </c>
      <c r="D585" t="s">
        <v>11</v>
      </c>
      <c r="E585" t="s">
        <v>35</v>
      </c>
      <c r="F585">
        <v>4</v>
      </c>
      <c r="G585">
        <v>5.63</v>
      </c>
      <c r="H585">
        <v>22.52</v>
      </c>
      <c r="I585" t="str">
        <f t="shared" si="63"/>
        <v>Low</v>
      </c>
      <c r="J585">
        <v>3.38</v>
      </c>
      <c r="K585">
        <f t="shared" si="68"/>
        <v>19.14</v>
      </c>
      <c r="L585" t="str">
        <f t="shared" si="69"/>
        <v>May</v>
      </c>
      <c r="M585">
        <f>YEAR(C585)</f>
        <v>2025</v>
      </c>
      <c r="N585">
        <v>103</v>
      </c>
      <c r="O585" t="str">
        <f>IF(N585&gt;=200,"Platinum",IF(N585&gt;=100,"Gold",IF(N585&gt;=50,"Silver","Regular")))</f>
        <v>Gold</v>
      </c>
      <c r="P585" s="4" t="str">
        <f t="shared" si="64"/>
        <v>Tuesday</v>
      </c>
      <c r="Q585" s="4" t="str">
        <f t="shared" si="65"/>
        <v>Medium Order</v>
      </c>
      <c r="R585" s="4" t="str">
        <f t="shared" si="66"/>
        <v>Weekday</v>
      </c>
      <c r="S585" s="4" t="str">
        <f t="shared" si="67"/>
        <v>Regular</v>
      </c>
    </row>
    <row r="586" spans="1:19" x14ac:dyDescent="0.3">
      <c r="A586">
        <v>6873</v>
      </c>
      <c r="B586" t="s">
        <v>8</v>
      </c>
      <c r="C586" s="1">
        <v>45436</v>
      </c>
      <c r="D586" t="s">
        <v>9</v>
      </c>
      <c r="E586" t="s">
        <v>35</v>
      </c>
      <c r="F586">
        <v>1</v>
      </c>
      <c r="G586">
        <v>17.190000000000001</v>
      </c>
      <c r="H586">
        <v>17.190000000000001</v>
      </c>
      <c r="I586" t="str">
        <f t="shared" si="63"/>
        <v>Low</v>
      </c>
      <c r="J586">
        <v>2.58</v>
      </c>
      <c r="K586">
        <f t="shared" si="68"/>
        <v>14.610000000000001</v>
      </c>
      <c r="L586" t="str">
        <f t="shared" si="69"/>
        <v>May</v>
      </c>
      <c r="M586">
        <f>YEAR(C586)</f>
        <v>2024</v>
      </c>
      <c r="N586">
        <v>257</v>
      </c>
      <c r="O586" t="str">
        <f>IF(N586&gt;=200,"Platinum",IF(N586&gt;=100,"Gold",IF(N586&gt;=50,"Silver","Regular")))</f>
        <v>Platinum</v>
      </c>
      <c r="P586" s="4" t="str">
        <f t="shared" si="64"/>
        <v>Friday</v>
      </c>
      <c r="Q586" s="4" t="str">
        <f t="shared" si="65"/>
        <v>Small Order</v>
      </c>
      <c r="R586" s="4" t="str">
        <f t="shared" si="66"/>
        <v>Weekday</v>
      </c>
      <c r="S586" s="4" t="str">
        <f t="shared" si="67"/>
        <v>Regular</v>
      </c>
    </row>
    <row r="587" spans="1:19" x14ac:dyDescent="0.3">
      <c r="A587">
        <v>6531</v>
      </c>
      <c r="B587" t="s">
        <v>15</v>
      </c>
      <c r="C587" s="1">
        <v>45799</v>
      </c>
      <c r="D587" t="s">
        <v>34</v>
      </c>
      <c r="E587" t="s">
        <v>7</v>
      </c>
      <c r="F587">
        <v>1</v>
      </c>
      <c r="G587">
        <v>11.86</v>
      </c>
      <c r="H587">
        <v>11.86</v>
      </c>
      <c r="I587" t="str">
        <f t="shared" si="63"/>
        <v>Low</v>
      </c>
      <c r="J587">
        <v>1.78</v>
      </c>
      <c r="K587">
        <f t="shared" si="68"/>
        <v>10.08</v>
      </c>
      <c r="L587" t="str">
        <f t="shared" si="69"/>
        <v>May</v>
      </c>
      <c r="M587">
        <f>YEAR(C587)</f>
        <v>2025</v>
      </c>
      <c r="N587">
        <v>295</v>
      </c>
      <c r="O587" t="str">
        <f>IF(N587&gt;=200,"Platinum",IF(N587&gt;=100,"Gold",IF(N587&gt;=50,"Silver","Regular")))</f>
        <v>Platinum</v>
      </c>
      <c r="P587" s="4" t="str">
        <f t="shared" si="64"/>
        <v>Thursday</v>
      </c>
      <c r="Q587" s="4" t="str">
        <f t="shared" si="65"/>
        <v>Small Order</v>
      </c>
      <c r="R587" s="4" t="str">
        <f t="shared" si="66"/>
        <v>Weekday</v>
      </c>
      <c r="S587" s="4" t="str">
        <f t="shared" si="67"/>
        <v>Regular</v>
      </c>
    </row>
    <row r="588" spans="1:19" x14ac:dyDescent="0.3">
      <c r="A588">
        <v>8391</v>
      </c>
      <c r="B588" t="s">
        <v>0</v>
      </c>
      <c r="C588" s="1">
        <v>45832</v>
      </c>
      <c r="D588" t="s">
        <v>27</v>
      </c>
      <c r="E588" t="s">
        <v>14</v>
      </c>
      <c r="F588">
        <v>4</v>
      </c>
      <c r="G588">
        <v>12.26</v>
      </c>
      <c r="H588">
        <v>49.04</v>
      </c>
      <c r="I588" t="str">
        <f t="shared" si="63"/>
        <v>Medium</v>
      </c>
      <c r="J588">
        <v>7.36</v>
      </c>
      <c r="K588">
        <f t="shared" si="68"/>
        <v>41.68</v>
      </c>
      <c r="L588" t="str">
        <f t="shared" si="69"/>
        <v>June</v>
      </c>
      <c r="M588">
        <f>YEAR(C588)</f>
        <v>2025</v>
      </c>
      <c r="N588">
        <v>465</v>
      </c>
      <c r="O588" t="str">
        <f>IF(N588&gt;=200,"Platinum",IF(N588&gt;=100,"Gold",IF(N588&gt;=50,"Silver","Regular")))</f>
        <v>Platinum</v>
      </c>
      <c r="P588" s="4" t="str">
        <f t="shared" si="64"/>
        <v>Tuesday</v>
      </c>
      <c r="Q588" s="4" t="str">
        <f t="shared" si="65"/>
        <v>Medium Order</v>
      </c>
      <c r="R588" s="4" t="str">
        <f t="shared" si="66"/>
        <v>Weekday</v>
      </c>
      <c r="S588" s="4" t="str">
        <f t="shared" si="67"/>
        <v>Regular</v>
      </c>
    </row>
    <row r="589" spans="1:19" x14ac:dyDescent="0.3">
      <c r="A589">
        <v>6373</v>
      </c>
      <c r="B589" t="s">
        <v>25</v>
      </c>
      <c r="C589" s="1">
        <v>45868</v>
      </c>
      <c r="D589" t="s">
        <v>16</v>
      </c>
      <c r="E589" t="s">
        <v>22</v>
      </c>
      <c r="F589">
        <v>2</v>
      </c>
      <c r="G589">
        <v>18.59</v>
      </c>
      <c r="H589">
        <v>37.18</v>
      </c>
      <c r="I589" t="str">
        <f t="shared" si="63"/>
        <v>Medium</v>
      </c>
      <c r="J589">
        <v>5.58</v>
      </c>
      <c r="K589">
        <f t="shared" si="68"/>
        <v>31.6</v>
      </c>
      <c r="L589" t="str">
        <f t="shared" si="69"/>
        <v>July</v>
      </c>
      <c r="M589">
        <f>YEAR(C589)</f>
        <v>2025</v>
      </c>
      <c r="N589">
        <v>204</v>
      </c>
      <c r="O589" t="str">
        <f>IF(N589&gt;=200,"Platinum",IF(N589&gt;=100,"Gold",IF(N589&gt;=50,"Silver","Regular")))</f>
        <v>Platinum</v>
      </c>
      <c r="P589" s="4" t="str">
        <f t="shared" si="64"/>
        <v>Wednesday</v>
      </c>
      <c r="Q589" s="4" t="str">
        <f t="shared" si="65"/>
        <v>Small Order</v>
      </c>
      <c r="R589" s="4" t="str">
        <f t="shared" si="66"/>
        <v>Weekday</v>
      </c>
      <c r="S589" s="4" t="str">
        <f t="shared" si="67"/>
        <v>Regular</v>
      </c>
    </row>
    <row r="590" spans="1:19" x14ac:dyDescent="0.3">
      <c r="A590">
        <v>1681</v>
      </c>
      <c r="B590" t="s">
        <v>15</v>
      </c>
      <c r="C590" s="1">
        <v>45735</v>
      </c>
      <c r="D590" t="s">
        <v>6</v>
      </c>
      <c r="E590" t="s">
        <v>18</v>
      </c>
      <c r="F590">
        <v>3</v>
      </c>
      <c r="G590">
        <v>14.57</v>
      </c>
      <c r="H590">
        <v>43.71</v>
      </c>
      <c r="I590" t="str">
        <f t="shared" si="63"/>
        <v>Medium</v>
      </c>
      <c r="J590">
        <v>6.56</v>
      </c>
      <c r="K590">
        <f t="shared" si="68"/>
        <v>37.15</v>
      </c>
      <c r="L590" t="str">
        <f t="shared" si="69"/>
        <v>March</v>
      </c>
      <c r="M590">
        <f>YEAR(C590)</f>
        <v>2025</v>
      </c>
      <c r="N590">
        <v>235</v>
      </c>
      <c r="O590" t="str">
        <f>IF(N590&gt;=200,"Platinum",IF(N590&gt;=100,"Gold",IF(N590&gt;=50,"Silver","Regular")))</f>
        <v>Platinum</v>
      </c>
      <c r="P590" s="4" t="str">
        <f t="shared" si="64"/>
        <v>Wednesday</v>
      </c>
      <c r="Q590" s="4" t="str">
        <f t="shared" si="65"/>
        <v>Medium Order</v>
      </c>
      <c r="R590" s="4" t="str">
        <f t="shared" si="66"/>
        <v>Weekday</v>
      </c>
      <c r="S590" s="4" t="str">
        <f t="shared" si="67"/>
        <v>Regular</v>
      </c>
    </row>
    <row r="591" spans="1:19" x14ac:dyDescent="0.3">
      <c r="A591">
        <v>5333</v>
      </c>
      <c r="B591" t="s">
        <v>20</v>
      </c>
      <c r="C591" s="1">
        <v>45771</v>
      </c>
      <c r="D591" t="s">
        <v>6</v>
      </c>
      <c r="E591" t="s">
        <v>32</v>
      </c>
      <c r="F591">
        <v>1</v>
      </c>
      <c r="G591">
        <v>25.92</v>
      </c>
      <c r="H591">
        <v>25.92</v>
      </c>
      <c r="I591" t="str">
        <f t="shared" si="63"/>
        <v>Low</v>
      </c>
      <c r="J591">
        <v>3.89</v>
      </c>
      <c r="K591">
        <f t="shared" si="68"/>
        <v>22.03</v>
      </c>
      <c r="L591" t="str">
        <f t="shared" si="69"/>
        <v>April</v>
      </c>
      <c r="M591">
        <f>YEAR(C591)</f>
        <v>2025</v>
      </c>
      <c r="N591">
        <v>36</v>
      </c>
      <c r="O591" t="str">
        <f>IF(N591&gt;=200,"Platinum",IF(N591&gt;=100,"Gold",IF(N591&gt;=50,"Silver","Regular")))</f>
        <v>Regular</v>
      </c>
      <c r="P591" s="4" t="str">
        <f t="shared" si="64"/>
        <v>Thursday</v>
      </c>
      <c r="Q591" s="4" t="str">
        <f t="shared" si="65"/>
        <v>Small Order</v>
      </c>
      <c r="R591" s="4" t="str">
        <f t="shared" si="66"/>
        <v>Weekday</v>
      </c>
      <c r="S591" s="4" t="str">
        <f t="shared" si="67"/>
        <v>Regular</v>
      </c>
    </row>
    <row r="592" spans="1:19" x14ac:dyDescent="0.3">
      <c r="A592">
        <v>5155</v>
      </c>
      <c r="B592" t="s">
        <v>8</v>
      </c>
      <c r="C592" s="1">
        <v>45725</v>
      </c>
      <c r="D592" t="s">
        <v>9</v>
      </c>
      <c r="E592" t="s">
        <v>29</v>
      </c>
      <c r="F592">
        <v>1</v>
      </c>
      <c r="G592">
        <v>13.06</v>
      </c>
      <c r="H592">
        <v>13.06</v>
      </c>
      <c r="I592" t="str">
        <f t="shared" si="63"/>
        <v>Low</v>
      </c>
      <c r="J592">
        <v>1.96</v>
      </c>
      <c r="K592">
        <f t="shared" si="68"/>
        <v>11.100000000000001</v>
      </c>
      <c r="L592" t="str">
        <f t="shared" si="69"/>
        <v>March</v>
      </c>
      <c r="M592">
        <f>YEAR(C592)</f>
        <v>2025</v>
      </c>
      <c r="N592">
        <v>360</v>
      </c>
      <c r="O592" t="str">
        <f>IF(N592&gt;=200,"Platinum",IF(N592&gt;=100,"Gold",IF(N592&gt;=50,"Silver","Regular")))</f>
        <v>Platinum</v>
      </c>
      <c r="P592" s="4" t="str">
        <f t="shared" si="64"/>
        <v>Sunday</v>
      </c>
      <c r="Q592" s="4" t="str">
        <f t="shared" si="65"/>
        <v>Small Order</v>
      </c>
      <c r="R592" s="4" t="str">
        <f t="shared" si="66"/>
        <v>Weekend</v>
      </c>
      <c r="S592" s="4" t="str">
        <f t="shared" si="67"/>
        <v>Regular</v>
      </c>
    </row>
    <row r="593" spans="1:19" x14ac:dyDescent="0.3">
      <c r="A593">
        <v>5566</v>
      </c>
      <c r="B593" t="s">
        <v>31</v>
      </c>
      <c r="C593" s="1">
        <v>45338</v>
      </c>
      <c r="D593" t="s">
        <v>17</v>
      </c>
      <c r="E593" t="s">
        <v>35</v>
      </c>
      <c r="F593">
        <v>3</v>
      </c>
      <c r="G593">
        <v>2.31</v>
      </c>
      <c r="H593">
        <v>6.93</v>
      </c>
      <c r="I593" t="str">
        <f t="shared" si="63"/>
        <v>Low</v>
      </c>
      <c r="J593">
        <v>1.04</v>
      </c>
      <c r="K593">
        <f t="shared" si="68"/>
        <v>5.89</v>
      </c>
      <c r="L593" t="str">
        <f t="shared" si="69"/>
        <v>February</v>
      </c>
      <c r="M593">
        <f>YEAR(C593)</f>
        <v>2024</v>
      </c>
      <c r="N593">
        <v>378</v>
      </c>
      <c r="O593" t="str">
        <f>IF(N593&gt;=200,"Platinum",IF(N593&gt;=100,"Gold",IF(N593&gt;=50,"Silver","Regular")))</f>
        <v>Platinum</v>
      </c>
      <c r="P593" s="4" t="str">
        <f t="shared" si="64"/>
        <v>Friday</v>
      </c>
      <c r="Q593" s="4" t="str">
        <f t="shared" si="65"/>
        <v>Medium Order</v>
      </c>
      <c r="R593" s="4" t="str">
        <f t="shared" si="66"/>
        <v>Weekday</v>
      </c>
      <c r="S593" s="4" t="str">
        <f t="shared" si="67"/>
        <v>Regular</v>
      </c>
    </row>
    <row r="594" spans="1:19" x14ac:dyDescent="0.3">
      <c r="A594">
        <v>9209</v>
      </c>
      <c r="B594" t="s">
        <v>13</v>
      </c>
      <c r="C594" s="1">
        <v>45740</v>
      </c>
      <c r="D594" t="s">
        <v>9</v>
      </c>
      <c r="E594" t="s">
        <v>22</v>
      </c>
      <c r="F594">
        <v>4</v>
      </c>
      <c r="G594">
        <v>13.86</v>
      </c>
      <c r="H594">
        <v>55.44</v>
      </c>
      <c r="I594" t="str">
        <f t="shared" si="63"/>
        <v>Medium</v>
      </c>
      <c r="J594">
        <v>8.32</v>
      </c>
      <c r="K594">
        <f t="shared" si="68"/>
        <v>47.12</v>
      </c>
      <c r="L594" t="str">
        <f t="shared" si="69"/>
        <v>March</v>
      </c>
      <c r="M594">
        <f>YEAR(C594)</f>
        <v>2025</v>
      </c>
      <c r="N594">
        <v>198</v>
      </c>
      <c r="O594" t="str">
        <f>IF(N594&gt;=200,"Platinum",IF(N594&gt;=100,"Gold",IF(N594&gt;=50,"Silver","Regular")))</f>
        <v>Gold</v>
      </c>
      <c r="P594" s="4" t="str">
        <f t="shared" si="64"/>
        <v>Monday</v>
      </c>
      <c r="Q594" s="4" t="str">
        <f t="shared" si="65"/>
        <v>Medium Order</v>
      </c>
      <c r="R594" s="4" t="str">
        <f t="shared" si="66"/>
        <v>Weekday</v>
      </c>
      <c r="S594" s="4" t="str">
        <f t="shared" si="67"/>
        <v>Regular</v>
      </c>
    </row>
    <row r="595" spans="1:19" x14ac:dyDescent="0.3">
      <c r="A595">
        <v>5777</v>
      </c>
      <c r="B595" t="s">
        <v>15</v>
      </c>
      <c r="C595" s="1">
        <v>45582</v>
      </c>
      <c r="D595" t="s">
        <v>24</v>
      </c>
      <c r="E595" t="s">
        <v>33</v>
      </c>
      <c r="F595">
        <v>5</v>
      </c>
      <c r="G595">
        <v>14.14</v>
      </c>
      <c r="H595">
        <v>70.7</v>
      </c>
      <c r="I595" t="str">
        <f t="shared" si="63"/>
        <v>High</v>
      </c>
      <c r="J595">
        <v>10.61</v>
      </c>
      <c r="K595">
        <f t="shared" si="68"/>
        <v>60.09</v>
      </c>
      <c r="L595" t="str">
        <f t="shared" si="69"/>
        <v>October</v>
      </c>
      <c r="M595">
        <f>YEAR(C595)</f>
        <v>2024</v>
      </c>
      <c r="N595">
        <v>83</v>
      </c>
      <c r="O595" t="str">
        <f>IF(N595&gt;=200,"Platinum",IF(N595&gt;=100,"Gold",IF(N595&gt;=50,"Silver","Regular")))</f>
        <v>Silver</v>
      </c>
      <c r="P595" s="4" t="str">
        <f t="shared" si="64"/>
        <v>Thursday</v>
      </c>
      <c r="Q595" s="4" t="str">
        <f t="shared" si="65"/>
        <v>Medium Order</v>
      </c>
      <c r="R595" s="4" t="str">
        <f t="shared" si="66"/>
        <v>Weekday</v>
      </c>
      <c r="S595" s="4" t="str">
        <f t="shared" si="67"/>
        <v>Regular</v>
      </c>
    </row>
    <row r="596" spans="1:19" x14ac:dyDescent="0.3">
      <c r="A596">
        <v>3756</v>
      </c>
      <c r="B596" t="s">
        <v>15</v>
      </c>
      <c r="C596" s="1">
        <v>45714</v>
      </c>
      <c r="D596" t="s">
        <v>1</v>
      </c>
      <c r="E596" t="s">
        <v>12</v>
      </c>
      <c r="F596">
        <v>2</v>
      </c>
      <c r="G596">
        <v>14.56</v>
      </c>
      <c r="H596">
        <v>29.12</v>
      </c>
      <c r="I596" t="str">
        <f t="shared" si="63"/>
        <v>Low</v>
      </c>
      <c r="J596">
        <v>4.37</v>
      </c>
      <c r="K596">
        <f t="shared" si="68"/>
        <v>24.75</v>
      </c>
      <c r="L596" t="str">
        <f t="shared" si="69"/>
        <v>February</v>
      </c>
      <c r="M596">
        <f>YEAR(C596)</f>
        <v>2025</v>
      </c>
      <c r="N596">
        <v>370</v>
      </c>
      <c r="O596" t="str">
        <f>IF(N596&gt;=200,"Platinum",IF(N596&gt;=100,"Gold",IF(N596&gt;=50,"Silver","Regular")))</f>
        <v>Platinum</v>
      </c>
      <c r="P596" s="4" t="str">
        <f t="shared" si="64"/>
        <v>Wednesday</v>
      </c>
      <c r="Q596" s="4" t="str">
        <f t="shared" si="65"/>
        <v>Small Order</v>
      </c>
      <c r="R596" s="4" t="str">
        <f t="shared" si="66"/>
        <v>Weekday</v>
      </c>
      <c r="S596" s="4" t="str">
        <f t="shared" si="67"/>
        <v>Regular</v>
      </c>
    </row>
    <row r="597" spans="1:19" x14ac:dyDescent="0.3">
      <c r="A597">
        <v>9482</v>
      </c>
      <c r="B597" t="s">
        <v>20</v>
      </c>
      <c r="C597" s="1">
        <v>45616</v>
      </c>
      <c r="D597" t="s">
        <v>6</v>
      </c>
      <c r="E597" t="s">
        <v>10</v>
      </c>
      <c r="F597">
        <v>2</v>
      </c>
      <c r="G597">
        <v>29.62</v>
      </c>
      <c r="H597">
        <v>59.24</v>
      </c>
      <c r="I597" t="str">
        <f t="shared" si="63"/>
        <v>Medium</v>
      </c>
      <c r="J597">
        <v>8.89</v>
      </c>
      <c r="K597">
        <f t="shared" si="68"/>
        <v>50.35</v>
      </c>
      <c r="L597" t="str">
        <f t="shared" si="69"/>
        <v>November</v>
      </c>
      <c r="M597">
        <f>YEAR(C597)</f>
        <v>2024</v>
      </c>
      <c r="N597">
        <v>423</v>
      </c>
      <c r="O597" t="str">
        <f>IF(N597&gt;=200,"Platinum",IF(N597&gt;=100,"Gold",IF(N597&gt;=50,"Silver","Regular")))</f>
        <v>Platinum</v>
      </c>
      <c r="P597" s="4" t="str">
        <f t="shared" si="64"/>
        <v>Wednesday</v>
      </c>
      <c r="Q597" s="4" t="str">
        <f t="shared" si="65"/>
        <v>Small Order</v>
      </c>
      <c r="R597" s="4" t="str">
        <f t="shared" si="66"/>
        <v>Weekday</v>
      </c>
      <c r="S597" s="4" t="str">
        <f t="shared" si="67"/>
        <v>Regular</v>
      </c>
    </row>
    <row r="598" spans="1:19" x14ac:dyDescent="0.3">
      <c r="A598">
        <v>2858</v>
      </c>
      <c r="B598" t="s">
        <v>25</v>
      </c>
      <c r="C598" s="1">
        <v>45503</v>
      </c>
      <c r="D598" t="s">
        <v>27</v>
      </c>
      <c r="E598" t="s">
        <v>35</v>
      </c>
      <c r="F598">
        <v>4</v>
      </c>
      <c r="G598">
        <v>15.11</v>
      </c>
      <c r="H598">
        <v>60.44</v>
      </c>
      <c r="I598" t="str">
        <f t="shared" si="63"/>
        <v>Medium</v>
      </c>
      <c r="J598">
        <v>9.07</v>
      </c>
      <c r="K598">
        <f t="shared" si="68"/>
        <v>51.37</v>
      </c>
      <c r="L598" t="str">
        <f t="shared" si="69"/>
        <v>July</v>
      </c>
      <c r="M598">
        <f>YEAR(C598)</f>
        <v>2024</v>
      </c>
      <c r="N598">
        <v>151</v>
      </c>
      <c r="O598" t="str">
        <f>IF(N598&gt;=200,"Platinum",IF(N598&gt;=100,"Gold",IF(N598&gt;=50,"Silver","Regular")))</f>
        <v>Gold</v>
      </c>
      <c r="P598" s="4" t="str">
        <f t="shared" si="64"/>
        <v>Tuesday</v>
      </c>
      <c r="Q598" s="4" t="str">
        <f t="shared" si="65"/>
        <v>Medium Order</v>
      </c>
      <c r="R598" s="4" t="str">
        <f t="shared" si="66"/>
        <v>Weekday</v>
      </c>
      <c r="S598" s="4" t="str">
        <f t="shared" si="67"/>
        <v>Regular</v>
      </c>
    </row>
    <row r="599" spans="1:19" x14ac:dyDescent="0.3">
      <c r="A599">
        <v>6491</v>
      </c>
      <c r="B599" t="s">
        <v>20</v>
      </c>
      <c r="C599" s="1">
        <v>45217</v>
      </c>
      <c r="D599" t="s">
        <v>24</v>
      </c>
      <c r="E599" t="s">
        <v>5</v>
      </c>
      <c r="F599">
        <v>2</v>
      </c>
      <c r="G599">
        <v>23.29</v>
      </c>
      <c r="H599">
        <v>46.58</v>
      </c>
      <c r="I599" t="str">
        <f t="shared" si="63"/>
        <v>Medium</v>
      </c>
      <c r="J599">
        <v>6.99</v>
      </c>
      <c r="K599">
        <f t="shared" si="68"/>
        <v>39.589999999999996</v>
      </c>
      <c r="L599" t="str">
        <f t="shared" si="69"/>
        <v>October</v>
      </c>
      <c r="M599">
        <f>YEAR(C599)</f>
        <v>2023</v>
      </c>
      <c r="N599">
        <v>392</v>
      </c>
      <c r="O599" t="str">
        <f>IF(N599&gt;=200,"Platinum",IF(N599&gt;=100,"Gold",IF(N599&gt;=50,"Silver","Regular")))</f>
        <v>Platinum</v>
      </c>
      <c r="P599" s="4" t="str">
        <f t="shared" si="64"/>
        <v>Wednesday</v>
      </c>
      <c r="Q599" s="4" t="str">
        <f t="shared" si="65"/>
        <v>Small Order</v>
      </c>
      <c r="R599" s="4" t="str">
        <f t="shared" si="66"/>
        <v>Weekday</v>
      </c>
      <c r="S599" s="4" t="str">
        <f t="shared" si="67"/>
        <v>Regular</v>
      </c>
    </row>
    <row r="600" spans="1:19" x14ac:dyDescent="0.3">
      <c r="A600">
        <v>9850</v>
      </c>
      <c r="B600" t="s">
        <v>0</v>
      </c>
      <c r="C600" s="1">
        <v>45470</v>
      </c>
      <c r="D600" t="s">
        <v>6</v>
      </c>
      <c r="E600" t="s">
        <v>5</v>
      </c>
      <c r="F600">
        <v>3</v>
      </c>
      <c r="G600">
        <v>23.79</v>
      </c>
      <c r="H600">
        <v>71.37</v>
      </c>
      <c r="I600" t="str">
        <f t="shared" si="63"/>
        <v>High</v>
      </c>
      <c r="J600">
        <v>10.71</v>
      </c>
      <c r="K600">
        <f t="shared" si="68"/>
        <v>60.660000000000004</v>
      </c>
      <c r="L600" t="str">
        <f t="shared" si="69"/>
        <v>June</v>
      </c>
      <c r="M600">
        <f>YEAR(C600)</f>
        <v>2024</v>
      </c>
      <c r="N600">
        <v>75</v>
      </c>
      <c r="O600" t="str">
        <f>IF(N600&gt;=200,"Platinum",IF(N600&gt;=100,"Gold",IF(N600&gt;=50,"Silver","Regular")))</f>
        <v>Silver</v>
      </c>
      <c r="P600" s="4" t="str">
        <f t="shared" si="64"/>
        <v>Thursday</v>
      </c>
      <c r="Q600" s="4" t="str">
        <f t="shared" si="65"/>
        <v>Medium Order</v>
      </c>
      <c r="R600" s="4" t="str">
        <f t="shared" si="66"/>
        <v>Weekday</v>
      </c>
      <c r="S600" s="4" t="str">
        <f t="shared" si="67"/>
        <v>Regular</v>
      </c>
    </row>
    <row r="601" spans="1:19" x14ac:dyDescent="0.3">
      <c r="A601">
        <v>8361</v>
      </c>
      <c r="B601" t="s">
        <v>13</v>
      </c>
      <c r="C601" s="1">
        <v>45848</v>
      </c>
      <c r="D601" t="s">
        <v>24</v>
      </c>
      <c r="E601" t="s">
        <v>29</v>
      </c>
      <c r="F601">
        <v>4</v>
      </c>
      <c r="G601">
        <v>16.46</v>
      </c>
      <c r="H601">
        <v>65.84</v>
      </c>
      <c r="I601" t="str">
        <f t="shared" si="63"/>
        <v>Medium</v>
      </c>
      <c r="J601">
        <v>9.8800000000000008</v>
      </c>
      <c r="K601">
        <f t="shared" si="68"/>
        <v>55.96</v>
      </c>
      <c r="L601" t="str">
        <f t="shared" si="69"/>
        <v>July</v>
      </c>
      <c r="M601">
        <f>YEAR(C601)</f>
        <v>2025</v>
      </c>
      <c r="N601">
        <v>358</v>
      </c>
      <c r="O601" t="str">
        <f>IF(N601&gt;=200,"Platinum",IF(N601&gt;=100,"Gold",IF(N601&gt;=50,"Silver","Regular")))</f>
        <v>Platinum</v>
      </c>
      <c r="P601" s="4" t="str">
        <f t="shared" si="64"/>
        <v>Thursday</v>
      </c>
      <c r="Q601" s="4" t="str">
        <f t="shared" si="65"/>
        <v>Medium Order</v>
      </c>
      <c r="R601" s="4" t="str">
        <f t="shared" si="66"/>
        <v>Weekday</v>
      </c>
      <c r="S601" s="4" t="str">
        <f t="shared" si="67"/>
        <v>Regular</v>
      </c>
    </row>
    <row r="602" spans="1:19" x14ac:dyDescent="0.3">
      <c r="A602">
        <v>6927</v>
      </c>
      <c r="B602" t="s">
        <v>20</v>
      </c>
      <c r="C602" s="1">
        <v>45628</v>
      </c>
      <c r="D602" t="s">
        <v>16</v>
      </c>
      <c r="E602" t="s">
        <v>29</v>
      </c>
      <c r="F602">
        <v>2</v>
      </c>
      <c r="G602">
        <v>8.73</v>
      </c>
      <c r="H602">
        <v>17.46</v>
      </c>
      <c r="I602" t="str">
        <f t="shared" si="63"/>
        <v>Low</v>
      </c>
      <c r="J602">
        <v>2.62</v>
      </c>
      <c r="K602">
        <f t="shared" si="68"/>
        <v>14.84</v>
      </c>
      <c r="L602" t="str">
        <f t="shared" si="69"/>
        <v>December</v>
      </c>
      <c r="M602">
        <f>YEAR(C602)</f>
        <v>2024</v>
      </c>
      <c r="N602">
        <v>402</v>
      </c>
      <c r="O602" t="str">
        <f>IF(N602&gt;=200,"Platinum",IF(N602&gt;=100,"Gold",IF(N602&gt;=50,"Silver","Regular")))</f>
        <v>Platinum</v>
      </c>
      <c r="P602" s="4" t="str">
        <f t="shared" si="64"/>
        <v>Monday</v>
      </c>
      <c r="Q602" s="4" t="str">
        <f t="shared" si="65"/>
        <v>Small Order</v>
      </c>
      <c r="R602" s="4" t="str">
        <f t="shared" si="66"/>
        <v>Weekday</v>
      </c>
      <c r="S602" s="4" t="str">
        <f t="shared" si="67"/>
        <v>Regular</v>
      </c>
    </row>
    <row r="603" spans="1:19" x14ac:dyDescent="0.3">
      <c r="A603">
        <v>9683</v>
      </c>
      <c r="B603" t="s">
        <v>49</v>
      </c>
      <c r="C603" s="1">
        <v>45249</v>
      </c>
      <c r="D603" t="s">
        <v>1</v>
      </c>
      <c r="E603" t="s">
        <v>22</v>
      </c>
      <c r="F603">
        <v>2</v>
      </c>
      <c r="G603">
        <v>8.73</v>
      </c>
      <c r="H603">
        <v>17.46</v>
      </c>
      <c r="I603" t="str">
        <f t="shared" si="63"/>
        <v>Low</v>
      </c>
      <c r="J603">
        <v>2.62</v>
      </c>
      <c r="K603">
        <f t="shared" si="68"/>
        <v>14.84</v>
      </c>
      <c r="L603" t="str">
        <f t="shared" si="69"/>
        <v>November</v>
      </c>
      <c r="M603">
        <f>YEAR(C603)</f>
        <v>2023</v>
      </c>
      <c r="N603">
        <v>243</v>
      </c>
      <c r="O603" t="str">
        <f>IF(N603&gt;=200,"Platinum",IF(N603&gt;=100,"Gold",IF(N603&gt;=50,"Silver","Regular")))</f>
        <v>Platinum</v>
      </c>
      <c r="P603" s="4" t="str">
        <f t="shared" si="64"/>
        <v>Sunday</v>
      </c>
      <c r="Q603" s="4" t="str">
        <f t="shared" si="65"/>
        <v>Small Order</v>
      </c>
      <c r="R603" s="4" t="str">
        <f t="shared" si="66"/>
        <v>Weekend</v>
      </c>
      <c r="S603" s="4" t="str">
        <f t="shared" si="67"/>
        <v>Regular</v>
      </c>
    </row>
    <row r="604" spans="1:19" x14ac:dyDescent="0.3">
      <c r="A604">
        <v>1550</v>
      </c>
      <c r="B604" t="s">
        <v>31</v>
      </c>
      <c r="C604" s="1">
        <v>45491</v>
      </c>
      <c r="D604" t="s">
        <v>4</v>
      </c>
      <c r="E604" t="s">
        <v>30</v>
      </c>
      <c r="F604">
        <v>3</v>
      </c>
      <c r="G604">
        <v>8.93</v>
      </c>
      <c r="H604">
        <v>26.79</v>
      </c>
      <c r="I604" t="str">
        <f t="shared" si="63"/>
        <v>Low</v>
      </c>
      <c r="J604">
        <v>4.0199999999999996</v>
      </c>
      <c r="K604">
        <f t="shared" si="68"/>
        <v>22.77</v>
      </c>
      <c r="L604" t="str">
        <f t="shared" si="69"/>
        <v>July</v>
      </c>
      <c r="M604">
        <f>YEAR(C604)</f>
        <v>2024</v>
      </c>
      <c r="N604">
        <v>102</v>
      </c>
      <c r="O604" t="str">
        <f>IF(N604&gt;=200,"Platinum",IF(N604&gt;=100,"Gold",IF(N604&gt;=50,"Silver","Regular")))</f>
        <v>Gold</v>
      </c>
      <c r="P604" s="4" t="str">
        <f t="shared" si="64"/>
        <v>Thursday</v>
      </c>
      <c r="Q604" s="4" t="str">
        <f t="shared" si="65"/>
        <v>Medium Order</v>
      </c>
      <c r="R604" s="4" t="str">
        <f t="shared" si="66"/>
        <v>Weekday</v>
      </c>
      <c r="S604" s="4" t="str">
        <f t="shared" si="67"/>
        <v>Regular</v>
      </c>
    </row>
    <row r="605" spans="1:19" x14ac:dyDescent="0.3">
      <c r="A605">
        <v>9221</v>
      </c>
      <c r="B605" t="s">
        <v>3</v>
      </c>
      <c r="C605" s="1">
        <v>45854</v>
      </c>
      <c r="D605" t="s">
        <v>27</v>
      </c>
      <c r="E605" t="s">
        <v>37</v>
      </c>
      <c r="F605">
        <v>3</v>
      </c>
      <c r="G605">
        <v>14.95</v>
      </c>
      <c r="H605">
        <v>44.85</v>
      </c>
      <c r="I605" t="str">
        <f t="shared" si="63"/>
        <v>Medium</v>
      </c>
      <c r="J605">
        <v>6.73</v>
      </c>
      <c r="K605">
        <f t="shared" si="68"/>
        <v>38.120000000000005</v>
      </c>
      <c r="L605" t="str">
        <f t="shared" si="69"/>
        <v>July</v>
      </c>
      <c r="M605">
        <f>YEAR(C605)</f>
        <v>2025</v>
      </c>
      <c r="N605">
        <v>152</v>
      </c>
      <c r="O605" t="str">
        <f>IF(N605&gt;=200,"Platinum",IF(N605&gt;=100,"Gold",IF(N605&gt;=50,"Silver","Regular")))</f>
        <v>Gold</v>
      </c>
      <c r="P605" s="4" t="str">
        <f t="shared" si="64"/>
        <v>Wednesday</v>
      </c>
      <c r="Q605" s="4" t="str">
        <f t="shared" si="65"/>
        <v>Medium Order</v>
      </c>
      <c r="R605" s="4" t="str">
        <f t="shared" si="66"/>
        <v>Weekday</v>
      </c>
      <c r="S605" s="4" t="str">
        <f t="shared" si="67"/>
        <v>Regular</v>
      </c>
    </row>
    <row r="606" spans="1:19" x14ac:dyDescent="0.3">
      <c r="A606">
        <v>7755</v>
      </c>
      <c r="B606" t="s">
        <v>15</v>
      </c>
      <c r="C606" s="1">
        <v>45164</v>
      </c>
      <c r="D606" t="s">
        <v>4</v>
      </c>
      <c r="E606" t="s">
        <v>10</v>
      </c>
      <c r="F606">
        <v>3</v>
      </c>
      <c r="G606">
        <v>21.57</v>
      </c>
      <c r="H606">
        <v>64.709999999999994</v>
      </c>
      <c r="I606" t="str">
        <f t="shared" si="63"/>
        <v>Medium</v>
      </c>
      <c r="J606">
        <v>9.7100000000000009</v>
      </c>
      <c r="K606">
        <f t="shared" si="68"/>
        <v>54.999999999999993</v>
      </c>
      <c r="L606" t="str">
        <f t="shared" si="69"/>
        <v>August</v>
      </c>
      <c r="M606">
        <f>YEAR(C606)</f>
        <v>2023</v>
      </c>
      <c r="N606">
        <v>281</v>
      </c>
      <c r="O606" t="str">
        <f>IF(N606&gt;=200,"Platinum",IF(N606&gt;=100,"Gold",IF(N606&gt;=50,"Silver","Regular")))</f>
        <v>Platinum</v>
      </c>
      <c r="P606" s="4" t="str">
        <f t="shared" si="64"/>
        <v>Saturday</v>
      </c>
      <c r="Q606" s="4" t="str">
        <f t="shared" si="65"/>
        <v>Medium Order</v>
      </c>
      <c r="R606" s="4" t="str">
        <f t="shared" si="66"/>
        <v>Weekend</v>
      </c>
      <c r="S606" s="4" t="str">
        <f t="shared" si="67"/>
        <v>Regular</v>
      </c>
    </row>
    <row r="607" spans="1:19" x14ac:dyDescent="0.3">
      <c r="A607">
        <v>7302</v>
      </c>
      <c r="B607" t="s">
        <v>31</v>
      </c>
      <c r="C607" s="1">
        <v>45807</v>
      </c>
      <c r="D607" t="s">
        <v>17</v>
      </c>
      <c r="E607" t="s">
        <v>7</v>
      </c>
      <c r="F607">
        <v>2</v>
      </c>
      <c r="G607">
        <v>29.39</v>
      </c>
      <c r="H607">
        <v>58.78</v>
      </c>
      <c r="I607" t="str">
        <f t="shared" si="63"/>
        <v>Medium</v>
      </c>
      <c r="J607">
        <v>8.82</v>
      </c>
      <c r="K607">
        <f t="shared" si="68"/>
        <v>49.96</v>
      </c>
      <c r="L607" t="str">
        <f t="shared" si="69"/>
        <v>May</v>
      </c>
      <c r="M607">
        <f>YEAR(C607)</f>
        <v>2025</v>
      </c>
      <c r="N607">
        <v>145</v>
      </c>
      <c r="O607" t="str">
        <f>IF(N607&gt;=200,"Platinum",IF(N607&gt;=100,"Gold",IF(N607&gt;=50,"Silver","Regular")))</f>
        <v>Gold</v>
      </c>
      <c r="P607" s="4" t="str">
        <f t="shared" si="64"/>
        <v>Friday</v>
      </c>
      <c r="Q607" s="4" t="str">
        <f t="shared" si="65"/>
        <v>Small Order</v>
      </c>
      <c r="R607" s="4" t="str">
        <f t="shared" si="66"/>
        <v>Weekday</v>
      </c>
      <c r="S607" s="4" t="str">
        <f t="shared" si="67"/>
        <v>Regular</v>
      </c>
    </row>
    <row r="608" spans="1:19" x14ac:dyDescent="0.3">
      <c r="A608">
        <v>1317</v>
      </c>
      <c r="B608" t="s">
        <v>20</v>
      </c>
      <c r="C608" s="1">
        <v>45726</v>
      </c>
      <c r="D608" t="s">
        <v>34</v>
      </c>
      <c r="E608" t="s">
        <v>7</v>
      </c>
      <c r="F608">
        <v>2</v>
      </c>
      <c r="G608">
        <v>29.69</v>
      </c>
      <c r="H608">
        <v>59.38</v>
      </c>
      <c r="I608" t="str">
        <f t="shared" si="63"/>
        <v>Medium</v>
      </c>
      <c r="J608">
        <v>8.91</v>
      </c>
      <c r="K608">
        <f t="shared" si="68"/>
        <v>50.47</v>
      </c>
      <c r="L608" t="str">
        <f t="shared" si="69"/>
        <v>March</v>
      </c>
      <c r="M608">
        <f>YEAR(C608)</f>
        <v>2025</v>
      </c>
      <c r="N608">
        <v>52</v>
      </c>
      <c r="O608" t="str">
        <f>IF(N608&gt;=200,"Platinum",IF(N608&gt;=100,"Gold",IF(N608&gt;=50,"Silver","Regular")))</f>
        <v>Silver</v>
      </c>
      <c r="P608" s="4" t="str">
        <f t="shared" si="64"/>
        <v>Monday</v>
      </c>
      <c r="Q608" s="4" t="str">
        <f t="shared" si="65"/>
        <v>Small Order</v>
      </c>
      <c r="R608" s="4" t="str">
        <f t="shared" si="66"/>
        <v>Weekday</v>
      </c>
      <c r="S608" s="4" t="str">
        <f t="shared" si="67"/>
        <v>Regular</v>
      </c>
    </row>
    <row r="609" spans="1:19" x14ac:dyDescent="0.3">
      <c r="A609">
        <v>9281</v>
      </c>
      <c r="B609" t="s">
        <v>8</v>
      </c>
      <c r="C609" s="1">
        <v>45652</v>
      </c>
      <c r="D609" t="s">
        <v>23</v>
      </c>
      <c r="E609" t="s">
        <v>32</v>
      </c>
      <c r="F609">
        <v>4</v>
      </c>
      <c r="G609">
        <v>20.51</v>
      </c>
      <c r="H609">
        <v>82.04</v>
      </c>
      <c r="I609" t="str">
        <f t="shared" si="63"/>
        <v>High</v>
      </c>
      <c r="J609">
        <v>12.31</v>
      </c>
      <c r="K609">
        <f t="shared" si="68"/>
        <v>69.73</v>
      </c>
      <c r="L609" t="str">
        <f t="shared" si="69"/>
        <v>December</v>
      </c>
      <c r="M609">
        <f>YEAR(C609)</f>
        <v>2024</v>
      </c>
      <c r="N609">
        <v>48</v>
      </c>
      <c r="O609" t="str">
        <f>IF(N609&gt;=200,"Platinum",IF(N609&gt;=100,"Gold",IF(N609&gt;=50,"Silver","Regular")))</f>
        <v>Regular</v>
      </c>
      <c r="P609" s="4" t="str">
        <f t="shared" si="64"/>
        <v>Thursday</v>
      </c>
      <c r="Q609" s="4" t="str">
        <f t="shared" si="65"/>
        <v>Medium Order</v>
      </c>
      <c r="R609" s="4" t="str">
        <f t="shared" si="66"/>
        <v>Weekday</v>
      </c>
      <c r="S609" s="4" t="str">
        <f t="shared" si="67"/>
        <v>Regular</v>
      </c>
    </row>
    <row r="610" spans="1:19" x14ac:dyDescent="0.3">
      <c r="A610">
        <v>2415</v>
      </c>
      <c r="B610" t="s">
        <v>19</v>
      </c>
      <c r="C610" s="1">
        <v>45574</v>
      </c>
      <c r="D610" t="s">
        <v>6</v>
      </c>
      <c r="E610" t="s">
        <v>21</v>
      </c>
      <c r="F610">
        <v>4</v>
      </c>
      <c r="G610">
        <v>21.31</v>
      </c>
      <c r="H610">
        <v>85.24</v>
      </c>
      <c r="I610" t="str">
        <f t="shared" si="63"/>
        <v>High</v>
      </c>
      <c r="J610">
        <v>12.79</v>
      </c>
      <c r="K610">
        <f t="shared" si="68"/>
        <v>72.449999999999989</v>
      </c>
      <c r="L610" t="str">
        <f t="shared" si="69"/>
        <v>October</v>
      </c>
      <c r="M610">
        <f>YEAR(C610)</f>
        <v>2024</v>
      </c>
      <c r="N610">
        <v>436</v>
      </c>
      <c r="O610" t="str">
        <f>IF(N610&gt;=200,"Platinum",IF(N610&gt;=100,"Gold",IF(N610&gt;=50,"Silver","Regular")))</f>
        <v>Platinum</v>
      </c>
      <c r="P610" s="4" t="str">
        <f t="shared" si="64"/>
        <v>Wednesday</v>
      </c>
      <c r="Q610" s="4" t="str">
        <f t="shared" si="65"/>
        <v>Medium Order</v>
      </c>
      <c r="R610" s="4" t="str">
        <f t="shared" si="66"/>
        <v>Weekday</v>
      </c>
      <c r="S610" s="4" t="str">
        <f t="shared" si="67"/>
        <v>Regular</v>
      </c>
    </row>
    <row r="611" spans="1:19" x14ac:dyDescent="0.3">
      <c r="A611">
        <v>7697</v>
      </c>
      <c r="B611" t="s">
        <v>8</v>
      </c>
      <c r="C611" s="1">
        <v>45746</v>
      </c>
      <c r="D611" t="s">
        <v>27</v>
      </c>
      <c r="E611" t="s">
        <v>10</v>
      </c>
      <c r="F611">
        <v>3</v>
      </c>
      <c r="G611">
        <v>24.97</v>
      </c>
      <c r="H611">
        <v>74.91</v>
      </c>
      <c r="I611" t="str">
        <f t="shared" si="63"/>
        <v>High</v>
      </c>
      <c r="J611">
        <v>11.24</v>
      </c>
      <c r="K611">
        <f t="shared" si="68"/>
        <v>63.669999999999995</v>
      </c>
      <c r="L611" t="str">
        <f t="shared" si="69"/>
        <v>March</v>
      </c>
      <c r="M611">
        <f>YEAR(C611)</f>
        <v>2025</v>
      </c>
      <c r="N611">
        <v>350</v>
      </c>
      <c r="O611" t="str">
        <f>IF(N611&gt;=200,"Platinum",IF(N611&gt;=100,"Gold",IF(N611&gt;=50,"Silver","Regular")))</f>
        <v>Platinum</v>
      </c>
      <c r="P611" s="4" t="str">
        <f t="shared" si="64"/>
        <v>Sunday</v>
      </c>
      <c r="Q611" s="4" t="str">
        <f t="shared" si="65"/>
        <v>Medium Order</v>
      </c>
      <c r="R611" s="4" t="str">
        <f t="shared" si="66"/>
        <v>Weekend</v>
      </c>
      <c r="S611" s="4" t="str">
        <f t="shared" si="67"/>
        <v>Regular</v>
      </c>
    </row>
    <row r="612" spans="1:19" x14ac:dyDescent="0.3">
      <c r="A612">
        <v>2336</v>
      </c>
      <c r="B612" t="s">
        <v>31</v>
      </c>
      <c r="C612" s="1">
        <v>45356</v>
      </c>
      <c r="D612" t="s">
        <v>16</v>
      </c>
      <c r="E612" t="s">
        <v>33</v>
      </c>
      <c r="F612">
        <v>5</v>
      </c>
      <c r="G612">
        <v>10.77</v>
      </c>
      <c r="H612">
        <v>53.85</v>
      </c>
      <c r="I612" t="str">
        <f t="shared" si="63"/>
        <v>Medium</v>
      </c>
      <c r="J612">
        <v>8.08</v>
      </c>
      <c r="K612">
        <f t="shared" si="68"/>
        <v>45.77</v>
      </c>
      <c r="L612" t="str">
        <f t="shared" si="69"/>
        <v>March</v>
      </c>
      <c r="M612">
        <f>YEAR(C612)</f>
        <v>2024</v>
      </c>
      <c r="N612">
        <v>353</v>
      </c>
      <c r="O612" t="str">
        <f>IF(N612&gt;=200,"Platinum",IF(N612&gt;=100,"Gold",IF(N612&gt;=50,"Silver","Regular")))</f>
        <v>Platinum</v>
      </c>
      <c r="P612" s="4" t="str">
        <f t="shared" si="64"/>
        <v>Tuesday</v>
      </c>
      <c r="Q612" s="4" t="str">
        <f t="shared" si="65"/>
        <v>Medium Order</v>
      </c>
      <c r="R612" s="4" t="str">
        <f t="shared" si="66"/>
        <v>Weekday</v>
      </c>
      <c r="S612" s="4" t="str">
        <f t="shared" si="67"/>
        <v>Regular</v>
      </c>
    </row>
    <row r="613" spans="1:19" x14ac:dyDescent="0.3">
      <c r="A613">
        <v>8699</v>
      </c>
      <c r="B613" t="s">
        <v>19</v>
      </c>
      <c r="C613" s="1">
        <v>45371</v>
      </c>
      <c r="D613" t="s">
        <v>9</v>
      </c>
      <c r="E613" t="s">
        <v>21</v>
      </c>
      <c r="F613">
        <v>4</v>
      </c>
      <c r="G613">
        <v>22.36</v>
      </c>
      <c r="H613">
        <v>89.44</v>
      </c>
      <c r="I613" t="str">
        <f t="shared" si="63"/>
        <v>High</v>
      </c>
      <c r="J613">
        <v>13.42</v>
      </c>
      <c r="K613">
        <f t="shared" si="68"/>
        <v>76.02</v>
      </c>
      <c r="L613" t="str">
        <f t="shared" si="69"/>
        <v>March</v>
      </c>
      <c r="M613">
        <f>YEAR(C613)</f>
        <v>2024</v>
      </c>
      <c r="N613">
        <v>298</v>
      </c>
      <c r="O613" t="str">
        <f>IF(N613&gt;=200,"Platinum",IF(N613&gt;=100,"Gold",IF(N613&gt;=50,"Silver","Regular")))</f>
        <v>Platinum</v>
      </c>
      <c r="P613" s="4" t="str">
        <f t="shared" si="64"/>
        <v>Wednesday</v>
      </c>
      <c r="Q613" s="4" t="str">
        <f t="shared" si="65"/>
        <v>Medium Order</v>
      </c>
      <c r="R613" s="4" t="str">
        <f t="shared" si="66"/>
        <v>Weekday</v>
      </c>
      <c r="S613" s="4" t="str">
        <f t="shared" si="67"/>
        <v>Regular</v>
      </c>
    </row>
    <row r="614" spans="1:19" x14ac:dyDescent="0.3">
      <c r="A614">
        <v>3740</v>
      </c>
      <c r="B614" t="s">
        <v>3</v>
      </c>
      <c r="C614" s="1">
        <v>45209</v>
      </c>
      <c r="D614" t="s">
        <v>34</v>
      </c>
      <c r="E614" t="s">
        <v>5</v>
      </c>
      <c r="F614">
        <v>3</v>
      </c>
      <c r="G614">
        <v>7.62</v>
      </c>
      <c r="H614">
        <v>22.86</v>
      </c>
      <c r="I614" t="str">
        <f t="shared" si="63"/>
        <v>Low</v>
      </c>
      <c r="J614">
        <v>3.43</v>
      </c>
      <c r="K614">
        <f t="shared" si="68"/>
        <v>19.43</v>
      </c>
      <c r="L614" t="str">
        <f t="shared" si="69"/>
        <v>October</v>
      </c>
      <c r="M614">
        <f>YEAR(C614)</f>
        <v>2023</v>
      </c>
      <c r="N614">
        <v>134</v>
      </c>
      <c r="O614" t="str">
        <f>IF(N614&gt;=200,"Platinum",IF(N614&gt;=100,"Gold",IF(N614&gt;=50,"Silver","Regular")))</f>
        <v>Gold</v>
      </c>
      <c r="P614" s="4" t="str">
        <f t="shared" si="64"/>
        <v>Tuesday</v>
      </c>
      <c r="Q614" s="4" t="str">
        <f t="shared" si="65"/>
        <v>Medium Order</v>
      </c>
      <c r="R614" s="4" t="str">
        <f t="shared" si="66"/>
        <v>Weekday</v>
      </c>
      <c r="S614" s="4" t="str">
        <f t="shared" si="67"/>
        <v>Regular</v>
      </c>
    </row>
    <row r="615" spans="1:19" x14ac:dyDescent="0.3">
      <c r="A615">
        <v>7590</v>
      </c>
      <c r="B615" t="s">
        <v>31</v>
      </c>
      <c r="C615" s="1">
        <v>45209</v>
      </c>
      <c r="D615" t="s">
        <v>17</v>
      </c>
      <c r="E615" t="s">
        <v>33</v>
      </c>
      <c r="F615">
        <v>5</v>
      </c>
      <c r="G615">
        <v>11.53</v>
      </c>
      <c r="H615">
        <v>57.65</v>
      </c>
      <c r="I615" t="str">
        <f t="shared" si="63"/>
        <v>Medium</v>
      </c>
      <c r="J615">
        <v>8.65</v>
      </c>
      <c r="K615">
        <f t="shared" si="68"/>
        <v>49</v>
      </c>
      <c r="L615" t="str">
        <f t="shared" si="69"/>
        <v>October</v>
      </c>
      <c r="M615">
        <f>YEAR(C615)</f>
        <v>2023</v>
      </c>
      <c r="N615">
        <v>237</v>
      </c>
      <c r="O615" t="str">
        <f>IF(N615&gt;=200,"Platinum",IF(N615&gt;=100,"Gold",IF(N615&gt;=50,"Silver","Regular")))</f>
        <v>Platinum</v>
      </c>
      <c r="P615" s="4" t="str">
        <f t="shared" si="64"/>
        <v>Tuesday</v>
      </c>
      <c r="Q615" s="4" t="str">
        <f t="shared" si="65"/>
        <v>Medium Order</v>
      </c>
      <c r="R615" s="4" t="str">
        <f t="shared" si="66"/>
        <v>Weekday</v>
      </c>
      <c r="S615" s="4" t="str">
        <f t="shared" si="67"/>
        <v>Regular</v>
      </c>
    </row>
    <row r="616" spans="1:19" x14ac:dyDescent="0.3">
      <c r="A616">
        <v>9017</v>
      </c>
      <c r="B616" t="s">
        <v>0</v>
      </c>
      <c r="C616" s="1">
        <v>45623</v>
      </c>
      <c r="D616" t="s">
        <v>4</v>
      </c>
      <c r="E616" t="s">
        <v>5</v>
      </c>
      <c r="F616">
        <v>4</v>
      </c>
      <c r="G616">
        <v>11.58</v>
      </c>
      <c r="H616">
        <v>46.32</v>
      </c>
      <c r="I616" t="str">
        <f t="shared" si="63"/>
        <v>Medium</v>
      </c>
      <c r="J616">
        <v>6.95</v>
      </c>
      <c r="K616">
        <f t="shared" si="68"/>
        <v>39.369999999999997</v>
      </c>
      <c r="L616" t="str">
        <f t="shared" si="69"/>
        <v>November</v>
      </c>
      <c r="M616">
        <f>YEAR(C616)</f>
        <v>2024</v>
      </c>
      <c r="N616">
        <v>97</v>
      </c>
      <c r="O616" t="str">
        <f>IF(N616&gt;=200,"Platinum",IF(N616&gt;=100,"Gold",IF(N616&gt;=50,"Silver","Regular")))</f>
        <v>Silver</v>
      </c>
      <c r="P616" s="4" t="str">
        <f t="shared" si="64"/>
        <v>Wednesday</v>
      </c>
      <c r="Q616" s="4" t="str">
        <f t="shared" si="65"/>
        <v>Medium Order</v>
      </c>
      <c r="R616" s="4" t="str">
        <f t="shared" si="66"/>
        <v>Weekday</v>
      </c>
      <c r="S616" s="4" t="str">
        <f t="shared" si="67"/>
        <v>Regular</v>
      </c>
    </row>
    <row r="617" spans="1:19" x14ac:dyDescent="0.3">
      <c r="A617">
        <v>9336</v>
      </c>
      <c r="B617" t="s">
        <v>25</v>
      </c>
      <c r="C617" s="1">
        <v>45146</v>
      </c>
      <c r="D617" t="s">
        <v>34</v>
      </c>
      <c r="E617" t="s">
        <v>12</v>
      </c>
      <c r="F617">
        <v>4</v>
      </c>
      <c r="G617">
        <v>11.73</v>
      </c>
      <c r="H617">
        <v>46.92</v>
      </c>
      <c r="I617" t="str">
        <f t="shared" si="63"/>
        <v>Medium</v>
      </c>
      <c r="J617">
        <v>7.04</v>
      </c>
      <c r="K617">
        <f t="shared" si="68"/>
        <v>39.880000000000003</v>
      </c>
      <c r="L617" t="str">
        <f t="shared" si="69"/>
        <v>August</v>
      </c>
      <c r="M617">
        <f>YEAR(C617)</f>
        <v>2023</v>
      </c>
      <c r="N617">
        <v>153</v>
      </c>
      <c r="O617" t="str">
        <f>IF(N617&gt;=200,"Platinum",IF(N617&gt;=100,"Gold",IF(N617&gt;=50,"Silver","Regular")))</f>
        <v>Gold</v>
      </c>
      <c r="P617" s="4" t="str">
        <f t="shared" si="64"/>
        <v>Tuesday</v>
      </c>
      <c r="Q617" s="4" t="str">
        <f t="shared" si="65"/>
        <v>Medium Order</v>
      </c>
      <c r="R617" s="4" t="str">
        <f t="shared" si="66"/>
        <v>Weekday</v>
      </c>
      <c r="S617" s="4" t="str">
        <f t="shared" si="67"/>
        <v>Regular</v>
      </c>
    </row>
    <row r="618" spans="1:19" x14ac:dyDescent="0.3">
      <c r="A618">
        <v>9428</v>
      </c>
      <c r="B618" t="s">
        <v>15</v>
      </c>
      <c r="C618" s="1">
        <v>45844</v>
      </c>
      <c r="D618" t="s">
        <v>1</v>
      </c>
      <c r="E618" t="s">
        <v>29</v>
      </c>
      <c r="F618">
        <v>5</v>
      </c>
      <c r="G618">
        <v>24.26</v>
      </c>
      <c r="H618">
        <v>121.3</v>
      </c>
      <c r="I618" t="str">
        <f t="shared" si="63"/>
        <v>High</v>
      </c>
      <c r="J618">
        <v>18.2</v>
      </c>
      <c r="K618">
        <f t="shared" si="68"/>
        <v>103.1</v>
      </c>
      <c r="L618" t="str">
        <f t="shared" si="69"/>
        <v>July</v>
      </c>
      <c r="M618">
        <f>YEAR(C618)</f>
        <v>2025</v>
      </c>
      <c r="N618">
        <v>443</v>
      </c>
      <c r="O618" t="str">
        <f>IF(N618&gt;=200,"Platinum",IF(N618&gt;=100,"Gold",IF(N618&gt;=50,"Silver","Regular")))</f>
        <v>Platinum</v>
      </c>
      <c r="P618" s="4" t="str">
        <f t="shared" si="64"/>
        <v>Sunday</v>
      </c>
      <c r="Q618" s="4" t="str">
        <f t="shared" si="65"/>
        <v>Medium Order</v>
      </c>
      <c r="R618" s="4" t="str">
        <f t="shared" si="66"/>
        <v>Weekend</v>
      </c>
      <c r="S618" s="4" t="str">
        <f t="shared" si="67"/>
        <v>High Value</v>
      </c>
    </row>
    <row r="619" spans="1:19" x14ac:dyDescent="0.3">
      <c r="A619">
        <v>8096</v>
      </c>
      <c r="B619" t="s">
        <v>25</v>
      </c>
      <c r="C619" s="1">
        <v>45783</v>
      </c>
      <c r="D619" t="s">
        <v>4</v>
      </c>
      <c r="E619" t="s">
        <v>36</v>
      </c>
      <c r="F619">
        <v>3</v>
      </c>
      <c r="G619">
        <v>16.440000000000001</v>
      </c>
      <c r="H619">
        <v>49.32</v>
      </c>
      <c r="I619" t="str">
        <f t="shared" si="63"/>
        <v>Medium</v>
      </c>
      <c r="J619">
        <v>7.4</v>
      </c>
      <c r="K619">
        <f t="shared" si="68"/>
        <v>41.92</v>
      </c>
      <c r="L619" t="str">
        <f t="shared" si="69"/>
        <v>May</v>
      </c>
      <c r="M619">
        <f>YEAR(C619)</f>
        <v>2025</v>
      </c>
      <c r="N619">
        <v>315</v>
      </c>
      <c r="O619" t="str">
        <f>IF(N619&gt;=200,"Platinum",IF(N619&gt;=100,"Gold",IF(N619&gt;=50,"Silver","Regular")))</f>
        <v>Platinum</v>
      </c>
      <c r="P619" s="4" t="str">
        <f t="shared" si="64"/>
        <v>Tuesday</v>
      </c>
      <c r="Q619" s="4" t="str">
        <f t="shared" si="65"/>
        <v>Medium Order</v>
      </c>
      <c r="R619" s="4" t="str">
        <f t="shared" si="66"/>
        <v>Weekday</v>
      </c>
      <c r="S619" s="4" t="str">
        <f t="shared" si="67"/>
        <v>Regular</v>
      </c>
    </row>
    <row r="620" spans="1:19" x14ac:dyDescent="0.3">
      <c r="A620">
        <v>5398</v>
      </c>
      <c r="B620" t="s">
        <v>19</v>
      </c>
      <c r="C620" s="1">
        <v>45437</v>
      </c>
      <c r="D620" t="s">
        <v>6</v>
      </c>
      <c r="E620" t="s">
        <v>18</v>
      </c>
      <c r="F620">
        <v>3</v>
      </c>
      <c r="G620">
        <v>20.75</v>
      </c>
      <c r="H620">
        <v>62.25</v>
      </c>
      <c r="I620" t="str">
        <f t="shared" si="63"/>
        <v>Medium</v>
      </c>
      <c r="J620">
        <v>9.34</v>
      </c>
      <c r="K620">
        <f t="shared" si="68"/>
        <v>52.91</v>
      </c>
      <c r="L620" t="str">
        <f t="shared" si="69"/>
        <v>May</v>
      </c>
      <c r="M620">
        <f>YEAR(C620)</f>
        <v>2024</v>
      </c>
      <c r="N620">
        <v>85</v>
      </c>
      <c r="O620" t="str">
        <f>IF(N620&gt;=200,"Platinum",IF(N620&gt;=100,"Gold",IF(N620&gt;=50,"Silver","Regular")))</f>
        <v>Silver</v>
      </c>
      <c r="P620" s="4" t="str">
        <f t="shared" si="64"/>
        <v>Saturday</v>
      </c>
      <c r="Q620" s="4" t="str">
        <f t="shared" si="65"/>
        <v>Medium Order</v>
      </c>
      <c r="R620" s="4" t="str">
        <f t="shared" si="66"/>
        <v>Weekend</v>
      </c>
      <c r="S620" s="4" t="str">
        <f t="shared" si="67"/>
        <v>Regular</v>
      </c>
    </row>
    <row r="621" spans="1:19" x14ac:dyDescent="0.3">
      <c r="A621">
        <v>2871</v>
      </c>
      <c r="B621" t="s">
        <v>15</v>
      </c>
      <c r="C621" s="1">
        <v>45415</v>
      </c>
      <c r="D621" t="s">
        <v>1</v>
      </c>
      <c r="E621" t="s">
        <v>26</v>
      </c>
      <c r="F621">
        <v>4</v>
      </c>
      <c r="G621">
        <v>25.01</v>
      </c>
      <c r="H621">
        <v>100.04</v>
      </c>
      <c r="I621" t="str">
        <f t="shared" si="63"/>
        <v>High</v>
      </c>
      <c r="J621">
        <v>15.01</v>
      </c>
      <c r="K621">
        <f t="shared" si="68"/>
        <v>85.03</v>
      </c>
      <c r="L621" t="str">
        <f t="shared" si="69"/>
        <v>May</v>
      </c>
      <c r="M621">
        <f>YEAR(C621)</f>
        <v>2024</v>
      </c>
      <c r="N621">
        <v>371</v>
      </c>
      <c r="O621" t="str">
        <f>IF(N621&gt;=200,"Platinum",IF(N621&gt;=100,"Gold",IF(N621&gt;=50,"Silver","Regular")))</f>
        <v>Platinum</v>
      </c>
      <c r="P621" s="4" t="str">
        <f t="shared" si="64"/>
        <v>Friday</v>
      </c>
      <c r="Q621" s="4" t="str">
        <f t="shared" si="65"/>
        <v>Medium Order</v>
      </c>
      <c r="R621" s="4" t="str">
        <f t="shared" si="66"/>
        <v>Weekday</v>
      </c>
      <c r="S621" s="4" t="str">
        <f t="shared" si="67"/>
        <v>Regular</v>
      </c>
    </row>
    <row r="622" spans="1:19" x14ac:dyDescent="0.3">
      <c r="A622">
        <v>1356</v>
      </c>
      <c r="B622" t="s">
        <v>0</v>
      </c>
      <c r="C622" s="1">
        <v>45452</v>
      </c>
      <c r="D622" t="s">
        <v>9</v>
      </c>
      <c r="E622" t="s">
        <v>5</v>
      </c>
      <c r="F622">
        <v>2</v>
      </c>
      <c r="G622">
        <v>12.63</v>
      </c>
      <c r="H622">
        <v>25.26</v>
      </c>
      <c r="I622" t="str">
        <f t="shared" si="63"/>
        <v>Low</v>
      </c>
      <c r="J622">
        <v>3.79</v>
      </c>
      <c r="K622">
        <f t="shared" si="68"/>
        <v>21.470000000000002</v>
      </c>
      <c r="L622" t="str">
        <f t="shared" si="69"/>
        <v>June</v>
      </c>
      <c r="M622">
        <f>YEAR(C622)</f>
        <v>2024</v>
      </c>
      <c r="N622">
        <v>33</v>
      </c>
      <c r="O622" t="str">
        <f>IF(N622&gt;=200,"Platinum",IF(N622&gt;=100,"Gold",IF(N622&gt;=50,"Silver","Regular")))</f>
        <v>Regular</v>
      </c>
      <c r="P622" s="4" t="str">
        <f t="shared" si="64"/>
        <v>Sunday</v>
      </c>
      <c r="Q622" s="4" t="str">
        <f t="shared" si="65"/>
        <v>Small Order</v>
      </c>
      <c r="R622" s="4" t="str">
        <f t="shared" si="66"/>
        <v>Weekend</v>
      </c>
      <c r="S622" s="4" t="str">
        <f t="shared" si="67"/>
        <v>Regular</v>
      </c>
    </row>
    <row r="623" spans="1:19" x14ac:dyDescent="0.3">
      <c r="A623">
        <v>2795</v>
      </c>
      <c r="B623" t="s">
        <v>19</v>
      </c>
      <c r="C623" s="1">
        <v>45468</v>
      </c>
      <c r="D623" t="s">
        <v>1</v>
      </c>
      <c r="E623" t="s">
        <v>7</v>
      </c>
      <c r="F623">
        <v>2</v>
      </c>
      <c r="G623">
        <v>25.56</v>
      </c>
      <c r="H623">
        <v>51.12</v>
      </c>
      <c r="I623" t="str">
        <f t="shared" si="63"/>
        <v>Medium</v>
      </c>
      <c r="J623">
        <v>7.67</v>
      </c>
      <c r="K623">
        <f t="shared" si="68"/>
        <v>43.449999999999996</v>
      </c>
      <c r="L623" t="str">
        <f t="shared" si="69"/>
        <v>June</v>
      </c>
      <c r="M623">
        <f>YEAR(C623)</f>
        <v>2024</v>
      </c>
      <c r="N623">
        <v>216</v>
      </c>
      <c r="O623" t="str">
        <f>IF(N623&gt;=200,"Platinum",IF(N623&gt;=100,"Gold",IF(N623&gt;=50,"Silver","Regular")))</f>
        <v>Platinum</v>
      </c>
      <c r="P623" s="4" t="str">
        <f t="shared" si="64"/>
        <v>Tuesday</v>
      </c>
      <c r="Q623" s="4" t="str">
        <f t="shared" si="65"/>
        <v>Small Order</v>
      </c>
      <c r="R623" s="4" t="str">
        <f t="shared" si="66"/>
        <v>Weekday</v>
      </c>
      <c r="S623" s="4" t="str">
        <f t="shared" si="67"/>
        <v>Regular</v>
      </c>
    </row>
    <row r="624" spans="1:19" x14ac:dyDescent="0.3">
      <c r="A624">
        <v>3662</v>
      </c>
      <c r="B624" t="s">
        <v>0</v>
      </c>
      <c r="C624" s="1">
        <v>45712</v>
      </c>
      <c r="D624" t="s">
        <v>27</v>
      </c>
      <c r="E624" t="s">
        <v>2</v>
      </c>
      <c r="F624">
        <v>2</v>
      </c>
      <c r="G624">
        <v>12.83</v>
      </c>
      <c r="H624">
        <v>25.66</v>
      </c>
      <c r="I624" t="str">
        <f t="shared" si="63"/>
        <v>Low</v>
      </c>
      <c r="J624">
        <v>3.85</v>
      </c>
      <c r="K624">
        <f t="shared" si="68"/>
        <v>21.81</v>
      </c>
      <c r="L624" t="str">
        <f t="shared" si="69"/>
        <v>February</v>
      </c>
      <c r="M624">
        <f>YEAR(C624)</f>
        <v>2025</v>
      </c>
      <c r="N624">
        <v>313</v>
      </c>
      <c r="O624" t="str">
        <f>IF(N624&gt;=200,"Platinum",IF(N624&gt;=100,"Gold",IF(N624&gt;=50,"Silver","Regular")))</f>
        <v>Platinum</v>
      </c>
      <c r="P624" s="4" t="str">
        <f t="shared" si="64"/>
        <v>Monday</v>
      </c>
      <c r="Q624" s="4" t="str">
        <f t="shared" si="65"/>
        <v>Small Order</v>
      </c>
      <c r="R624" s="4" t="str">
        <f t="shared" si="66"/>
        <v>Weekday</v>
      </c>
      <c r="S624" s="4" t="str">
        <f t="shared" si="67"/>
        <v>Regular</v>
      </c>
    </row>
    <row r="625" spans="1:19" x14ac:dyDescent="0.3">
      <c r="A625">
        <v>4329</v>
      </c>
      <c r="B625" t="s">
        <v>13</v>
      </c>
      <c r="C625" s="1">
        <v>45772</v>
      </c>
      <c r="D625" t="s">
        <v>11</v>
      </c>
      <c r="E625" t="s">
        <v>22</v>
      </c>
      <c r="F625">
        <v>2</v>
      </c>
      <c r="G625">
        <v>26.16</v>
      </c>
      <c r="H625">
        <v>52.32</v>
      </c>
      <c r="I625" t="str">
        <f t="shared" si="63"/>
        <v>Medium</v>
      </c>
      <c r="J625">
        <v>7.85</v>
      </c>
      <c r="K625">
        <f t="shared" si="68"/>
        <v>44.47</v>
      </c>
      <c r="L625" t="str">
        <f t="shared" si="69"/>
        <v>April</v>
      </c>
      <c r="M625">
        <f>YEAR(C625)</f>
        <v>2025</v>
      </c>
      <c r="N625">
        <v>66</v>
      </c>
      <c r="O625" t="str">
        <f>IF(N625&gt;=200,"Platinum",IF(N625&gt;=100,"Gold",IF(N625&gt;=50,"Silver","Regular")))</f>
        <v>Silver</v>
      </c>
      <c r="P625" s="4" t="str">
        <f t="shared" si="64"/>
        <v>Friday</v>
      </c>
      <c r="Q625" s="4" t="str">
        <f t="shared" si="65"/>
        <v>Small Order</v>
      </c>
      <c r="R625" s="4" t="str">
        <f t="shared" si="66"/>
        <v>Weekday</v>
      </c>
      <c r="S625" s="4" t="str">
        <f t="shared" si="67"/>
        <v>Regular</v>
      </c>
    </row>
    <row r="626" spans="1:19" x14ac:dyDescent="0.3">
      <c r="A626">
        <v>2312</v>
      </c>
      <c r="B626" t="s">
        <v>0</v>
      </c>
      <c r="C626" s="1">
        <v>45806</v>
      </c>
      <c r="D626" t="s">
        <v>9</v>
      </c>
      <c r="E626" t="s">
        <v>12</v>
      </c>
      <c r="F626">
        <v>4</v>
      </c>
      <c r="G626">
        <v>26.16</v>
      </c>
      <c r="H626">
        <v>104.64</v>
      </c>
      <c r="I626" t="str">
        <f t="shared" si="63"/>
        <v>High</v>
      </c>
      <c r="J626">
        <v>15.7</v>
      </c>
      <c r="K626">
        <f t="shared" si="68"/>
        <v>88.94</v>
      </c>
      <c r="L626" t="str">
        <f t="shared" si="69"/>
        <v>May</v>
      </c>
      <c r="M626">
        <f>YEAR(C626)</f>
        <v>2025</v>
      </c>
      <c r="N626">
        <v>369</v>
      </c>
      <c r="O626" t="str">
        <f>IF(N626&gt;=200,"Platinum",IF(N626&gt;=100,"Gold",IF(N626&gt;=50,"Silver","Regular")))</f>
        <v>Platinum</v>
      </c>
      <c r="P626" s="4" t="str">
        <f t="shared" si="64"/>
        <v>Thursday</v>
      </c>
      <c r="Q626" s="4" t="str">
        <f t="shared" si="65"/>
        <v>Medium Order</v>
      </c>
      <c r="R626" s="4" t="str">
        <f t="shared" si="66"/>
        <v>Weekday</v>
      </c>
      <c r="S626" s="4" t="str">
        <f t="shared" si="67"/>
        <v>Regular</v>
      </c>
    </row>
    <row r="627" spans="1:19" x14ac:dyDescent="0.3">
      <c r="A627">
        <v>6295</v>
      </c>
      <c r="B627" t="s">
        <v>0</v>
      </c>
      <c r="C627" s="1">
        <v>45816</v>
      </c>
      <c r="D627" t="s">
        <v>23</v>
      </c>
      <c r="E627" t="s">
        <v>36</v>
      </c>
      <c r="F627">
        <v>2</v>
      </c>
      <c r="G627">
        <v>26.36</v>
      </c>
      <c r="H627">
        <v>52.72</v>
      </c>
      <c r="I627" t="str">
        <f t="shared" si="63"/>
        <v>Medium</v>
      </c>
      <c r="J627">
        <v>7.91</v>
      </c>
      <c r="K627">
        <f t="shared" si="68"/>
        <v>44.81</v>
      </c>
      <c r="L627" t="str">
        <f t="shared" si="69"/>
        <v>June</v>
      </c>
      <c r="M627">
        <f>YEAR(C627)</f>
        <v>2025</v>
      </c>
      <c r="N627">
        <v>266</v>
      </c>
      <c r="O627" t="str">
        <f>IF(N627&gt;=200,"Platinum",IF(N627&gt;=100,"Gold",IF(N627&gt;=50,"Silver","Regular")))</f>
        <v>Platinum</v>
      </c>
      <c r="P627" s="4" t="str">
        <f t="shared" si="64"/>
        <v>Sunday</v>
      </c>
      <c r="Q627" s="4" t="str">
        <f t="shared" si="65"/>
        <v>Small Order</v>
      </c>
      <c r="R627" s="4" t="str">
        <f t="shared" si="66"/>
        <v>Weekend</v>
      </c>
      <c r="S627" s="4" t="str">
        <f t="shared" si="67"/>
        <v>Regular</v>
      </c>
    </row>
    <row r="628" spans="1:19" x14ac:dyDescent="0.3">
      <c r="A628">
        <v>6523</v>
      </c>
      <c r="B628" t="s">
        <v>31</v>
      </c>
      <c r="C628" s="1">
        <v>45759</v>
      </c>
      <c r="D628" t="s">
        <v>17</v>
      </c>
      <c r="E628" t="s">
        <v>21</v>
      </c>
      <c r="F628">
        <v>2</v>
      </c>
      <c r="G628">
        <v>13.93</v>
      </c>
      <c r="H628">
        <v>27.86</v>
      </c>
      <c r="I628" t="str">
        <f t="shared" si="63"/>
        <v>Low</v>
      </c>
      <c r="J628">
        <v>4.18</v>
      </c>
      <c r="K628">
        <f t="shared" si="68"/>
        <v>23.68</v>
      </c>
      <c r="L628" t="str">
        <f t="shared" si="69"/>
        <v>April</v>
      </c>
      <c r="M628">
        <f>YEAR(C628)</f>
        <v>2025</v>
      </c>
      <c r="N628">
        <v>373</v>
      </c>
      <c r="O628" t="str">
        <f>IF(N628&gt;=200,"Platinum",IF(N628&gt;=100,"Gold",IF(N628&gt;=50,"Silver","Regular")))</f>
        <v>Platinum</v>
      </c>
      <c r="P628" s="4" t="str">
        <f t="shared" si="64"/>
        <v>Saturday</v>
      </c>
      <c r="Q628" s="4" t="str">
        <f t="shared" si="65"/>
        <v>Small Order</v>
      </c>
      <c r="R628" s="4" t="str">
        <f t="shared" si="66"/>
        <v>Weekend</v>
      </c>
      <c r="S628" s="4" t="str">
        <f t="shared" si="67"/>
        <v>Regular</v>
      </c>
    </row>
    <row r="629" spans="1:19" x14ac:dyDescent="0.3">
      <c r="A629">
        <v>3623</v>
      </c>
      <c r="B629" t="s">
        <v>25</v>
      </c>
      <c r="C629" s="1">
        <v>45402</v>
      </c>
      <c r="D629" t="s">
        <v>27</v>
      </c>
      <c r="E629" t="s">
        <v>21</v>
      </c>
      <c r="F629">
        <v>4</v>
      </c>
      <c r="G629">
        <v>27.96</v>
      </c>
      <c r="H629">
        <v>111.84</v>
      </c>
      <c r="I629" t="str">
        <f t="shared" si="63"/>
        <v>High</v>
      </c>
      <c r="J629">
        <v>16.78</v>
      </c>
      <c r="K629">
        <f t="shared" si="68"/>
        <v>95.06</v>
      </c>
      <c r="L629" t="str">
        <f t="shared" si="69"/>
        <v>April</v>
      </c>
      <c r="M629">
        <f>YEAR(C629)</f>
        <v>2024</v>
      </c>
      <c r="N629">
        <v>6</v>
      </c>
      <c r="O629" t="str">
        <f>IF(N629&gt;=200,"Platinum",IF(N629&gt;=100,"Gold",IF(N629&gt;=50,"Silver","Regular")))</f>
        <v>Regular</v>
      </c>
      <c r="P629" s="4" t="str">
        <f t="shared" si="64"/>
        <v>Saturday</v>
      </c>
      <c r="Q629" s="4" t="str">
        <f t="shared" si="65"/>
        <v>Medium Order</v>
      </c>
      <c r="R629" s="4" t="str">
        <f t="shared" si="66"/>
        <v>Weekend</v>
      </c>
      <c r="S629" s="4" t="str">
        <f t="shared" si="67"/>
        <v>Regular</v>
      </c>
    </row>
    <row r="630" spans="1:19" x14ac:dyDescent="0.3">
      <c r="A630">
        <v>4950</v>
      </c>
      <c r="B630" t="s">
        <v>0</v>
      </c>
      <c r="C630" s="1">
        <v>45714</v>
      </c>
      <c r="D630" t="s">
        <v>1</v>
      </c>
      <c r="E630" t="s">
        <v>18</v>
      </c>
      <c r="F630">
        <v>4</v>
      </c>
      <c r="G630">
        <v>14.33</v>
      </c>
      <c r="H630">
        <v>57.32</v>
      </c>
      <c r="I630" t="str">
        <f t="shared" si="63"/>
        <v>Medium</v>
      </c>
      <c r="J630">
        <v>8.6</v>
      </c>
      <c r="K630">
        <f t="shared" si="68"/>
        <v>48.72</v>
      </c>
      <c r="L630" t="str">
        <f t="shared" si="69"/>
        <v>February</v>
      </c>
      <c r="M630">
        <f>YEAR(C630)</f>
        <v>2025</v>
      </c>
      <c r="N630">
        <v>207</v>
      </c>
      <c r="O630" t="str">
        <f>IF(N630&gt;=200,"Platinum",IF(N630&gt;=100,"Gold",IF(N630&gt;=50,"Silver","Regular")))</f>
        <v>Platinum</v>
      </c>
      <c r="P630" s="4" t="str">
        <f t="shared" si="64"/>
        <v>Wednesday</v>
      </c>
      <c r="Q630" s="4" t="str">
        <f t="shared" si="65"/>
        <v>Medium Order</v>
      </c>
      <c r="R630" s="4" t="str">
        <f t="shared" si="66"/>
        <v>Weekday</v>
      </c>
      <c r="S630" s="4" t="str">
        <f t="shared" si="67"/>
        <v>Regular</v>
      </c>
    </row>
    <row r="631" spans="1:19" x14ac:dyDescent="0.3">
      <c r="A631">
        <v>7798</v>
      </c>
      <c r="B631" t="s">
        <v>0</v>
      </c>
      <c r="C631" s="1">
        <v>45408</v>
      </c>
      <c r="D631" t="s">
        <v>23</v>
      </c>
      <c r="E631" t="s">
        <v>29</v>
      </c>
      <c r="F631">
        <v>5</v>
      </c>
      <c r="G631">
        <v>14.37</v>
      </c>
      <c r="H631">
        <v>71.849999999999994</v>
      </c>
      <c r="I631" t="str">
        <f t="shared" si="63"/>
        <v>High</v>
      </c>
      <c r="J631">
        <v>10.78</v>
      </c>
      <c r="K631">
        <f t="shared" si="68"/>
        <v>61.069999999999993</v>
      </c>
      <c r="L631" t="str">
        <f t="shared" si="69"/>
        <v>April</v>
      </c>
      <c r="M631">
        <f>YEAR(C631)</f>
        <v>2024</v>
      </c>
      <c r="N631">
        <v>281</v>
      </c>
      <c r="O631" t="str">
        <f>IF(N631&gt;=200,"Platinum",IF(N631&gt;=100,"Gold",IF(N631&gt;=50,"Silver","Regular")))</f>
        <v>Platinum</v>
      </c>
      <c r="P631" s="4" t="str">
        <f t="shared" si="64"/>
        <v>Friday</v>
      </c>
      <c r="Q631" s="4" t="str">
        <f t="shared" si="65"/>
        <v>Medium Order</v>
      </c>
      <c r="R631" s="4" t="str">
        <f t="shared" si="66"/>
        <v>Weekday</v>
      </c>
      <c r="S631" s="4" t="str">
        <f t="shared" si="67"/>
        <v>Regular</v>
      </c>
    </row>
    <row r="632" spans="1:19" x14ac:dyDescent="0.3">
      <c r="A632">
        <v>9791</v>
      </c>
      <c r="B632" t="s">
        <v>19</v>
      </c>
      <c r="C632" s="1">
        <v>45562</v>
      </c>
      <c r="D632" t="s">
        <v>6</v>
      </c>
      <c r="E632" t="s">
        <v>21</v>
      </c>
      <c r="F632">
        <v>2</v>
      </c>
      <c r="G632">
        <v>14.63</v>
      </c>
      <c r="H632">
        <v>29.26</v>
      </c>
      <c r="I632" t="str">
        <f t="shared" si="63"/>
        <v>Low</v>
      </c>
      <c r="J632">
        <v>4.3899999999999997</v>
      </c>
      <c r="K632">
        <f t="shared" si="68"/>
        <v>24.87</v>
      </c>
      <c r="L632" t="str">
        <f t="shared" si="69"/>
        <v>September</v>
      </c>
      <c r="M632">
        <f>YEAR(C632)</f>
        <v>2024</v>
      </c>
      <c r="N632">
        <v>277</v>
      </c>
      <c r="O632" t="str">
        <f>IF(N632&gt;=200,"Platinum",IF(N632&gt;=100,"Gold",IF(N632&gt;=50,"Silver","Regular")))</f>
        <v>Platinum</v>
      </c>
      <c r="P632" s="4" t="str">
        <f t="shared" si="64"/>
        <v>Friday</v>
      </c>
      <c r="Q632" s="4" t="str">
        <f t="shared" si="65"/>
        <v>Small Order</v>
      </c>
      <c r="R632" s="4" t="str">
        <f t="shared" si="66"/>
        <v>Weekday</v>
      </c>
      <c r="S632" s="4" t="str">
        <f t="shared" si="67"/>
        <v>Regular</v>
      </c>
    </row>
    <row r="633" spans="1:19" x14ac:dyDescent="0.3">
      <c r="A633">
        <v>9479</v>
      </c>
      <c r="B633" t="s">
        <v>19</v>
      </c>
      <c r="C633" s="1">
        <v>45495</v>
      </c>
      <c r="D633" t="s">
        <v>17</v>
      </c>
      <c r="E633" t="s">
        <v>29</v>
      </c>
      <c r="F633">
        <v>2</v>
      </c>
      <c r="G633">
        <v>14.63</v>
      </c>
      <c r="H633">
        <v>29.26</v>
      </c>
      <c r="I633" t="str">
        <f t="shared" si="63"/>
        <v>Low</v>
      </c>
      <c r="J633">
        <v>4.3899999999999997</v>
      </c>
      <c r="K633">
        <f t="shared" si="68"/>
        <v>24.87</v>
      </c>
      <c r="L633" t="str">
        <f t="shared" si="69"/>
        <v>July</v>
      </c>
      <c r="M633">
        <f>YEAR(C633)</f>
        <v>2024</v>
      </c>
      <c r="N633">
        <v>333</v>
      </c>
      <c r="O633" t="str">
        <f>IF(N633&gt;=200,"Platinum",IF(N633&gt;=100,"Gold",IF(N633&gt;=50,"Silver","Regular")))</f>
        <v>Platinum</v>
      </c>
      <c r="P633" s="4" t="str">
        <f t="shared" si="64"/>
        <v>Monday</v>
      </c>
      <c r="Q633" s="4" t="str">
        <f t="shared" si="65"/>
        <v>Small Order</v>
      </c>
      <c r="R633" s="4" t="str">
        <f t="shared" si="66"/>
        <v>Weekday</v>
      </c>
      <c r="S633" s="4" t="str">
        <f t="shared" si="67"/>
        <v>Regular</v>
      </c>
    </row>
    <row r="634" spans="1:19" x14ac:dyDescent="0.3">
      <c r="A634">
        <v>1153</v>
      </c>
      <c r="B634" t="s">
        <v>25</v>
      </c>
      <c r="C634" s="1">
        <v>45843</v>
      </c>
      <c r="D634" t="s">
        <v>9</v>
      </c>
      <c r="E634" t="s">
        <v>18</v>
      </c>
      <c r="F634">
        <v>4</v>
      </c>
      <c r="G634">
        <v>29.31</v>
      </c>
      <c r="H634">
        <v>117.24</v>
      </c>
      <c r="I634" t="str">
        <f t="shared" si="63"/>
        <v>High</v>
      </c>
      <c r="J634">
        <v>17.59</v>
      </c>
      <c r="K634">
        <f t="shared" si="68"/>
        <v>99.649999999999991</v>
      </c>
      <c r="L634" t="str">
        <f t="shared" si="69"/>
        <v>July</v>
      </c>
      <c r="M634">
        <f>YEAR(C634)</f>
        <v>2025</v>
      </c>
      <c r="N634">
        <v>357</v>
      </c>
      <c r="O634" t="str">
        <f>IF(N634&gt;=200,"Platinum",IF(N634&gt;=100,"Gold",IF(N634&gt;=50,"Silver","Regular")))</f>
        <v>Platinum</v>
      </c>
      <c r="P634" s="4" t="str">
        <f t="shared" si="64"/>
        <v>Saturday</v>
      </c>
      <c r="Q634" s="4" t="str">
        <f t="shared" si="65"/>
        <v>Medium Order</v>
      </c>
      <c r="R634" s="4" t="str">
        <f t="shared" si="66"/>
        <v>Weekend</v>
      </c>
      <c r="S634" s="4" t="str">
        <f t="shared" si="67"/>
        <v>Regular</v>
      </c>
    </row>
    <row r="635" spans="1:19" x14ac:dyDescent="0.3">
      <c r="A635">
        <v>2020</v>
      </c>
      <c r="B635" t="s">
        <v>0</v>
      </c>
      <c r="C635" s="1">
        <v>45693</v>
      </c>
      <c r="D635" t="s">
        <v>17</v>
      </c>
      <c r="E635" t="s">
        <v>18</v>
      </c>
      <c r="F635">
        <v>4</v>
      </c>
      <c r="G635">
        <v>15.03</v>
      </c>
      <c r="H635">
        <v>60.12</v>
      </c>
      <c r="I635" t="str">
        <f t="shared" si="63"/>
        <v>Medium</v>
      </c>
      <c r="J635">
        <v>9.02</v>
      </c>
      <c r="K635">
        <f t="shared" si="68"/>
        <v>51.099999999999994</v>
      </c>
      <c r="L635" t="str">
        <f t="shared" si="69"/>
        <v>February</v>
      </c>
      <c r="M635">
        <f>YEAR(C635)</f>
        <v>2025</v>
      </c>
      <c r="N635">
        <v>330</v>
      </c>
      <c r="O635" t="str">
        <f>IF(N635&gt;=200,"Platinum",IF(N635&gt;=100,"Gold",IF(N635&gt;=50,"Silver","Regular")))</f>
        <v>Platinum</v>
      </c>
      <c r="P635" s="4" t="str">
        <f t="shared" si="64"/>
        <v>Wednesday</v>
      </c>
      <c r="Q635" s="4" t="str">
        <f t="shared" si="65"/>
        <v>Medium Order</v>
      </c>
      <c r="R635" s="4" t="str">
        <f t="shared" si="66"/>
        <v>Weekday</v>
      </c>
      <c r="S635" s="4" t="str">
        <f t="shared" si="67"/>
        <v>Regular</v>
      </c>
    </row>
    <row r="636" spans="1:19" x14ac:dyDescent="0.3">
      <c r="A636">
        <v>4697</v>
      </c>
      <c r="B636" t="s">
        <v>15</v>
      </c>
      <c r="C636" s="1">
        <v>45747</v>
      </c>
      <c r="D636" t="s">
        <v>27</v>
      </c>
      <c r="E636" t="s">
        <v>12</v>
      </c>
      <c r="F636">
        <v>1</v>
      </c>
      <c r="G636">
        <v>15.93</v>
      </c>
      <c r="H636">
        <v>15.93</v>
      </c>
      <c r="I636" t="str">
        <f t="shared" si="63"/>
        <v>Low</v>
      </c>
      <c r="J636">
        <v>2.39</v>
      </c>
      <c r="K636">
        <f t="shared" si="68"/>
        <v>13.54</v>
      </c>
      <c r="L636" t="str">
        <f t="shared" si="69"/>
        <v>March</v>
      </c>
      <c r="M636">
        <f>YEAR(C636)</f>
        <v>2025</v>
      </c>
      <c r="N636">
        <v>81</v>
      </c>
      <c r="O636" t="str">
        <f>IF(N636&gt;=200,"Platinum",IF(N636&gt;=100,"Gold",IF(N636&gt;=50,"Silver","Regular")))</f>
        <v>Silver</v>
      </c>
      <c r="P636" s="4" t="str">
        <f t="shared" si="64"/>
        <v>Monday</v>
      </c>
      <c r="Q636" s="4" t="str">
        <f t="shared" si="65"/>
        <v>Small Order</v>
      </c>
      <c r="R636" s="4" t="str">
        <f t="shared" si="66"/>
        <v>Weekday</v>
      </c>
      <c r="S636" s="4" t="str">
        <f t="shared" si="67"/>
        <v>Regular</v>
      </c>
    </row>
    <row r="637" spans="1:19" x14ac:dyDescent="0.3">
      <c r="A637">
        <v>2035</v>
      </c>
      <c r="B637" t="s">
        <v>25</v>
      </c>
      <c r="C637" s="1">
        <v>45638</v>
      </c>
      <c r="D637" t="s">
        <v>17</v>
      </c>
      <c r="E637" t="s">
        <v>14</v>
      </c>
      <c r="F637">
        <v>5</v>
      </c>
      <c r="G637">
        <v>16.809999999999999</v>
      </c>
      <c r="H637">
        <v>84.05</v>
      </c>
      <c r="I637" t="str">
        <f t="shared" si="63"/>
        <v>High</v>
      </c>
      <c r="J637">
        <v>12.61</v>
      </c>
      <c r="K637">
        <f t="shared" si="68"/>
        <v>71.44</v>
      </c>
      <c r="L637" t="str">
        <f t="shared" si="69"/>
        <v>December</v>
      </c>
      <c r="M637">
        <f>YEAR(C637)</f>
        <v>2024</v>
      </c>
      <c r="N637">
        <v>192</v>
      </c>
      <c r="O637" t="str">
        <f>IF(N637&gt;=200,"Platinum",IF(N637&gt;=100,"Gold",IF(N637&gt;=50,"Silver","Regular")))</f>
        <v>Gold</v>
      </c>
      <c r="P637" s="4" t="str">
        <f t="shared" si="64"/>
        <v>Thursday</v>
      </c>
      <c r="Q637" s="4" t="str">
        <f t="shared" si="65"/>
        <v>Medium Order</v>
      </c>
      <c r="R637" s="4" t="str">
        <f t="shared" si="66"/>
        <v>Weekday</v>
      </c>
      <c r="S637" s="4" t="str">
        <f t="shared" si="67"/>
        <v>Regular</v>
      </c>
    </row>
    <row r="638" spans="1:19" x14ac:dyDescent="0.3">
      <c r="A638">
        <v>4919</v>
      </c>
      <c r="B638" t="s">
        <v>20</v>
      </c>
      <c r="C638" s="1">
        <v>45358</v>
      </c>
      <c r="D638" t="s">
        <v>4</v>
      </c>
      <c r="E638" t="s">
        <v>2</v>
      </c>
      <c r="F638">
        <v>5</v>
      </c>
      <c r="G638">
        <v>17.329999999999998</v>
      </c>
      <c r="H638">
        <v>86.65</v>
      </c>
      <c r="I638" t="str">
        <f t="shared" si="63"/>
        <v>High</v>
      </c>
      <c r="J638">
        <v>13</v>
      </c>
      <c r="K638">
        <f t="shared" si="68"/>
        <v>73.650000000000006</v>
      </c>
      <c r="L638" t="str">
        <f t="shared" si="69"/>
        <v>March</v>
      </c>
      <c r="M638">
        <f>YEAR(C638)</f>
        <v>2024</v>
      </c>
      <c r="N638">
        <v>16</v>
      </c>
      <c r="O638" t="str">
        <f>IF(N638&gt;=200,"Platinum",IF(N638&gt;=100,"Gold",IF(N638&gt;=50,"Silver","Regular")))</f>
        <v>Regular</v>
      </c>
      <c r="P638" s="4" t="str">
        <f t="shared" si="64"/>
        <v>Thursday</v>
      </c>
      <c r="Q638" s="4" t="str">
        <f t="shared" si="65"/>
        <v>Medium Order</v>
      </c>
      <c r="R638" s="4" t="str">
        <f t="shared" si="66"/>
        <v>Weekday</v>
      </c>
      <c r="S638" s="4" t="str">
        <f t="shared" si="67"/>
        <v>Regular</v>
      </c>
    </row>
    <row r="639" spans="1:19" x14ac:dyDescent="0.3">
      <c r="A639">
        <v>8726</v>
      </c>
      <c r="B639" t="s">
        <v>3</v>
      </c>
      <c r="C639" s="1">
        <v>45822</v>
      </c>
      <c r="D639" t="s">
        <v>6</v>
      </c>
      <c r="E639" t="s">
        <v>28</v>
      </c>
      <c r="F639">
        <v>5</v>
      </c>
      <c r="G639">
        <v>17.61</v>
      </c>
      <c r="H639">
        <v>88.05</v>
      </c>
      <c r="I639" t="str">
        <f t="shared" si="63"/>
        <v>High</v>
      </c>
      <c r="J639">
        <v>13.21</v>
      </c>
      <c r="K639">
        <f t="shared" si="68"/>
        <v>74.84</v>
      </c>
      <c r="L639" t="str">
        <f t="shared" si="69"/>
        <v>June</v>
      </c>
      <c r="M639">
        <f>YEAR(C639)</f>
        <v>2025</v>
      </c>
      <c r="N639">
        <v>293</v>
      </c>
      <c r="O639" t="str">
        <f>IF(N639&gt;=200,"Platinum",IF(N639&gt;=100,"Gold",IF(N639&gt;=50,"Silver","Regular")))</f>
        <v>Platinum</v>
      </c>
      <c r="P639" s="4" t="str">
        <f t="shared" si="64"/>
        <v>Saturday</v>
      </c>
      <c r="Q639" s="4" t="str">
        <f t="shared" si="65"/>
        <v>Medium Order</v>
      </c>
      <c r="R639" s="4" t="str">
        <f t="shared" si="66"/>
        <v>Weekend</v>
      </c>
      <c r="S639" s="4" t="str">
        <f t="shared" si="67"/>
        <v>Regular</v>
      </c>
    </row>
    <row r="640" spans="1:19" x14ac:dyDescent="0.3">
      <c r="A640">
        <v>4974</v>
      </c>
      <c r="B640" t="s">
        <v>13</v>
      </c>
      <c r="C640" s="1">
        <v>45505</v>
      </c>
      <c r="D640" t="s">
        <v>27</v>
      </c>
      <c r="E640" t="s">
        <v>28</v>
      </c>
      <c r="F640">
        <v>4</v>
      </c>
      <c r="G640">
        <v>19.73</v>
      </c>
      <c r="H640">
        <v>78.92</v>
      </c>
      <c r="I640" t="str">
        <f t="shared" si="63"/>
        <v>High</v>
      </c>
      <c r="J640">
        <v>11.84</v>
      </c>
      <c r="K640">
        <f t="shared" si="68"/>
        <v>67.08</v>
      </c>
      <c r="L640" t="str">
        <f t="shared" si="69"/>
        <v>August</v>
      </c>
      <c r="M640">
        <f>YEAR(C640)</f>
        <v>2024</v>
      </c>
      <c r="N640">
        <v>202</v>
      </c>
      <c r="O640" t="str">
        <f>IF(N640&gt;=200,"Platinum",IF(N640&gt;=100,"Gold",IF(N640&gt;=50,"Silver","Regular")))</f>
        <v>Platinum</v>
      </c>
      <c r="P640" s="4" t="str">
        <f t="shared" si="64"/>
        <v>Thursday</v>
      </c>
      <c r="Q640" s="4" t="str">
        <f t="shared" si="65"/>
        <v>Medium Order</v>
      </c>
      <c r="R640" s="4" t="str">
        <f t="shared" si="66"/>
        <v>Weekday</v>
      </c>
      <c r="S640" s="4" t="str">
        <f t="shared" si="67"/>
        <v>Regular</v>
      </c>
    </row>
    <row r="641" spans="1:19" x14ac:dyDescent="0.3">
      <c r="A641">
        <v>8504</v>
      </c>
      <c r="B641" t="s">
        <v>25</v>
      </c>
      <c r="C641" s="1">
        <v>45644</v>
      </c>
      <c r="D641" t="s">
        <v>1</v>
      </c>
      <c r="E641" t="s">
        <v>30</v>
      </c>
      <c r="F641">
        <v>1</v>
      </c>
      <c r="G641">
        <v>20.329999999999998</v>
      </c>
      <c r="H641">
        <v>20.329999999999998</v>
      </c>
      <c r="I641" t="str">
        <f t="shared" si="63"/>
        <v>Low</v>
      </c>
      <c r="J641">
        <v>3.05</v>
      </c>
      <c r="K641">
        <f t="shared" si="68"/>
        <v>17.279999999999998</v>
      </c>
      <c r="L641" t="str">
        <f t="shared" si="69"/>
        <v>December</v>
      </c>
      <c r="M641">
        <f>YEAR(C641)</f>
        <v>2024</v>
      </c>
      <c r="N641">
        <v>429</v>
      </c>
      <c r="O641" t="str">
        <f>IF(N641&gt;=200,"Platinum",IF(N641&gt;=100,"Gold",IF(N641&gt;=50,"Silver","Regular")))</f>
        <v>Platinum</v>
      </c>
      <c r="P641" s="4" t="str">
        <f t="shared" si="64"/>
        <v>Wednesday</v>
      </c>
      <c r="Q641" s="4" t="str">
        <f t="shared" si="65"/>
        <v>Small Order</v>
      </c>
      <c r="R641" s="4" t="str">
        <f t="shared" si="66"/>
        <v>Weekday</v>
      </c>
      <c r="S641" s="4" t="str">
        <f t="shared" si="67"/>
        <v>Regular</v>
      </c>
    </row>
    <row r="642" spans="1:19" x14ac:dyDescent="0.3">
      <c r="A642">
        <v>5703</v>
      </c>
      <c r="B642" t="s">
        <v>19</v>
      </c>
      <c r="C642" s="1">
        <v>45204</v>
      </c>
      <c r="D642" t="s">
        <v>34</v>
      </c>
      <c r="E642" t="s">
        <v>26</v>
      </c>
      <c r="F642">
        <v>5</v>
      </c>
      <c r="G642">
        <v>20.329999999999998</v>
      </c>
      <c r="H642">
        <v>101.65</v>
      </c>
      <c r="I642" t="str">
        <f t="shared" ref="I642:I705" si="70">IF(J642=0,"No Discount",IF(J642&lt;=5,"Low",IF(J642&lt;=10,"Medium",IF(J642&lt;=20,"High","Very High"))))</f>
        <v>High</v>
      </c>
      <c r="J642">
        <v>15.25</v>
      </c>
      <c r="K642">
        <f t="shared" si="68"/>
        <v>86.4</v>
      </c>
      <c r="L642" t="str">
        <f t="shared" si="69"/>
        <v>October</v>
      </c>
      <c r="M642">
        <f>YEAR(C642)</f>
        <v>2023</v>
      </c>
      <c r="N642">
        <v>409</v>
      </c>
      <c r="O642" t="str">
        <f>IF(N642&gt;=200,"Platinum",IF(N642&gt;=100,"Gold",IF(N642&gt;=50,"Silver","Regular")))</f>
        <v>Platinum</v>
      </c>
      <c r="P642" s="4" t="str">
        <f t="shared" ref="P642:P705" si="71">TEXT(C642,"dddd")</f>
        <v>Thursday</v>
      </c>
      <c r="Q642" s="4" t="str">
        <f t="shared" ref="Q642:Q705" si="72">IF(F642&lt;=2,"Small Order",IF(F642&lt;=5,"Medium Order",IF(F642&lt;=10,"Large Order","Bulk Order")))</f>
        <v>Medium Order</v>
      </c>
      <c r="R642" s="4" t="str">
        <f t="shared" ref="R642:R705" si="73">IF(WEEKDAY(C642,2)&gt;5,"Weekend","Weekday")</f>
        <v>Weekday</v>
      </c>
      <c r="S642" s="4" t="str">
        <f t="shared" ref="S642:S705" si="74">IF(K642&gt;=100,"High Value","Regular")</f>
        <v>Regular</v>
      </c>
    </row>
    <row r="643" spans="1:19" x14ac:dyDescent="0.3">
      <c r="A643">
        <v>9167</v>
      </c>
      <c r="B643" t="s">
        <v>19</v>
      </c>
      <c r="C643" s="1">
        <v>45630</v>
      </c>
      <c r="D643" t="s">
        <v>23</v>
      </c>
      <c r="E643" t="s">
        <v>29</v>
      </c>
      <c r="F643">
        <v>3</v>
      </c>
      <c r="G643">
        <v>6.91</v>
      </c>
      <c r="H643">
        <v>20.73</v>
      </c>
      <c r="I643" t="str">
        <f t="shared" si="70"/>
        <v>Low</v>
      </c>
      <c r="J643">
        <v>3.11</v>
      </c>
      <c r="K643">
        <f t="shared" ref="K643:K706" si="75">MAX(0,H643-J643)</f>
        <v>17.62</v>
      </c>
      <c r="L643" t="str">
        <f t="shared" ref="L643:L706" si="76">TEXT(C643,"mmmm")</f>
        <v>December</v>
      </c>
      <c r="M643">
        <f>YEAR(C643)</f>
        <v>2024</v>
      </c>
      <c r="N643">
        <v>277</v>
      </c>
      <c r="O643" t="str">
        <f>IF(N643&gt;=200,"Platinum",IF(N643&gt;=100,"Gold",IF(N643&gt;=50,"Silver","Regular")))</f>
        <v>Platinum</v>
      </c>
      <c r="P643" s="4" t="str">
        <f t="shared" si="71"/>
        <v>Wednesday</v>
      </c>
      <c r="Q643" s="4" t="str">
        <f t="shared" si="72"/>
        <v>Medium Order</v>
      </c>
      <c r="R643" s="4" t="str">
        <f t="shared" si="73"/>
        <v>Weekday</v>
      </c>
      <c r="S643" s="4" t="str">
        <f t="shared" si="74"/>
        <v>Regular</v>
      </c>
    </row>
    <row r="644" spans="1:19" x14ac:dyDescent="0.3">
      <c r="A644">
        <v>5066</v>
      </c>
      <c r="B644" t="s">
        <v>0</v>
      </c>
      <c r="C644" s="1">
        <v>45237</v>
      </c>
      <c r="D644" t="s">
        <v>6</v>
      </c>
      <c r="E644" t="s">
        <v>30</v>
      </c>
      <c r="F644">
        <v>3</v>
      </c>
      <c r="G644">
        <v>29.24</v>
      </c>
      <c r="H644">
        <v>87.72</v>
      </c>
      <c r="I644" t="str">
        <f t="shared" si="70"/>
        <v>High</v>
      </c>
      <c r="J644">
        <v>13.16</v>
      </c>
      <c r="K644">
        <f t="shared" si="75"/>
        <v>74.56</v>
      </c>
      <c r="L644" t="str">
        <f t="shared" si="76"/>
        <v>November</v>
      </c>
      <c r="M644">
        <f>YEAR(C644)</f>
        <v>2023</v>
      </c>
      <c r="N644">
        <v>226</v>
      </c>
      <c r="O644" t="str">
        <f>IF(N644&gt;=200,"Platinum",IF(N644&gt;=100,"Gold",IF(N644&gt;=50,"Silver","Regular")))</f>
        <v>Platinum</v>
      </c>
      <c r="P644" s="4" t="str">
        <f t="shared" si="71"/>
        <v>Tuesday</v>
      </c>
      <c r="Q644" s="4" t="str">
        <f t="shared" si="72"/>
        <v>Medium Order</v>
      </c>
      <c r="R644" s="4" t="str">
        <f t="shared" si="73"/>
        <v>Weekday</v>
      </c>
      <c r="S644" s="4" t="str">
        <f t="shared" si="74"/>
        <v>Regular</v>
      </c>
    </row>
    <row r="645" spans="1:19" x14ac:dyDescent="0.3">
      <c r="A645">
        <v>9318</v>
      </c>
      <c r="B645" t="s">
        <v>0</v>
      </c>
      <c r="C645" s="1">
        <v>45352</v>
      </c>
      <c r="D645" t="s">
        <v>24</v>
      </c>
      <c r="E645" t="s">
        <v>37</v>
      </c>
      <c r="F645">
        <v>2</v>
      </c>
      <c r="G645">
        <v>22.03</v>
      </c>
      <c r="H645">
        <v>44.06</v>
      </c>
      <c r="I645" t="str">
        <f t="shared" si="70"/>
        <v>Medium</v>
      </c>
      <c r="J645">
        <v>6.61</v>
      </c>
      <c r="K645">
        <f t="shared" si="75"/>
        <v>37.450000000000003</v>
      </c>
      <c r="L645" t="str">
        <f t="shared" si="76"/>
        <v>March</v>
      </c>
      <c r="M645">
        <f>YEAR(C645)</f>
        <v>2024</v>
      </c>
      <c r="N645">
        <v>249</v>
      </c>
      <c r="O645" t="str">
        <f>IF(N645&gt;=200,"Platinum",IF(N645&gt;=100,"Gold",IF(N645&gt;=50,"Silver","Regular")))</f>
        <v>Platinum</v>
      </c>
      <c r="P645" s="4" t="str">
        <f t="shared" si="71"/>
        <v>Friday</v>
      </c>
      <c r="Q645" s="4" t="str">
        <f t="shared" si="72"/>
        <v>Small Order</v>
      </c>
      <c r="R645" s="4" t="str">
        <f t="shared" si="73"/>
        <v>Weekday</v>
      </c>
      <c r="S645" s="4" t="str">
        <f t="shared" si="74"/>
        <v>Regular</v>
      </c>
    </row>
    <row r="646" spans="1:19" x14ac:dyDescent="0.3">
      <c r="A646">
        <v>4228</v>
      </c>
      <c r="B646" t="s">
        <v>31</v>
      </c>
      <c r="C646" s="1">
        <v>45427</v>
      </c>
      <c r="D646" t="s">
        <v>24</v>
      </c>
      <c r="E646" t="s">
        <v>7</v>
      </c>
      <c r="F646">
        <v>3</v>
      </c>
      <c r="G646">
        <v>7.51</v>
      </c>
      <c r="H646">
        <v>22.53</v>
      </c>
      <c r="I646" t="str">
        <f t="shared" si="70"/>
        <v>Low</v>
      </c>
      <c r="J646">
        <v>3.38</v>
      </c>
      <c r="K646">
        <f t="shared" si="75"/>
        <v>19.150000000000002</v>
      </c>
      <c r="L646" t="str">
        <f t="shared" si="76"/>
        <v>May</v>
      </c>
      <c r="M646">
        <f>YEAR(C646)</f>
        <v>2024</v>
      </c>
      <c r="N646">
        <v>498</v>
      </c>
      <c r="O646" t="str">
        <f>IF(N646&gt;=200,"Platinum",IF(N646&gt;=100,"Gold",IF(N646&gt;=50,"Silver","Regular")))</f>
        <v>Platinum</v>
      </c>
      <c r="P646" s="4" t="str">
        <f t="shared" si="71"/>
        <v>Wednesday</v>
      </c>
      <c r="Q646" s="4" t="str">
        <f t="shared" si="72"/>
        <v>Medium Order</v>
      </c>
      <c r="R646" s="4" t="str">
        <f t="shared" si="73"/>
        <v>Weekday</v>
      </c>
      <c r="S646" s="4" t="str">
        <f t="shared" si="74"/>
        <v>Regular</v>
      </c>
    </row>
    <row r="647" spans="1:19" x14ac:dyDescent="0.3">
      <c r="A647">
        <v>5097</v>
      </c>
      <c r="B647" t="s">
        <v>19</v>
      </c>
      <c r="C647" s="1">
        <v>45499</v>
      </c>
      <c r="D647" t="s">
        <v>34</v>
      </c>
      <c r="E647" t="s">
        <v>37</v>
      </c>
      <c r="F647">
        <v>4</v>
      </c>
      <c r="G647">
        <v>22.58</v>
      </c>
      <c r="H647">
        <v>90.32</v>
      </c>
      <c r="I647" t="str">
        <f t="shared" si="70"/>
        <v>High</v>
      </c>
      <c r="J647">
        <v>13.55</v>
      </c>
      <c r="K647">
        <f t="shared" si="75"/>
        <v>76.77</v>
      </c>
      <c r="L647" t="str">
        <f t="shared" si="76"/>
        <v>July</v>
      </c>
      <c r="M647">
        <f>YEAR(C647)</f>
        <v>2024</v>
      </c>
      <c r="N647">
        <v>133</v>
      </c>
      <c r="O647" t="str">
        <f>IF(N647&gt;=200,"Platinum",IF(N647&gt;=100,"Gold",IF(N647&gt;=50,"Silver","Regular")))</f>
        <v>Gold</v>
      </c>
      <c r="P647" s="4" t="str">
        <f t="shared" si="71"/>
        <v>Friday</v>
      </c>
      <c r="Q647" s="4" t="str">
        <f t="shared" si="72"/>
        <v>Medium Order</v>
      </c>
      <c r="R647" s="4" t="str">
        <f t="shared" si="73"/>
        <v>Weekday</v>
      </c>
      <c r="S647" s="4" t="str">
        <f t="shared" si="74"/>
        <v>Regular</v>
      </c>
    </row>
    <row r="648" spans="1:19" x14ac:dyDescent="0.3">
      <c r="A648">
        <v>7102</v>
      </c>
      <c r="B648" t="s">
        <v>13</v>
      </c>
      <c r="C648" s="1">
        <v>45501</v>
      </c>
      <c r="D648" t="s">
        <v>16</v>
      </c>
      <c r="E648" t="s">
        <v>28</v>
      </c>
      <c r="F648">
        <v>3</v>
      </c>
      <c r="G648">
        <v>23.33</v>
      </c>
      <c r="H648">
        <v>69.989999999999995</v>
      </c>
      <c r="I648" t="str">
        <f t="shared" si="70"/>
        <v>High</v>
      </c>
      <c r="J648">
        <v>10.5</v>
      </c>
      <c r="K648">
        <f t="shared" si="75"/>
        <v>59.489999999999995</v>
      </c>
      <c r="L648" t="str">
        <f t="shared" si="76"/>
        <v>July</v>
      </c>
      <c r="M648">
        <f>YEAR(C648)</f>
        <v>2024</v>
      </c>
      <c r="N648">
        <v>460</v>
      </c>
      <c r="O648" t="str">
        <f>IF(N648&gt;=200,"Platinum",IF(N648&gt;=100,"Gold",IF(N648&gt;=50,"Silver","Regular")))</f>
        <v>Platinum</v>
      </c>
      <c r="P648" s="4" t="str">
        <f t="shared" si="71"/>
        <v>Sunday</v>
      </c>
      <c r="Q648" s="4" t="str">
        <f t="shared" si="72"/>
        <v>Medium Order</v>
      </c>
      <c r="R648" s="4" t="str">
        <f t="shared" si="73"/>
        <v>Weekend</v>
      </c>
      <c r="S648" s="4" t="str">
        <f t="shared" si="74"/>
        <v>Regular</v>
      </c>
    </row>
    <row r="649" spans="1:19" x14ac:dyDescent="0.3">
      <c r="A649">
        <v>7843</v>
      </c>
      <c r="B649" t="s">
        <v>3</v>
      </c>
      <c r="C649" s="1">
        <v>45369</v>
      </c>
      <c r="D649" t="s">
        <v>27</v>
      </c>
      <c r="E649" t="s">
        <v>14</v>
      </c>
      <c r="F649">
        <v>4</v>
      </c>
      <c r="G649">
        <v>23.33</v>
      </c>
      <c r="H649">
        <v>93.32</v>
      </c>
      <c r="I649" t="str">
        <f t="shared" si="70"/>
        <v>High</v>
      </c>
      <c r="J649">
        <v>14</v>
      </c>
      <c r="K649">
        <f t="shared" si="75"/>
        <v>79.319999999999993</v>
      </c>
      <c r="L649" t="str">
        <f t="shared" si="76"/>
        <v>March</v>
      </c>
      <c r="M649">
        <f>YEAR(C649)</f>
        <v>2024</v>
      </c>
      <c r="N649">
        <v>337</v>
      </c>
      <c r="O649" t="str">
        <f>IF(N649&gt;=200,"Platinum",IF(N649&gt;=100,"Gold",IF(N649&gt;=50,"Silver","Regular")))</f>
        <v>Platinum</v>
      </c>
      <c r="P649" s="4" t="str">
        <f t="shared" si="71"/>
        <v>Monday</v>
      </c>
      <c r="Q649" s="4" t="str">
        <f t="shared" si="72"/>
        <v>Medium Order</v>
      </c>
      <c r="R649" s="4" t="str">
        <f t="shared" si="73"/>
        <v>Weekday</v>
      </c>
      <c r="S649" s="4" t="str">
        <f t="shared" si="74"/>
        <v>Regular</v>
      </c>
    </row>
    <row r="650" spans="1:19" x14ac:dyDescent="0.3">
      <c r="A650">
        <v>6766</v>
      </c>
      <c r="B650" t="s">
        <v>13</v>
      </c>
      <c r="C650" s="1">
        <v>45801</v>
      </c>
      <c r="D650" t="s">
        <v>27</v>
      </c>
      <c r="E650" t="s">
        <v>22</v>
      </c>
      <c r="F650">
        <v>4</v>
      </c>
      <c r="G650">
        <v>23.83</v>
      </c>
      <c r="H650">
        <v>95.32</v>
      </c>
      <c r="I650" t="str">
        <f t="shared" si="70"/>
        <v>High</v>
      </c>
      <c r="J650">
        <v>14.3</v>
      </c>
      <c r="K650">
        <f t="shared" si="75"/>
        <v>81.02</v>
      </c>
      <c r="L650" t="str">
        <f t="shared" si="76"/>
        <v>May</v>
      </c>
      <c r="M650">
        <f>YEAR(C650)</f>
        <v>2025</v>
      </c>
      <c r="N650">
        <v>53</v>
      </c>
      <c r="O650" t="str">
        <f>IF(N650&gt;=200,"Platinum",IF(N650&gt;=100,"Gold",IF(N650&gt;=50,"Silver","Regular")))</f>
        <v>Silver</v>
      </c>
      <c r="P650" s="4" t="str">
        <f t="shared" si="71"/>
        <v>Saturday</v>
      </c>
      <c r="Q650" s="4" t="str">
        <f t="shared" si="72"/>
        <v>Medium Order</v>
      </c>
      <c r="R650" s="4" t="str">
        <f t="shared" si="73"/>
        <v>Weekend</v>
      </c>
      <c r="S650" s="4" t="str">
        <f t="shared" si="74"/>
        <v>Regular</v>
      </c>
    </row>
    <row r="651" spans="1:19" x14ac:dyDescent="0.3">
      <c r="A651">
        <v>3347</v>
      </c>
      <c r="B651" t="s">
        <v>15</v>
      </c>
      <c r="C651" s="1">
        <v>45584</v>
      </c>
      <c r="D651" t="s">
        <v>16</v>
      </c>
      <c r="E651" t="s">
        <v>32</v>
      </c>
      <c r="F651">
        <v>5</v>
      </c>
      <c r="G651">
        <v>24.13</v>
      </c>
      <c r="H651">
        <v>120.65</v>
      </c>
      <c r="I651" t="str">
        <f t="shared" si="70"/>
        <v>High</v>
      </c>
      <c r="J651">
        <v>18.100000000000001</v>
      </c>
      <c r="K651">
        <f t="shared" si="75"/>
        <v>102.55000000000001</v>
      </c>
      <c r="L651" t="str">
        <f t="shared" si="76"/>
        <v>October</v>
      </c>
      <c r="M651">
        <f>YEAR(C651)</f>
        <v>2024</v>
      </c>
      <c r="N651">
        <v>159</v>
      </c>
      <c r="O651" t="str">
        <f>IF(N651&gt;=200,"Platinum",IF(N651&gt;=100,"Gold",IF(N651&gt;=50,"Silver","Regular")))</f>
        <v>Gold</v>
      </c>
      <c r="P651" s="4" t="str">
        <f t="shared" si="71"/>
        <v>Saturday</v>
      </c>
      <c r="Q651" s="4" t="str">
        <f t="shared" si="72"/>
        <v>Medium Order</v>
      </c>
      <c r="R651" s="4" t="str">
        <f t="shared" si="73"/>
        <v>Weekend</v>
      </c>
      <c r="S651" s="4" t="str">
        <f t="shared" si="74"/>
        <v>High Value</v>
      </c>
    </row>
    <row r="652" spans="1:19" x14ac:dyDescent="0.3">
      <c r="A652">
        <v>6642</v>
      </c>
      <c r="B652" t="s">
        <v>0</v>
      </c>
      <c r="C652" s="1">
        <v>45644</v>
      </c>
      <c r="D652" t="s">
        <v>1</v>
      </c>
      <c r="E652" t="s">
        <v>14</v>
      </c>
      <c r="F652">
        <v>1</v>
      </c>
      <c r="G652">
        <v>24.93</v>
      </c>
      <c r="H652">
        <v>24.93</v>
      </c>
      <c r="I652" t="str">
        <f t="shared" si="70"/>
        <v>Low</v>
      </c>
      <c r="J652">
        <v>3.74</v>
      </c>
      <c r="K652">
        <f t="shared" si="75"/>
        <v>21.189999999999998</v>
      </c>
      <c r="L652" t="str">
        <f t="shared" si="76"/>
        <v>December</v>
      </c>
      <c r="M652">
        <f>YEAR(C652)</f>
        <v>2024</v>
      </c>
      <c r="N652">
        <v>71</v>
      </c>
      <c r="O652" t="str">
        <f>IF(N652&gt;=200,"Platinum",IF(N652&gt;=100,"Gold",IF(N652&gt;=50,"Silver","Regular")))</f>
        <v>Silver</v>
      </c>
      <c r="P652" s="4" t="str">
        <f t="shared" si="71"/>
        <v>Wednesday</v>
      </c>
      <c r="Q652" s="4" t="str">
        <f t="shared" si="72"/>
        <v>Small Order</v>
      </c>
      <c r="R652" s="4" t="str">
        <f t="shared" si="73"/>
        <v>Weekday</v>
      </c>
      <c r="S652" s="4" t="str">
        <f t="shared" si="74"/>
        <v>Regular</v>
      </c>
    </row>
    <row r="653" spans="1:19" x14ac:dyDescent="0.3">
      <c r="A653">
        <v>5054</v>
      </c>
      <c r="B653" t="s">
        <v>15</v>
      </c>
      <c r="C653" s="1">
        <v>45673</v>
      </c>
      <c r="D653" t="s">
        <v>34</v>
      </c>
      <c r="E653" t="s">
        <v>10</v>
      </c>
      <c r="F653">
        <v>4</v>
      </c>
      <c r="G653">
        <v>24.98</v>
      </c>
      <c r="H653">
        <v>99.92</v>
      </c>
      <c r="I653" t="str">
        <f t="shared" si="70"/>
        <v>High</v>
      </c>
      <c r="J653">
        <v>14.99</v>
      </c>
      <c r="K653">
        <f t="shared" si="75"/>
        <v>84.93</v>
      </c>
      <c r="L653" t="str">
        <f t="shared" si="76"/>
        <v>January</v>
      </c>
      <c r="M653">
        <f>YEAR(C653)</f>
        <v>2025</v>
      </c>
      <c r="N653">
        <v>84</v>
      </c>
      <c r="O653" t="str">
        <f>IF(N653&gt;=200,"Platinum",IF(N653&gt;=100,"Gold",IF(N653&gt;=50,"Silver","Regular")))</f>
        <v>Silver</v>
      </c>
      <c r="P653" s="4" t="str">
        <f t="shared" si="71"/>
        <v>Thursday</v>
      </c>
      <c r="Q653" s="4" t="str">
        <f t="shared" si="72"/>
        <v>Medium Order</v>
      </c>
      <c r="R653" s="4" t="str">
        <f t="shared" si="73"/>
        <v>Weekday</v>
      </c>
      <c r="S653" s="4" t="str">
        <f t="shared" si="74"/>
        <v>Regular</v>
      </c>
    </row>
    <row r="654" spans="1:19" x14ac:dyDescent="0.3">
      <c r="A654">
        <v>6770</v>
      </c>
      <c r="B654" t="s">
        <v>20</v>
      </c>
      <c r="C654" s="1">
        <v>45276</v>
      </c>
      <c r="D654" t="s">
        <v>23</v>
      </c>
      <c r="E654" t="s">
        <v>12</v>
      </c>
      <c r="F654">
        <v>5</v>
      </c>
      <c r="G654">
        <v>25.81</v>
      </c>
      <c r="H654">
        <v>129.05000000000001</v>
      </c>
      <c r="I654" t="str">
        <f t="shared" si="70"/>
        <v>High</v>
      </c>
      <c r="J654">
        <v>19.36</v>
      </c>
      <c r="K654">
        <f t="shared" si="75"/>
        <v>109.69000000000001</v>
      </c>
      <c r="L654" t="str">
        <f t="shared" si="76"/>
        <v>December</v>
      </c>
      <c r="M654">
        <f>YEAR(C654)</f>
        <v>2023</v>
      </c>
      <c r="N654">
        <v>257</v>
      </c>
      <c r="O654" t="str">
        <f>IF(N654&gt;=200,"Platinum",IF(N654&gt;=100,"Gold",IF(N654&gt;=50,"Silver","Regular")))</f>
        <v>Platinum</v>
      </c>
      <c r="P654" s="4" t="str">
        <f t="shared" si="71"/>
        <v>Saturday</v>
      </c>
      <c r="Q654" s="4" t="str">
        <f t="shared" si="72"/>
        <v>Medium Order</v>
      </c>
      <c r="R654" s="4" t="str">
        <f t="shared" si="73"/>
        <v>Weekend</v>
      </c>
      <c r="S654" s="4" t="str">
        <f t="shared" si="74"/>
        <v>High Value</v>
      </c>
    </row>
    <row r="655" spans="1:19" x14ac:dyDescent="0.3">
      <c r="A655">
        <v>3352</v>
      </c>
      <c r="B655" t="s">
        <v>15</v>
      </c>
      <c r="C655" s="1">
        <v>45371</v>
      </c>
      <c r="D655" t="s">
        <v>11</v>
      </c>
      <c r="E655" t="s">
        <v>30</v>
      </c>
      <c r="F655">
        <v>2</v>
      </c>
      <c r="G655">
        <v>26.03</v>
      </c>
      <c r="H655">
        <v>52.06</v>
      </c>
      <c r="I655" t="str">
        <f t="shared" si="70"/>
        <v>Medium</v>
      </c>
      <c r="J655">
        <v>7.81</v>
      </c>
      <c r="K655">
        <f t="shared" si="75"/>
        <v>44.25</v>
      </c>
      <c r="L655" t="str">
        <f t="shared" si="76"/>
        <v>March</v>
      </c>
      <c r="M655">
        <f>YEAR(C655)</f>
        <v>2024</v>
      </c>
      <c r="N655">
        <v>410</v>
      </c>
      <c r="O655" t="str">
        <f>IF(N655&gt;=200,"Platinum",IF(N655&gt;=100,"Gold",IF(N655&gt;=50,"Silver","Regular")))</f>
        <v>Platinum</v>
      </c>
      <c r="P655" s="4" t="str">
        <f t="shared" si="71"/>
        <v>Wednesday</v>
      </c>
      <c r="Q655" s="4" t="str">
        <f t="shared" si="72"/>
        <v>Small Order</v>
      </c>
      <c r="R655" s="4" t="str">
        <f t="shared" si="73"/>
        <v>Weekday</v>
      </c>
      <c r="S655" s="4" t="str">
        <f t="shared" si="74"/>
        <v>Regular</v>
      </c>
    </row>
    <row r="656" spans="1:19" x14ac:dyDescent="0.3">
      <c r="A656">
        <v>9797</v>
      </c>
      <c r="B656" t="s">
        <v>20</v>
      </c>
      <c r="C656" s="1">
        <v>45728</v>
      </c>
      <c r="D656" t="s">
        <v>4</v>
      </c>
      <c r="E656" t="s">
        <v>5</v>
      </c>
      <c r="F656">
        <v>2</v>
      </c>
      <c r="G656">
        <v>26.13</v>
      </c>
      <c r="H656">
        <v>52.26</v>
      </c>
      <c r="I656" t="str">
        <f t="shared" si="70"/>
        <v>Medium</v>
      </c>
      <c r="J656">
        <v>7.84</v>
      </c>
      <c r="K656">
        <f t="shared" si="75"/>
        <v>44.42</v>
      </c>
      <c r="L656" t="str">
        <f t="shared" si="76"/>
        <v>March</v>
      </c>
      <c r="M656">
        <f>YEAR(C656)</f>
        <v>2025</v>
      </c>
      <c r="N656">
        <v>93</v>
      </c>
      <c r="O656" t="str">
        <f>IF(N656&gt;=200,"Platinum",IF(N656&gt;=100,"Gold",IF(N656&gt;=50,"Silver","Regular")))</f>
        <v>Silver</v>
      </c>
      <c r="P656" s="4" t="str">
        <f t="shared" si="71"/>
        <v>Wednesday</v>
      </c>
      <c r="Q656" s="4" t="str">
        <f t="shared" si="72"/>
        <v>Small Order</v>
      </c>
      <c r="R656" s="4" t="str">
        <f t="shared" si="73"/>
        <v>Weekday</v>
      </c>
      <c r="S656" s="4" t="str">
        <f t="shared" si="74"/>
        <v>Regular</v>
      </c>
    </row>
    <row r="657" spans="1:19" x14ac:dyDescent="0.3">
      <c r="A657">
        <v>4216</v>
      </c>
      <c r="B657" t="s">
        <v>31</v>
      </c>
      <c r="C657" s="1">
        <v>45638</v>
      </c>
      <c r="D657" t="s">
        <v>24</v>
      </c>
      <c r="E657" t="s">
        <v>32</v>
      </c>
      <c r="F657">
        <v>3</v>
      </c>
      <c r="G657">
        <v>27.13</v>
      </c>
      <c r="H657">
        <v>81.39</v>
      </c>
      <c r="I657" t="str">
        <f t="shared" si="70"/>
        <v>High</v>
      </c>
      <c r="J657">
        <v>12.21</v>
      </c>
      <c r="K657">
        <f t="shared" si="75"/>
        <v>69.180000000000007</v>
      </c>
      <c r="L657" t="str">
        <f t="shared" si="76"/>
        <v>December</v>
      </c>
      <c r="M657">
        <f>YEAR(C657)</f>
        <v>2024</v>
      </c>
      <c r="N657">
        <v>150</v>
      </c>
      <c r="O657" t="str">
        <f>IF(N657&gt;=200,"Platinum",IF(N657&gt;=100,"Gold",IF(N657&gt;=50,"Silver","Regular")))</f>
        <v>Gold</v>
      </c>
      <c r="P657" s="4" t="str">
        <f t="shared" si="71"/>
        <v>Thursday</v>
      </c>
      <c r="Q657" s="4" t="str">
        <f t="shared" si="72"/>
        <v>Medium Order</v>
      </c>
      <c r="R657" s="4" t="str">
        <f t="shared" si="73"/>
        <v>Weekday</v>
      </c>
      <c r="S657" s="4" t="str">
        <f t="shared" si="74"/>
        <v>Regular</v>
      </c>
    </row>
    <row r="658" spans="1:19" x14ac:dyDescent="0.3">
      <c r="A658">
        <v>1023</v>
      </c>
      <c r="B658" t="s">
        <v>31</v>
      </c>
      <c r="C658" s="1">
        <v>45734</v>
      </c>
      <c r="D658" t="s">
        <v>23</v>
      </c>
      <c r="E658" t="s">
        <v>7</v>
      </c>
      <c r="F658">
        <v>1</v>
      </c>
      <c r="G658">
        <v>27.53</v>
      </c>
      <c r="H658">
        <v>27.53</v>
      </c>
      <c r="I658" t="str">
        <f t="shared" si="70"/>
        <v>Low</v>
      </c>
      <c r="J658">
        <v>4.13</v>
      </c>
      <c r="K658">
        <f t="shared" si="75"/>
        <v>23.400000000000002</v>
      </c>
      <c r="L658" t="str">
        <f t="shared" si="76"/>
        <v>March</v>
      </c>
      <c r="M658">
        <f>YEAR(C658)</f>
        <v>2025</v>
      </c>
      <c r="N658">
        <v>381</v>
      </c>
      <c r="O658" t="str">
        <f>IF(N658&gt;=200,"Platinum",IF(N658&gt;=100,"Gold",IF(N658&gt;=50,"Silver","Regular")))</f>
        <v>Platinum</v>
      </c>
      <c r="P658" s="4" t="str">
        <f t="shared" si="71"/>
        <v>Tuesday</v>
      </c>
      <c r="Q658" s="4" t="str">
        <f t="shared" si="72"/>
        <v>Small Order</v>
      </c>
      <c r="R658" s="4" t="str">
        <f t="shared" si="73"/>
        <v>Weekday</v>
      </c>
      <c r="S658" s="4" t="str">
        <f t="shared" si="74"/>
        <v>Regular</v>
      </c>
    </row>
    <row r="659" spans="1:19" x14ac:dyDescent="0.3">
      <c r="A659">
        <v>5942</v>
      </c>
      <c r="B659" t="s">
        <v>31</v>
      </c>
      <c r="C659" s="1">
        <v>45304</v>
      </c>
      <c r="D659" t="s">
        <v>17</v>
      </c>
      <c r="E659" t="s">
        <v>28</v>
      </c>
      <c r="F659">
        <v>1</v>
      </c>
      <c r="G659">
        <v>27.73</v>
      </c>
      <c r="H659">
        <v>27.73</v>
      </c>
      <c r="I659" t="str">
        <f t="shared" si="70"/>
        <v>Low</v>
      </c>
      <c r="J659">
        <v>4.16</v>
      </c>
      <c r="K659">
        <f t="shared" si="75"/>
        <v>23.57</v>
      </c>
      <c r="L659" t="str">
        <f t="shared" si="76"/>
        <v>January</v>
      </c>
      <c r="M659">
        <f>YEAR(C659)</f>
        <v>2024</v>
      </c>
      <c r="N659">
        <v>105</v>
      </c>
      <c r="O659" t="str">
        <f>IF(N659&gt;=200,"Platinum",IF(N659&gt;=100,"Gold",IF(N659&gt;=50,"Silver","Regular")))</f>
        <v>Gold</v>
      </c>
      <c r="P659" s="4" t="str">
        <f t="shared" si="71"/>
        <v>Saturday</v>
      </c>
      <c r="Q659" s="4" t="str">
        <f t="shared" si="72"/>
        <v>Small Order</v>
      </c>
      <c r="R659" s="4" t="str">
        <f t="shared" si="73"/>
        <v>Weekend</v>
      </c>
      <c r="S659" s="4" t="str">
        <f t="shared" si="74"/>
        <v>Regular</v>
      </c>
    </row>
    <row r="660" spans="1:19" x14ac:dyDescent="0.3">
      <c r="A660">
        <v>1753</v>
      </c>
      <c r="B660" t="s">
        <v>8</v>
      </c>
      <c r="C660" s="1">
        <v>45511</v>
      </c>
      <c r="D660" t="s">
        <v>23</v>
      </c>
      <c r="E660" t="s">
        <v>21</v>
      </c>
      <c r="F660">
        <v>4</v>
      </c>
      <c r="G660">
        <v>28.53</v>
      </c>
      <c r="H660">
        <v>114.12</v>
      </c>
      <c r="I660" t="str">
        <f t="shared" si="70"/>
        <v>High</v>
      </c>
      <c r="J660">
        <v>17.12</v>
      </c>
      <c r="K660">
        <f t="shared" si="75"/>
        <v>97</v>
      </c>
      <c r="L660" t="str">
        <f t="shared" si="76"/>
        <v>August</v>
      </c>
      <c r="M660">
        <f>YEAR(C660)</f>
        <v>2024</v>
      </c>
      <c r="N660">
        <v>447</v>
      </c>
      <c r="O660" t="str">
        <f>IF(N660&gt;=200,"Platinum",IF(N660&gt;=100,"Gold",IF(N660&gt;=50,"Silver","Regular")))</f>
        <v>Platinum</v>
      </c>
      <c r="P660" s="4" t="str">
        <f t="shared" si="71"/>
        <v>Wednesday</v>
      </c>
      <c r="Q660" s="4" t="str">
        <f t="shared" si="72"/>
        <v>Medium Order</v>
      </c>
      <c r="R660" s="4" t="str">
        <f t="shared" si="73"/>
        <v>Weekday</v>
      </c>
      <c r="S660" s="4" t="str">
        <f t="shared" si="74"/>
        <v>Regular</v>
      </c>
    </row>
    <row r="661" spans="1:19" x14ac:dyDescent="0.3">
      <c r="A661">
        <v>8555</v>
      </c>
      <c r="B661" t="s">
        <v>15</v>
      </c>
      <c r="C661" s="1">
        <v>45640</v>
      </c>
      <c r="D661" t="s">
        <v>17</v>
      </c>
      <c r="E661" t="s">
        <v>28</v>
      </c>
      <c r="F661">
        <v>5</v>
      </c>
      <c r="G661">
        <v>28.77</v>
      </c>
      <c r="H661">
        <v>143.85</v>
      </c>
      <c r="I661" t="str">
        <f t="shared" si="70"/>
        <v>Very High</v>
      </c>
      <c r="J661">
        <v>21.58</v>
      </c>
      <c r="K661">
        <f t="shared" si="75"/>
        <v>122.27</v>
      </c>
      <c r="L661" t="str">
        <f t="shared" si="76"/>
        <v>December</v>
      </c>
      <c r="M661">
        <f>YEAR(C661)</f>
        <v>2024</v>
      </c>
      <c r="N661">
        <v>434</v>
      </c>
      <c r="O661" t="str">
        <f>IF(N661&gt;=200,"Platinum",IF(N661&gt;=100,"Gold",IF(N661&gt;=50,"Silver","Regular")))</f>
        <v>Platinum</v>
      </c>
      <c r="P661" s="4" t="str">
        <f t="shared" si="71"/>
        <v>Saturday</v>
      </c>
      <c r="Q661" s="4" t="str">
        <f t="shared" si="72"/>
        <v>Medium Order</v>
      </c>
      <c r="R661" s="4" t="str">
        <f t="shared" si="73"/>
        <v>Weekend</v>
      </c>
      <c r="S661" s="4" t="str">
        <f t="shared" si="74"/>
        <v>High Value</v>
      </c>
    </row>
    <row r="662" spans="1:19" x14ac:dyDescent="0.3">
      <c r="A662">
        <v>9410</v>
      </c>
      <c r="B662" t="s">
        <v>3</v>
      </c>
      <c r="C662" s="1">
        <v>45259</v>
      </c>
      <c r="D662" t="s">
        <v>9</v>
      </c>
      <c r="E662" t="s">
        <v>36</v>
      </c>
      <c r="F662">
        <v>2</v>
      </c>
      <c r="G662">
        <v>28.93</v>
      </c>
      <c r="H662">
        <v>57.86</v>
      </c>
      <c r="I662" t="str">
        <f t="shared" si="70"/>
        <v>Medium</v>
      </c>
      <c r="J662">
        <v>8.68</v>
      </c>
      <c r="K662">
        <f t="shared" si="75"/>
        <v>49.18</v>
      </c>
      <c r="L662" t="str">
        <f t="shared" si="76"/>
        <v>November</v>
      </c>
      <c r="M662">
        <f>YEAR(C662)</f>
        <v>2023</v>
      </c>
      <c r="N662">
        <v>450</v>
      </c>
      <c r="O662" t="str">
        <f>IF(N662&gt;=200,"Platinum",IF(N662&gt;=100,"Gold",IF(N662&gt;=50,"Silver","Regular")))</f>
        <v>Platinum</v>
      </c>
      <c r="P662" s="4" t="str">
        <f t="shared" si="71"/>
        <v>Wednesday</v>
      </c>
      <c r="Q662" s="4" t="str">
        <f t="shared" si="72"/>
        <v>Small Order</v>
      </c>
      <c r="R662" s="4" t="str">
        <f t="shared" si="73"/>
        <v>Weekday</v>
      </c>
      <c r="S662" s="4" t="str">
        <f t="shared" si="74"/>
        <v>Regular</v>
      </c>
    </row>
    <row r="663" spans="1:19" x14ac:dyDescent="0.3">
      <c r="A663">
        <v>7547</v>
      </c>
      <c r="B663" t="s">
        <v>8</v>
      </c>
      <c r="C663" s="1">
        <v>45729</v>
      </c>
      <c r="D663" t="s">
        <v>16</v>
      </c>
      <c r="E663" t="s">
        <v>10</v>
      </c>
      <c r="F663">
        <v>1</v>
      </c>
      <c r="G663">
        <v>29.13</v>
      </c>
      <c r="H663">
        <v>29.13</v>
      </c>
      <c r="I663" t="str">
        <f t="shared" si="70"/>
        <v>Low</v>
      </c>
      <c r="J663">
        <v>4.37</v>
      </c>
      <c r="K663">
        <f t="shared" si="75"/>
        <v>24.759999999999998</v>
      </c>
      <c r="L663" t="str">
        <f t="shared" si="76"/>
        <v>March</v>
      </c>
      <c r="M663">
        <f>YEAR(C663)</f>
        <v>2025</v>
      </c>
      <c r="N663">
        <v>158</v>
      </c>
      <c r="O663" t="str">
        <f>IF(N663&gt;=200,"Platinum",IF(N663&gt;=100,"Gold",IF(N663&gt;=50,"Silver","Regular")))</f>
        <v>Gold</v>
      </c>
      <c r="P663" s="4" t="str">
        <f t="shared" si="71"/>
        <v>Thursday</v>
      </c>
      <c r="Q663" s="4" t="str">
        <f t="shared" si="72"/>
        <v>Small Order</v>
      </c>
      <c r="R663" s="4" t="str">
        <f t="shared" si="73"/>
        <v>Weekday</v>
      </c>
      <c r="S663" s="4" t="str">
        <f t="shared" si="74"/>
        <v>Regular</v>
      </c>
    </row>
    <row r="664" spans="1:19" x14ac:dyDescent="0.3">
      <c r="A664">
        <v>6370</v>
      </c>
      <c r="B664" t="s">
        <v>13</v>
      </c>
      <c r="C664" s="1">
        <v>45260</v>
      </c>
      <c r="D664" t="s">
        <v>11</v>
      </c>
      <c r="E664" t="s">
        <v>14</v>
      </c>
      <c r="F664">
        <v>5</v>
      </c>
      <c r="G664">
        <v>29.53</v>
      </c>
      <c r="H664">
        <v>147.65</v>
      </c>
      <c r="I664" t="str">
        <f t="shared" si="70"/>
        <v>Very High</v>
      </c>
      <c r="J664">
        <v>22.15</v>
      </c>
      <c r="K664">
        <f t="shared" si="75"/>
        <v>125.5</v>
      </c>
      <c r="L664" t="str">
        <f t="shared" si="76"/>
        <v>November</v>
      </c>
      <c r="M664">
        <f>YEAR(C664)</f>
        <v>2023</v>
      </c>
      <c r="N664">
        <v>17</v>
      </c>
      <c r="O664" t="str">
        <f>IF(N664&gt;=200,"Platinum",IF(N664&gt;=100,"Gold",IF(N664&gt;=50,"Silver","Regular")))</f>
        <v>Regular</v>
      </c>
      <c r="P664" s="4" t="str">
        <f t="shared" si="71"/>
        <v>Thursday</v>
      </c>
      <c r="Q664" s="4" t="str">
        <f t="shared" si="72"/>
        <v>Medium Order</v>
      </c>
      <c r="R664" s="4" t="str">
        <f t="shared" si="73"/>
        <v>Weekday</v>
      </c>
      <c r="S664" s="4" t="str">
        <f t="shared" si="74"/>
        <v>High Value</v>
      </c>
    </row>
    <row r="665" spans="1:19" x14ac:dyDescent="0.3">
      <c r="A665">
        <v>5835</v>
      </c>
      <c r="B665" t="s">
        <v>25</v>
      </c>
      <c r="C665" s="1">
        <v>45398</v>
      </c>
      <c r="D665" t="s">
        <v>9</v>
      </c>
      <c r="E665" t="s">
        <v>26</v>
      </c>
      <c r="F665">
        <v>4</v>
      </c>
      <c r="G665">
        <v>29.93</v>
      </c>
      <c r="H665">
        <v>119.72</v>
      </c>
      <c r="I665" t="str">
        <f t="shared" si="70"/>
        <v>High</v>
      </c>
      <c r="J665">
        <v>17.96</v>
      </c>
      <c r="K665">
        <f t="shared" si="75"/>
        <v>101.75999999999999</v>
      </c>
      <c r="L665" t="str">
        <f t="shared" si="76"/>
        <v>April</v>
      </c>
      <c r="M665">
        <f>YEAR(C665)</f>
        <v>2024</v>
      </c>
      <c r="N665">
        <v>237</v>
      </c>
      <c r="O665" t="str">
        <f>IF(N665&gt;=200,"Platinum",IF(N665&gt;=100,"Gold",IF(N665&gt;=50,"Silver","Regular")))</f>
        <v>Platinum</v>
      </c>
      <c r="P665" s="4" t="str">
        <f t="shared" si="71"/>
        <v>Tuesday</v>
      </c>
      <c r="Q665" s="4" t="str">
        <f t="shared" si="72"/>
        <v>Medium Order</v>
      </c>
      <c r="R665" s="4" t="str">
        <f t="shared" si="73"/>
        <v>Weekday</v>
      </c>
      <c r="S665" s="4" t="str">
        <f t="shared" si="74"/>
        <v>High Value</v>
      </c>
    </row>
    <row r="666" spans="1:19" x14ac:dyDescent="0.3">
      <c r="A666">
        <v>7669</v>
      </c>
      <c r="B666" t="s">
        <v>13</v>
      </c>
      <c r="C666" s="1">
        <v>45292</v>
      </c>
      <c r="D666" t="s">
        <v>16</v>
      </c>
      <c r="E666" t="s">
        <v>32</v>
      </c>
      <c r="F666">
        <v>3</v>
      </c>
      <c r="G666">
        <v>25.71</v>
      </c>
      <c r="H666">
        <v>77.13</v>
      </c>
      <c r="I666" t="str">
        <f t="shared" si="70"/>
        <v>High</v>
      </c>
      <c r="J666">
        <v>11.57</v>
      </c>
      <c r="K666">
        <f t="shared" si="75"/>
        <v>65.56</v>
      </c>
      <c r="L666" t="str">
        <f t="shared" si="76"/>
        <v>January</v>
      </c>
      <c r="M666">
        <f>YEAR(C666)</f>
        <v>2024</v>
      </c>
      <c r="N666">
        <v>439</v>
      </c>
      <c r="O666" t="str">
        <f>IF(N666&gt;=200,"Platinum",IF(N666&gt;=100,"Gold",IF(N666&gt;=50,"Silver","Regular")))</f>
        <v>Platinum</v>
      </c>
      <c r="P666" s="4" t="str">
        <f t="shared" si="71"/>
        <v>Monday</v>
      </c>
      <c r="Q666" s="4" t="str">
        <f t="shared" si="72"/>
        <v>Medium Order</v>
      </c>
      <c r="R666" s="4" t="str">
        <f t="shared" si="73"/>
        <v>Weekday</v>
      </c>
      <c r="S666" s="4" t="str">
        <f t="shared" si="74"/>
        <v>Regular</v>
      </c>
    </row>
    <row r="667" spans="1:19" x14ac:dyDescent="0.3">
      <c r="A667">
        <v>4817</v>
      </c>
      <c r="B667" t="s">
        <v>25</v>
      </c>
      <c r="C667" s="1">
        <v>45400</v>
      </c>
      <c r="D667" t="s">
        <v>23</v>
      </c>
      <c r="E667" t="s">
        <v>28</v>
      </c>
      <c r="F667">
        <v>3</v>
      </c>
      <c r="G667">
        <v>26.51</v>
      </c>
      <c r="H667">
        <v>79.53</v>
      </c>
      <c r="I667" t="str">
        <f t="shared" si="70"/>
        <v>High</v>
      </c>
      <c r="J667">
        <v>11.93</v>
      </c>
      <c r="K667">
        <f t="shared" si="75"/>
        <v>67.599999999999994</v>
      </c>
      <c r="L667" t="str">
        <f t="shared" si="76"/>
        <v>April</v>
      </c>
      <c r="M667">
        <f>YEAR(C667)</f>
        <v>2024</v>
      </c>
      <c r="N667">
        <v>211</v>
      </c>
      <c r="O667" t="str">
        <f>IF(N667&gt;=200,"Platinum",IF(N667&gt;=100,"Gold",IF(N667&gt;=50,"Silver","Regular")))</f>
        <v>Platinum</v>
      </c>
      <c r="P667" s="4" t="str">
        <f t="shared" si="71"/>
        <v>Thursday</v>
      </c>
      <c r="Q667" s="4" t="str">
        <f t="shared" si="72"/>
        <v>Medium Order</v>
      </c>
      <c r="R667" s="4" t="str">
        <f t="shared" si="73"/>
        <v>Weekday</v>
      </c>
      <c r="S667" s="4" t="str">
        <f t="shared" si="74"/>
        <v>Regular</v>
      </c>
    </row>
    <row r="668" spans="1:19" x14ac:dyDescent="0.3">
      <c r="A668">
        <v>1319</v>
      </c>
      <c r="B668" t="s">
        <v>25</v>
      </c>
      <c r="C668" s="1">
        <v>45231</v>
      </c>
      <c r="D668" t="s">
        <v>34</v>
      </c>
      <c r="E668" t="s">
        <v>7</v>
      </c>
      <c r="F668">
        <v>5</v>
      </c>
      <c r="G668">
        <v>10.96</v>
      </c>
      <c r="H668">
        <v>54.8</v>
      </c>
      <c r="I668" t="str">
        <f t="shared" si="70"/>
        <v>Medium</v>
      </c>
      <c r="J668">
        <v>8.2200000000000006</v>
      </c>
      <c r="K668">
        <f t="shared" si="75"/>
        <v>46.58</v>
      </c>
      <c r="L668" t="str">
        <f t="shared" si="76"/>
        <v>November</v>
      </c>
      <c r="M668">
        <f>YEAR(C668)</f>
        <v>2023</v>
      </c>
      <c r="N668">
        <v>381</v>
      </c>
      <c r="O668" t="str">
        <f>IF(N668&gt;=200,"Platinum",IF(N668&gt;=100,"Gold",IF(N668&gt;=50,"Silver","Regular")))</f>
        <v>Platinum</v>
      </c>
      <c r="P668" s="4" t="str">
        <f t="shared" si="71"/>
        <v>Wednesday</v>
      </c>
      <c r="Q668" s="4" t="str">
        <f t="shared" si="72"/>
        <v>Medium Order</v>
      </c>
      <c r="R668" s="4" t="str">
        <f t="shared" si="73"/>
        <v>Weekday</v>
      </c>
      <c r="S668" s="4" t="str">
        <f t="shared" si="74"/>
        <v>Regular</v>
      </c>
    </row>
    <row r="669" spans="1:19" x14ac:dyDescent="0.3">
      <c r="A669">
        <v>8702</v>
      </c>
      <c r="B669" t="s">
        <v>13</v>
      </c>
      <c r="C669" s="1">
        <v>45178</v>
      </c>
      <c r="D669" t="s">
        <v>9</v>
      </c>
      <c r="E669" t="s">
        <v>37</v>
      </c>
      <c r="F669">
        <v>4</v>
      </c>
      <c r="G669">
        <v>20.149999999999999</v>
      </c>
      <c r="H669">
        <v>80.599999999999994</v>
      </c>
      <c r="I669" t="str">
        <f t="shared" si="70"/>
        <v>High</v>
      </c>
      <c r="J669">
        <v>12.09</v>
      </c>
      <c r="K669">
        <f t="shared" si="75"/>
        <v>68.509999999999991</v>
      </c>
      <c r="L669" t="str">
        <f t="shared" si="76"/>
        <v>September</v>
      </c>
      <c r="M669">
        <f>YEAR(C669)</f>
        <v>2023</v>
      </c>
      <c r="N669">
        <v>291</v>
      </c>
      <c r="O669" t="str">
        <f>IF(N669&gt;=200,"Platinum",IF(N669&gt;=100,"Gold",IF(N669&gt;=50,"Silver","Regular")))</f>
        <v>Platinum</v>
      </c>
      <c r="P669" s="4" t="str">
        <f t="shared" si="71"/>
        <v>Saturday</v>
      </c>
      <c r="Q669" s="4" t="str">
        <f t="shared" si="72"/>
        <v>Medium Order</v>
      </c>
      <c r="R669" s="4" t="str">
        <f t="shared" si="73"/>
        <v>Weekend</v>
      </c>
      <c r="S669" s="4" t="str">
        <f t="shared" si="74"/>
        <v>Regular</v>
      </c>
    </row>
    <row r="670" spans="1:19" x14ac:dyDescent="0.3">
      <c r="A670">
        <v>3610</v>
      </c>
      <c r="B670" t="s">
        <v>0</v>
      </c>
      <c r="C670" s="1">
        <v>45532</v>
      </c>
      <c r="D670" t="s">
        <v>17</v>
      </c>
      <c r="E670" t="s">
        <v>10</v>
      </c>
      <c r="F670">
        <v>4</v>
      </c>
      <c r="G670">
        <v>20.65</v>
      </c>
      <c r="H670">
        <v>82.6</v>
      </c>
      <c r="I670" t="str">
        <f t="shared" si="70"/>
        <v>High</v>
      </c>
      <c r="J670">
        <v>12.39</v>
      </c>
      <c r="K670">
        <f t="shared" si="75"/>
        <v>70.209999999999994</v>
      </c>
      <c r="L670" t="str">
        <f t="shared" si="76"/>
        <v>August</v>
      </c>
      <c r="M670">
        <f>YEAR(C670)</f>
        <v>2024</v>
      </c>
      <c r="N670">
        <v>497</v>
      </c>
      <c r="O670" t="str">
        <f>IF(N670&gt;=200,"Platinum",IF(N670&gt;=100,"Gold",IF(N670&gt;=50,"Silver","Regular")))</f>
        <v>Platinum</v>
      </c>
      <c r="P670" s="4" t="str">
        <f t="shared" si="71"/>
        <v>Wednesday</v>
      </c>
      <c r="Q670" s="4" t="str">
        <f t="shared" si="72"/>
        <v>Medium Order</v>
      </c>
      <c r="R670" s="4" t="str">
        <f t="shared" si="73"/>
        <v>Weekday</v>
      </c>
      <c r="S670" s="4" t="str">
        <f t="shared" si="74"/>
        <v>Regular</v>
      </c>
    </row>
    <row r="671" spans="1:19" x14ac:dyDescent="0.3">
      <c r="A671">
        <v>9056</v>
      </c>
      <c r="B671" t="s">
        <v>8</v>
      </c>
      <c r="C671" s="1">
        <v>45215</v>
      </c>
      <c r="D671" t="s">
        <v>27</v>
      </c>
      <c r="E671" t="s">
        <v>36</v>
      </c>
      <c r="F671">
        <v>4</v>
      </c>
      <c r="G671">
        <v>26.2</v>
      </c>
      <c r="H671">
        <v>104.8</v>
      </c>
      <c r="I671" t="str">
        <f t="shared" si="70"/>
        <v>High</v>
      </c>
      <c r="J671">
        <v>15.72</v>
      </c>
      <c r="K671">
        <f t="shared" si="75"/>
        <v>89.08</v>
      </c>
      <c r="L671" t="str">
        <f t="shared" si="76"/>
        <v>October</v>
      </c>
      <c r="M671">
        <f>YEAR(C671)</f>
        <v>2023</v>
      </c>
      <c r="N671">
        <v>38</v>
      </c>
      <c r="O671" t="str">
        <f>IF(N671&gt;=200,"Platinum",IF(N671&gt;=100,"Gold",IF(N671&gt;=50,"Silver","Regular")))</f>
        <v>Regular</v>
      </c>
      <c r="P671" s="4" t="str">
        <f t="shared" si="71"/>
        <v>Monday</v>
      </c>
      <c r="Q671" s="4" t="str">
        <f t="shared" si="72"/>
        <v>Medium Order</v>
      </c>
      <c r="R671" s="4" t="str">
        <f t="shared" si="73"/>
        <v>Weekday</v>
      </c>
      <c r="S671" s="4" t="str">
        <f t="shared" si="74"/>
        <v>Regular</v>
      </c>
    </row>
    <row r="672" spans="1:19" x14ac:dyDescent="0.3">
      <c r="A672">
        <v>7622</v>
      </c>
      <c r="B672" t="s">
        <v>25</v>
      </c>
      <c r="C672" s="1">
        <v>45816</v>
      </c>
      <c r="D672" t="s">
        <v>27</v>
      </c>
      <c r="E672" t="s">
        <v>21</v>
      </c>
      <c r="F672">
        <v>4</v>
      </c>
      <c r="G672">
        <v>29.4</v>
      </c>
      <c r="H672">
        <v>117.6</v>
      </c>
      <c r="I672" t="str">
        <f t="shared" si="70"/>
        <v>High</v>
      </c>
      <c r="J672">
        <v>17.64</v>
      </c>
      <c r="K672">
        <f t="shared" si="75"/>
        <v>99.96</v>
      </c>
      <c r="L672" t="str">
        <f t="shared" si="76"/>
        <v>June</v>
      </c>
      <c r="M672">
        <f>YEAR(C672)</f>
        <v>2025</v>
      </c>
      <c r="N672">
        <v>468</v>
      </c>
      <c r="O672" t="str">
        <f>IF(N672&gt;=200,"Platinum",IF(N672&gt;=100,"Gold",IF(N672&gt;=50,"Silver","Regular")))</f>
        <v>Platinum</v>
      </c>
      <c r="P672" s="4" t="str">
        <f t="shared" si="71"/>
        <v>Sunday</v>
      </c>
      <c r="Q672" s="4" t="str">
        <f t="shared" si="72"/>
        <v>Medium Order</v>
      </c>
      <c r="R672" s="4" t="str">
        <f t="shared" si="73"/>
        <v>Weekend</v>
      </c>
      <c r="S672" s="4" t="str">
        <f t="shared" si="74"/>
        <v>Regular</v>
      </c>
    </row>
    <row r="673" spans="1:19" x14ac:dyDescent="0.3">
      <c r="A673">
        <v>6051</v>
      </c>
      <c r="B673" t="s">
        <v>0</v>
      </c>
      <c r="C673" s="1">
        <v>45504</v>
      </c>
      <c r="D673" t="s">
        <v>9</v>
      </c>
      <c r="E673" t="s">
        <v>12</v>
      </c>
      <c r="F673">
        <v>4</v>
      </c>
      <c r="G673">
        <v>1.3</v>
      </c>
      <c r="H673">
        <v>5.2</v>
      </c>
      <c r="I673" t="str">
        <f t="shared" si="70"/>
        <v>Low</v>
      </c>
      <c r="J673">
        <v>0.78</v>
      </c>
      <c r="K673">
        <f t="shared" si="75"/>
        <v>4.42</v>
      </c>
      <c r="L673" t="str">
        <f t="shared" si="76"/>
        <v>July</v>
      </c>
      <c r="M673">
        <f>YEAR(C673)</f>
        <v>2024</v>
      </c>
      <c r="N673">
        <v>305</v>
      </c>
      <c r="O673" t="str">
        <f>IF(N673&gt;=200,"Platinum",IF(N673&gt;=100,"Gold",IF(N673&gt;=50,"Silver","Regular")))</f>
        <v>Platinum</v>
      </c>
      <c r="P673" s="4" t="str">
        <f t="shared" si="71"/>
        <v>Wednesday</v>
      </c>
      <c r="Q673" s="4" t="str">
        <f t="shared" si="72"/>
        <v>Medium Order</v>
      </c>
      <c r="R673" s="4" t="str">
        <f t="shared" si="73"/>
        <v>Weekday</v>
      </c>
      <c r="S673" s="4" t="str">
        <f t="shared" si="74"/>
        <v>Regular</v>
      </c>
    </row>
    <row r="674" spans="1:19" x14ac:dyDescent="0.3">
      <c r="A674">
        <v>6573</v>
      </c>
      <c r="B674" t="s">
        <v>13</v>
      </c>
      <c r="C674" s="1">
        <v>45231</v>
      </c>
      <c r="D674" t="s">
        <v>24</v>
      </c>
      <c r="E674" t="s">
        <v>32</v>
      </c>
      <c r="F674">
        <v>4</v>
      </c>
      <c r="G674">
        <v>1.55</v>
      </c>
      <c r="H674">
        <v>6.2</v>
      </c>
      <c r="I674" t="str">
        <f t="shared" si="70"/>
        <v>Low</v>
      </c>
      <c r="J674">
        <v>0.93</v>
      </c>
      <c r="K674">
        <f t="shared" si="75"/>
        <v>5.2700000000000005</v>
      </c>
      <c r="L674" t="str">
        <f t="shared" si="76"/>
        <v>November</v>
      </c>
      <c r="M674">
        <f>YEAR(C674)</f>
        <v>2023</v>
      </c>
      <c r="N674">
        <v>276</v>
      </c>
      <c r="O674" t="str">
        <f>IF(N674&gt;=200,"Platinum",IF(N674&gt;=100,"Gold",IF(N674&gt;=50,"Silver","Regular")))</f>
        <v>Platinum</v>
      </c>
      <c r="P674" s="4" t="str">
        <f t="shared" si="71"/>
        <v>Wednesday</v>
      </c>
      <c r="Q674" s="4" t="str">
        <f t="shared" si="72"/>
        <v>Medium Order</v>
      </c>
      <c r="R674" s="4" t="str">
        <f t="shared" si="73"/>
        <v>Weekday</v>
      </c>
      <c r="S674" s="4" t="str">
        <f t="shared" si="74"/>
        <v>Regular</v>
      </c>
    </row>
    <row r="675" spans="1:19" x14ac:dyDescent="0.3">
      <c r="A675">
        <v>6005</v>
      </c>
      <c r="B675" t="s">
        <v>13</v>
      </c>
      <c r="C675" s="1">
        <v>45708</v>
      </c>
      <c r="D675" t="s">
        <v>17</v>
      </c>
      <c r="E675" t="s">
        <v>32</v>
      </c>
      <c r="F675">
        <v>2</v>
      </c>
      <c r="G675">
        <v>3.7</v>
      </c>
      <c r="H675">
        <v>7.4</v>
      </c>
      <c r="I675" t="str">
        <f t="shared" si="70"/>
        <v>Low</v>
      </c>
      <c r="J675">
        <v>1.1100000000000001</v>
      </c>
      <c r="K675">
        <f t="shared" si="75"/>
        <v>6.29</v>
      </c>
      <c r="L675" t="str">
        <f t="shared" si="76"/>
        <v>February</v>
      </c>
      <c r="M675">
        <f>YEAR(C675)</f>
        <v>2025</v>
      </c>
      <c r="N675">
        <v>364</v>
      </c>
      <c r="O675" t="str">
        <f>IF(N675&gt;=200,"Platinum",IF(N675&gt;=100,"Gold",IF(N675&gt;=50,"Silver","Regular")))</f>
        <v>Platinum</v>
      </c>
      <c r="P675" s="4" t="str">
        <f t="shared" si="71"/>
        <v>Thursday</v>
      </c>
      <c r="Q675" s="4" t="str">
        <f t="shared" si="72"/>
        <v>Small Order</v>
      </c>
      <c r="R675" s="4" t="str">
        <f t="shared" si="73"/>
        <v>Weekday</v>
      </c>
      <c r="S675" s="4" t="str">
        <f t="shared" si="74"/>
        <v>Regular</v>
      </c>
    </row>
    <row r="676" spans="1:19" x14ac:dyDescent="0.3">
      <c r="A676">
        <v>9951</v>
      </c>
      <c r="B676" t="s">
        <v>13</v>
      </c>
      <c r="C676" s="1">
        <v>45675</v>
      </c>
      <c r="D676" t="s">
        <v>23</v>
      </c>
      <c r="E676" t="s">
        <v>26</v>
      </c>
      <c r="F676">
        <v>5</v>
      </c>
      <c r="G676">
        <v>2.84</v>
      </c>
      <c r="H676">
        <v>14.2</v>
      </c>
      <c r="I676" t="str">
        <f t="shared" si="70"/>
        <v>Low</v>
      </c>
      <c r="J676">
        <v>2.13</v>
      </c>
      <c r="K676">
        <f t="shared" si="75"/>
        <v>12.07</v>
      </c>
      <c r="L676" t="str">
        <f t="shared" si="76"/>
        <v>January</v>
      </c>
      <c r="M676">
        <f>YEAR(C676)</f>
        <v>2025</v>
      </c>
      <c r="N676">
        <v>94</v>
      </c>
      <c r="O676" t="str">
        <f>IF(N676&gt;=200,"Platinum",IF(N676&gt;=100,"Gold",IF(N676&gt;=50,"Silver","Regular")))</f>
        <v>Silver</v>
      </c>
      <c r="P676" s="4" t="str">
        <f t="shared" si="71"/>
        <v>Saturday</v>
      </c>
      <c r="Q676" s="4" t="str">
        <f t="shared" si="72"/>
        <v>Medium Order</v>
      </c>
      <c r="R676" s="4" t="str">
        <f t="shared" si="73"/>
        <v>Weekend</v>
      </c>
      <c r="S676" s="4" t="str">
        <f t="shared" si="74"/>
        <v>Regular</v>
      </c>
    </row>
    <row r="677" spans="1:19" x14ac:dyDescent="0.3">
      <c r="A677">
        <v>8357</v>
      </c>
      <c r="B677" t="s">
        <v>19</v>
      </c>
      <c r="C677" s="1">
        <v>45609</v>
      </c>
      <c r="D677" t="s">
        <v>34</v>
      </c>
      <c r="E677" t="s">
        <v>2</v>
      </c>
      <c r="F677">
        <v>1</v>
      </c>
      <c r="G677">
        <v>15.2</v>
      </c>
      <c r="H677">
        <v>15.2</v>
      </c>
      <c r="I677" t="str">
        <f t="shared" si="70"/>
        <v>Low</v>
      </c>
      <c r="J677">
        <v>2.2799999999999998</v>
      </c>
      <c r="K677">
        <f t="shared" si="75"/>
        <v>12.92</v>
      </c>
      <c r="L677" t="str">
        <f t="shared" si="76"/>
        <v>November</v>
      </c>
      <c r="M677">
        <f>YEAR(C677)</f>
        <v>2024</v>
      </c>
      <c r="N677">
        <v>296</v>
      </c>
      <c r="O677" t="str">
        <f>IF(N677&gt;=200,"Platinum",IF(N677&gt;=100,"Gold",IF(N677&gt;=50,"Silver","Regular")))</f>
        <v>Platinum</v>
      </c>
      <c r="P677" s="4" t="str">
        <f t="shared" si="71"/>
        <v>Wednesday</v>
      </c>
      <c r="Q677" s="4" t="str">
        <f t="shared" si="72"/>
        <v>Small Order</v>
      </c>
      <c r="R677" s="4" t="str">
        <f t="shared" si="73"/>
        <v>Weekday</v>
      </c>
      <c r="S677" s="4" t="str">
        <f t="shared" si="74"/>
        <v>Regular</v>
      </c>
    </row>
    <row r="678" spans="1:19" x14ac:dyDescent="0.3">
      <c r="A678">
        <v>5712</v>
      </c>
      <c r="B678" t="s">
        <v>8</v>
      </c>
      <c r="C678" s="1">
        <v>45671</v>
      </c>
      <c r="D678" t="s">
        <v>27</v>
      </c>
      <c r="E678" t="s">
        <v>2</v>
      </c>
      <c r="F678">
        <v>2</v>
      </c>
      <c r="G678">
        <v>8.8000000000000007</v>
      </c>
      <c r="H678">
        <v>17.600000000000001</v>
      </c>
      <c r="I678" t="str">
        <f t="shared" si="70"/>
        <v>Low</v>
      </c>
      <c r="J678">
        <v>2.64</v>
      </c>
      <c r="K678">
        <f t="shared" si="75"/>
        <v>14.96</v>
      </c>
      <c r="L678" t="str">
        <f t="shared" si="76"/>
        <v>January</v>
      </c>
      <c r="M678">
        <f>YEAR(C678)</f>
        <v>2025</v>
      </c>
      <c r="N678">
        <v>490</v>
      </c>
      <c r="O678" t="str">
        <f>IF(N678&gt;=200,"Platinum",IF(N678&gt;=100,"Gold",IF(N678&gt;=50,"Silver","Regular")))</f>
        <v>Platinum</v>
      </c>
      <c r="P678" s="4" t="str">
        <f t="shared" si="71"/>
        <v>Tuesday</v>
      </c>
      <c r="Q678" s="4" t="str">
        <f t="shared" si="72"/>
        <v>Small Order</v>
      </c>
      <c r="R678" s="4" t="str">
        <f t="shared" si="73"/>
        <v>Weekday</v>
      </c>
      <c r="S678" s="4" t="str">
        <f t="shared" si="74"/>
        <v>Regular</v>
      </c>
    </row>
    <row r="679" spans="1:19" x14ac:dyDescent="0.3">
      <c r="A679">
        <v>7176</v>
      </c>
      <c r="B679" t="s">
        <v>25</v>
      </c>
      <c r="C679" s="1">
        <v>45202</v>
      </c>
      <c r="D679" t="s">
        <v>9</v>
      </c>
      <c r="E679" t="s">
        <v>14</v>
      </c>
      <c r="F679">
        <v>2</v>
      </c>
      <c r="G679">
        <v>8.9</v>
      </c>
      <c r="H679">
        <v>17.8</v>
      </c>
      <c r="I679" t="str">
        <f t="shared" si="70"/>
        <v>Low</v>
      </c>
      <c r="J679">
        <v>2.67</v>
      </c>
      <c r="K679">
        <f t="shared" si="75"/>
        <v>15.13</v>
      </c>
      <c r="L679" t="str">
        <f t="shared" si="76"/>
        <v>October</v>
      </c>
      <c r="M679">
        <f>YEAR(C679)</f>
        <v>2023</v>
      </c>
      <c r="N679">
        <v>102</v>
      </c>
      <c r="O679" t="str">
        <f>IF(N679&gt;=200,"Platinum",IF(N679&gt;=100,"Gold",IF(N679&gt;=50,"Silver","Regular")))</f>
        <v>Gold</v>
      </c>
      <c r="P679" s="4" t="str">
        <f t="shared" si="71"/>
        <v>Tuesday</v>
      </c>
      <c r="Q679" s="4" t="str">
        <f t="shared" si="72"/>
        <v>Small Order</v>
      </c>
      <c r="R679" s="4" t="str">
        <f t="shared" si="73"/>
        <v>Weekday</v>
      </c>
      <c r="S679" s="4" t="str">
        <f t="shared" si="74"/>
        <v>Regular</v>
      </c>
    </row>
    <row r="680" spans="1:19" x14ac:dyDescent="0.3">
      <c r="A680">
        <v>5176</v>
      </c>
      <c r="B680" t="s">
        <v>19</v>
      </c>
      <c r="C680" s="1">
        <v>45435</v>
      </c>
      <c r="D680" t="s">
        <v>1</v>
      </c>
      <c r="E680" t="s">
        <v>26</v>
      </c>
      <c r="F680">
        <v>2</v>
      </c>
      <c r="G680">
        <v>10.3</v>
      </c>
      <c r="H680">
        <v>20.6</v>
      </c>
      <c r="I680" t="str">
        <f t="shared" si="70"/>
        <v>Low</v>
      </c>
      <c r="J680">
        <v>3.09</v>
      </c>
      <c r="K680">
        <f t="shared" si="75"/>
        <v>17.510000000000002</v>
      </c>
      <c r="L680" t="str">
        <f t="shared" si="76"/>
        <v>May</v>
      </c>
      <c r="M680">
        <f>YEAR(C680)</f>
        <v>2024</v>
      </c>
      <c r="N680">
        <v>98</v>
      </c>
      <c r="O680" t="str">
        <f>IF(N680&gt;=200,"Platinum",IF(N680&gt;=100,"Gold",IF(N680&gt;=50,"Silver","Regular")))</f>
        <v>Silver</v>
      </c>
      <c r="P680" s="4" t="str">
        <f t="shared" si="71"/>
        <v>Thursday</v>
      </c>
      <c r="Q680" s="4" t="str">
        <f t="shared" si="72"/>
        <v>Small Order</v>
      </c>
      <c r="R680" s="4" t="str">
        <f t="shared" si="73"/>
        <v>Weekday</v>
      </c>
      <c r="S680" s="4" t="str">
        <f t="shared" si="74"/>
        <v>Regular</v>
      </c>
    </row>
    <row r="681" spans="1:19" x14ac:dyDescent="0.3">
      <c r="A681">
        <v>2562</v>
      </c>
      <c r="B681" t="s">
        <v>3</v>
      </c>
      <c r="C681" s="1">
        <v>45840</v>
      </c>
      <c r="D681" t="s">
        <v>11</v>
      </c>
      <c r="E681" t="s">
        <v>32</v>
      </c>
      <c r="F681">
        <v>4</v>
      </c>
      <c r="G681">
        <v>6.2</v>
      </c>
      <c r="H681">
        <v>24.8</v>
      </c>
      <c r="I681" t="str">
        <f t="shared" si="70"/>
        <v>Low</v>
      </c>
      <c r="J681">
        <v>3.72</v>
      </c>
      <c r="K681">
        <f t="shared" si="75"/>
        <v>21.080000000000002</v>
      </c>
      <c r="L681" t="str">
        <f t="shared" si="76"/>
        <v>July</v>
      </c>
      <c r="M681">
        <f>YEAR(C681)</f>
        <v>2025</v>
      </c>
      <c r="N681">
        <v>392</v>
      </c>
      <c r="O681" t="str">
        <f>IF(N681&gt;=200,"Platinum",IF(N681&gt;=100,"Gold",IF(N681&gt;=50,"Silver","Regular")))</f>
        <v>Platinum</v>
      </c>
      <c r="P681" s="4" t="str">
        <f t="shared" si="71"/>
        <v>Wednesday</v>
      </c>
      <c r="Q681" s="4" t="str">
        <f t="shared" si="72"/>
        <v>Medium Order</v>
      </c>
      <c r="R681" s="4" t="str">
        <f t="shared" si="73"/>
        <v>Weekday</v>
      </c>
      <c r="S681" s="4" t="str">
        <f t="shared" si="74"/>
        <v>Regular</v>
      </c>
    </row>
    <row r="682" spans="1:19" x14ac:dyDescent="0.3">
      <c r="A682">
        <v>4559</v>
      </c>
      <c r="B682" t="s">
        <v>25</v>
      </c>
      <c r="C682" s="1">
        <v>45212</v>
      </c>
      <c r="D682" t="s">
        <v>23</v>
      </c>
      <c r="E682" t="s">
        <v>14</v>
      </c>
      <c r="F682">
        <v>4</v>
      </c>
      <c r="G682">
        <v>6.45</v>
      </c>
      <c r="H682">
        <v>25.8</v>
      </c>
      <c r="I682" t="str">
        <f t="shared" si="70"/>
        <v>Low</v>
      </c>
      <c r="J682">
        <v>3.87</v>
      </c>
      <c r="K682">
        <f t="shared" si="75"/>
        <v>21.93</v>
      </c>
      <c r="L682" t="str">
        <f t="shared" si="76"/>
        <v>October</v>
      </c>
      <c r="M682">
        <f>YEAR(C682)</f>
        <v>2023</v>
      </c>
      <c r="N682">
        <v>206</v>
      </c>
      <c r="O682" t="str">
        <f>IF(N682&gt;=200,"Platinum",IF(N682&gt;=100,"Gold",IF(N682&gt;=50,"Silver","Regular")))</f>
        <v>Platinum</v>
      </c>
      <c r="P682" s="4" t="str">
        <f t="shared" si="71"/>
        <v>Friday</v>
      </c>
      <c r="Q682" s="4" t="str">
        <f t="shared" si="72"/>
        <v>Medium Order</v>
      </c>
      <c r="R682" s="4" t="str">
        <f t="shared" si="73"/>
        <v>Weekday</v>
      </c>
      <c r="S682" s="4" t="str">
        <f t="shared" si="74"/>
        <v>Regular</v>
      </c>
    </row>
    <row r="683" spans="1:19" x14ac:dyDescent="0.3">
      <c r="A683">
        <v>7525</v>
      </c>
      <c r="B683" t="s">
        <v>15</v>
      </c>
      <c r="C683" s="1">
        <v>45866</v>
      </c>
      <c r="D683" t="s">
        <v>11</v>
      </c>
      <c r="E683" t="s">
        <v>37</v>
      </c>
      <c r="F683">
        <v>2</v>
      </c>
      <c r="G683">
        <v>13.9</v>
      </c>
      <c r="H683">
        <v>27.8</v>
      </c>
      <c r="I683" t="str">
        <f t="shared" si="70"/>
        <v>Low</v>
      </c>
      <c r="J683">
        <v>4.17</v>
      </c>
      <c r="K683">
        <f t="shared" si="75"/>
        <v>23.630000000000003</v>
      </c>
      <c r="L683" t="str">
        <f t="shared" si="76"/>
        <v>July</v>
      </c>
      <c r="M683">
        <f>YEAR(C683)</f>
        <v>2025</v>
      </c>
      <c r="N683">
        <v>490</v>
      </c>
      <c r="O683" t="str">
        <f>IF(N683&gt;=200,"Platinum",IF(N683&gt;=100,"Gold",IF(N683&gt;=50,"Silver","Regular")))</f>
        <v>Platinum</v>
      </c>
      <c r="P683" s="4" t="str">
        <f t="shared" si="71"/>
        <v>Monday</v>
      </c>
      <c r="Q683" s="4" t="str">
        <f t="shared" si="72"/>
        <v>Small Order</v>
      </c>
      <c r="R683" s="4" t="str">
        <f t="shared" si="73"/>
        <v>Weekday</v>
      </c>
      <c r="S683" s="4" t="str">
        <f t="shared" si="74"/>
        <v>Regular</v>
      </c>
    </row>
    <row r="684" spans="1:19" x14ac:dyDescent="0.3">
      <c r="A684">
        <v>3093</v>
      </c>
      <c r="B684" t="s">
        <v>25</v>
      </c>
      <c r="C684" s="1">
        <v>45665</v>
      </c>
      <c r="D684" t="s">
        <v>9</v>
      </c>
      <c r="E684" t="s">
        <v>5</v>
      </c>
      <c r="F684">
        <v>2</v>
      </c>
      <c r="G684">
        <v>15.9</v>
      </c>
      <c r="H684">
        <v>31.8</v>
      </c>
      <c r="I684" t="str">
        <f t="shared" si="70"/>
        <v>Low</v>
      </c>
      <c r="J684">
        <v>4.7699999999999996</v>
      </c>
      <c r="K684">
        <f t="shared" si="75"/>
        <v>27.03</v>
      </c>
      <c r="L684" t="str">
        <f t="shared" si="76"/>
        <v>January</v>
      </c>
      <c r="M684">
        <f>YEAR(C684)</f>
        <v>2025</v>
      </c>
      <c r="N684">
        <v>208</v>
      </c>
      <c r="O684" t="str">
        <f>IF(N684&gt;=200,"Platinum",IF(N684&gt;=100,"Gold",IF(N684&gt;=50,"Silver","Regular")))</f>
        <v>Platinum</v>
      </c>
      <c r="P684" s="4" t="str">
        <f t="shared" si="71"/>
        <v>Wednesday</v>
      </c>
      <c r="Q684" s="4" t="str">
        <f t="shared" si="72"/>
        <v>Small Order</v>
      </c>
      <c r="R684" s="4" t="str">
        <f t="shared" si="73"/>
        <v>Weekday</v>
      </c>
      <c r="S684" s="4" t="str">
        <f t="shared" si="74"/>
        <v>Regular</v>
      </c>
    </row>
    <row r="685" spans="1:19" x14ac:dyDescent="0.3">
      <c r="A685">
        <v>1320</v>
      </c>
      <c r="B685" t="s">
        <v>25</v>
      </c>
      <c r="C685" s="1">
        <v>45810</v>
      </c>
      <c r="D685" t="s">
        <v>17</v>
      </c>
      <c r="E685" t="s">
        <v>33</v>
      </c>
      <c r="F685">
        <v>4</v>
      </c>
      <c r="G685">
        <v>10.1</v>
      </c>
      <c r="H685">
        <v>40.4</v>
      </c>
      <c r="I685" t="str">
        <f t="shared" si="70"/>
        <v>Medium</v>
      </c>
      <c r="J685">
        <v>6.06</v>
      </c>
      <c r="K685">
        <f t="shared" si="75"/>
        <v>34.339999999999996</v>
      </c>
      <c r="L685" t="str">
        <f t="shared" si="76"/>
        <v>June</v>
      </c>
      <c r="M685">
        <f>YEAR(C685)</f>
        <v>2025</v>
      </c>
      <c r="N685">
        <v>493</v>
      </c>
      <c r="O685" t="str">
        <f>IF(N685&gt;=200,"Platinum",IF(N685&gt;=100,"Gold",IF(N685&gt;=50,"Silver","Regular")))</f>
        <v>Platinum</v>
      </c>
      <c r="P685" s="4" t="str">
        <f t="shared" si="71"/>
        <v>Monday</v>
      </c>
      <c r="Q685" s="4" t="str">
        <f t="shared" si="72"/>
        <v>Medium Order</v>
      </c>
      <c r="R685" s="4" t="str">
        <f t="shared" si="73"/>
        <v>Weekday</v>
      </c>
      <c r="S685" s="4" t="str">
        <f t="shared" si="74"/>
        <v>Regular</v>
      </c>
    </row>
    <row r="686" spans="1:19" x14ac:dyDescent="0.3">
      <c r="A686">
        <v>6931</v>
      </c>
      <c r="B686" t="s">
        <v>8</v>
      </c>
      <c r="C686" s="1">
        <v>45543</v>
      </c>
      <c r="D686" t="s">
        <v>23</v>
      </c>
      <c r="E686" t="s">
        <v>30</v>
      </c>
      <c r="F686">
        <v>2</v>
      </c>
      <c r="G686">
        <v>23.3</v>
      </c>
      <c r="H686">
        <v>46.6</v>
      </c>
      <c r="I686" t="str">
        <f t="shared" si="70"/>
        <v>Medium</v>
      </c>
      <c r="J686">
        <v>6.99</v>
      </c>
      <c r="K686">
        <f t="shared" si="75"/>
        <v>39.61</v>
      </c>
      <c r="L686" t="str">
        <f t="shared" si="76"/>
        <v>September</v>
      </c>
      <c r="M686">
        <f>YEAR(C686)</f>
        <v>2024</v>
      </c>
      <c r="N686">
        <v>26</v>
      </c>
      <c r="O686" t="str">
        <f>IF(N686&gt;=200,"Platinum",IF(N686&gt;=100,"Gold",IF(N686&gt;=50,"Silver","Regular")))</f>
        <v>Regular</v>
      </c>
      <c r="P686" s="4" t="str">
        <f t="shared" si="71"/>
        <v>Sunday</v>
      </c>
      <c r="Q686" s="4" t="str">
        <f t="shared" si="72"/>
        <v>Small Order</v>
      </c>
      <c r="R686" s="4" t="str">
        <f t="shared" si="73"/>
        <v>Weekend</v>
      </c>
      <c r="S686" s="4" t="str">
        <f t="shared" si="74"/>
        <v>Regular</v>
      </c>
    </row>
    <row r="687" spans="1:19" x14ac:dyDescent="0.3">
      <c r="A687">
        <v>5786</v>
      </c>
      <c r="B687" t="s">
        <v>13</v>
      </c>
      <c r="C687" s="1">
        <v>45686</v>
      </c>
      <c r="D687" t="s">
        <v>23</v>
      </c>
      <c r="E687" t="s">
        <v>12</v>
      </c>
      <c r="F687">
        <v>4</v>
      </c>
      <c r="G687">
        <v>11.7</v>
      </c>
      <c r="H687">
        <v>46.8</v>
      </c>
      <c r="I687" t="str">
        <f t="shared" si="70"/>
        <v>Medium</v>
      </c>
      <c r="J687">
        <v>7.02</v>
      </c>
      <c r="K687">
        <f t="shared" si="75"/>
        <v>39.78</v>
      </c>
      <c r="L687" t="str">
        <f t="shared" si="76"/>
        <v>January</v>
      </c>
      <c r="M687">
        <f>YEAR(C687)</f>
        <v>2025</v>
      </c>
      <c r="N687">
        <v>228</v>
      </c>
      <c r="O687" t="str">
        <f>IF(N687&gt;=200,"Platinum",IF(N687&gt;=100,"Gold",IF(N687&gt;=50,"Silver","Regular")))</f>
        <v>Platinum</v>
      </c>
      <c r="P687" s="4" t="str">
        <f t="shared" si="71"/>
        <v>Wednesday</v>
      </c>
      <c r="Q687" s="4" t="str">
        <f t="shared" si="72"/>
        <v>Medium Order</v>
      </c>
      <c r="R687" s="4" t="str">
        <f t="shared" si="73"/>
        <v>Weekday</v>
      </c>
      <c r="S687" s="4" t="str">
        <f t="shared" si="74"/>
        <v>Regular</v>
      </c>
    </row>
    <row r="688" spans="1:19" x14ac:dyDescent="0.3">
      <c r="A688">
        <v>6432</v>
      </c>
      <c r="B688" t="s">
        <v>0</v>
      </c>
      <c r="C688" s="1">
        <v>45240</v>
      </c>
      <c r="D688" t="s">
        <v>27</v>
      </c>
      <c r="E688" t="s">
        <v>32</v>
      </c>
      <c r="F688">
        <v>2</v>
      </c>
      <c r="G688">
        <v>23.4</v>
      </c>
      <c r="H688">
        <v>46.8</v>
      </c>
      <c r="I688" t="str">
        <f t="shared" si="70"/>
        <v>Medium</v>
      </c>
      <c r="J688">
        <v>7.02</v>
      </c>
      <c r="K688">
        <f t="shared" si="75"/>
        <v>39.78</v>
      </c>
      <c r="L688" t="str">
        <f t="shared" si="76"/>
        <v>November</v>
      </c>
      <c r="M688">
        <f>YEAR(C688)</f>
        <v>2023</v>
      </c>
      <c r="N688">
        <v>20</v>
      </c>
      <c r="O688" t="str">
        <f>IF(N688&gt;=200,"Platinum",IF(N688&gt;=100,"Gold",IF(N688&gt;=50,"Silver","Regular")))</f>
        <v>Regular</v>
      </c>
      <c r="P688" s="4" t="str">
        <f t="shared" si="71"/>
        <v>Friday</v>
      </c>
      <c r="Q688" s="4" t="str">
        <f t="shared" si="72"/>
        <v>Small Order</v>
      </c>
      <c r="R688" s="4" t="str">
        <f t="shared" si="73"/>
        <v>Weekday</v>
      </c>
      <c r="S688" s="4" t="str">
        <f t="shared" si="74"/>
        <v>Regular</v>
      </c>
    </row>
    <row r="689" spans="1:19" x14ac:dyDescent="0.3">
      <c r="A689">
        <v>3126</v>
      </c>
      <c r="B689" t="s">
        <v>15</v>
      </c>
      <c r="C689" s="1">
        <v>45620</v>
      </c>
      <c r="D689" t="s">
        <v>23</v>
      </c>
      <c r="E689" t="s">
        <v>14</v>
      </c>
      <c r="F689">
        <v>2</v>
      </c>
      <c r="G689">
        <v>24.1</v>
      </c>
      <c r="H689">
        <v>48.2</v>
      </c>
      <c r="I689" t="str">
        <f t="shared" si="70"/>
        <v>Medium</v>
      </c>
      <c r="J689">
        <v>7.23</v>
      </c>
      <c r="K689">
        <f t="shared" si="75"/>
        <v>40.97</v>
      </c>
      <c r="L689" t="str">
        <f t="shared" si="76"/>
        <v>November</v>
      </c>
      <c r="M689">
        <f>YEAR(C689)</f>
        <v>2024</v>
      </c>
      <c r="N689">
        <v>30</v>
      </c>
      <c r="O689" t="str">
        <f>IF(N689&gt;=200,"Platinum",IF(N689&gt;=100,"Gold",IF(N689&gt;=50,"Silver","Regular")))</f>
        <v>Regular</v>
      </c>
      <c r="P689" s="4" t="str">
        <f t="shared" si="71"/>
        <v>Sunday</v>
      </c>
      <c r="Q689" s="4" t="str">
        <f t="shared" si="72"/>
        <v>Small Order</v>
      </c>
      <c r="R689" s="4" t="str">
        <f t="shared" si="73"/>
        <v>Weekend</v>
      </c>
      <c r="S689" s="4" t="str">
        <f t="shared" si="74"/>
        <v>Regular</v>
      </c>
    </row>
    <row r="690" spans="1:19" x14ac:dyDescent="0.3">
      <c r="A690">
        <v>8450</v>
      </c>
      <c r="B690" t="s">
        <v>3</v>
      </c>
      <c r="C690" s="1">
        <v>45216</v>
      </c>
      <c r="D690" t="s">
        <v>24</v>
      </c>
      <c r="E690" t="s">
        <v>10</v>
      </c>
      <c r="F690">
        <v>4</v>
      </c>
      <c r="G690">
        <v>12.4</v>
      </c>
      <c r="H690">
        <v>49.6</v>
      </c>
      <c r="I690" t="str">
        <f t="shared" si="70"/>
        <v>Medium</v>
      </c>
      <c r="J690">
        <v>7.44</v>
      </c>
      <c r="K690">
        <f t="shared" si="75"/>
        <v>42.160000000000004</v>
      </c>
      <c r="L690" t="str">
        <f t="shared" si="76"/>
        <v>October</v>
      </c>
      <c r="M690">
        <f>YEAR(C690)</f>
        <v>2023</v>
      </c>
      <c r="N690">
        <v>80</v>
      </c>
      <c r="O690" t="str">
        <f>IF(N690&gt;=200,"Platinum",IF(N690&gt;=100,"Gold",IF(N690&gt;=50,"Silver","Regular")))</f>
        <v>Silver</v>
      </c>
      <c r="P690" s="4" t="str">
        <f t="shared" si="71"/>
        <v>Tuesday</v>
      </c>
      <c r="Q690" s="4" t="str">
        <f t="shared" si="72"/>
        <v>Medium Order</v>
      </c>
      <c r="R690" s="4" t="str">
        <f t="shared" si="73"/>
        <v>Weekday</v>
      </c>
      <c r="S690" s="4" t="str">
        <f t="shared" si="74"/>
        <v>Regular</v>
      </c>
    </row>
    <row r="691" spans="1:19" x14ac:dyDescent="0.3">
      <c r="A691">
        <v>9827</v>
      </c>
      <c r="B691" t="s">
        <v>20</v>
      </c>
      <c r="C691" s="1">
        <v>45275</v>
      </c>
      <c r="D691" t="s">
        <v>1</v>
      </c>
      <c r="E691" t="s">
        <v>21</v>
      </c>
      <c r="F691">
        <v>4</v>
      </c>
      <c r="G691">
        <v>12.6</v>
      </c>
      <c r="H691">
        <v>50.4</v>
      </c>
      <c r="I691" t="str">
        <f t="shared" si="70"/>
        <v>Medium</v>
      </c>
      <c r="J691">
        <v>7.56</v>
      </c>
      <c r="K691">
        <f t="shared" si="75"/>
        <v>42.839999999999996</v>
      </c>
      <c r="L691" t="str">
        <f t="shared" si="76"/>
        <v>December</v>
      </c>
      <c r="M691">
        <f>YEAR(C691)</f>
        <v>2023</v>
      </c>
      <c r="N691">
        <v>439</v>
      </c>
      <c r="O691" t="str">
        <f>IF(N691&gt;=200,"Platinum",IF(N691&gt;=100,"Gold",IF(N691&gt;=50,"Silver","Regular")))</f>
        <v>Platinum</v>
      </c>
      <c r="P691" s="4" t="str">
        <f t="shared" si="71"/>
        <v>Friday</v>
      </c>
      <c r="Q691" s="4" t="str">
        <f t="shared" si="72"/>
        <v>Medium Order</v>
      </c>
      <c r="R691" s="4" t="str">
        <f t="shared" si="73"/>
        <v>Weekday</v>
      </c>
      <c r="S691" s="4" t="str">
        <f t="shared" si="74"/>
        <v>Regular</v>
      </c>
    </row>
    <row r="692" spans="1:19" x14ac:dyDescent="0.3">
      <c r="A692">
        <v>4902</v>
      </c>
      <c r="B692" t="s">
        <v>31</v>
      </c>
      <c r="C692" s="1">
        <v>45471</v>
      </c>
      <c r="D692" t="s">
        <v>6</v>
      </c>
      <c r="E692" t="s">
        <v>26</v>
      </c>
      <c r="F692">
        <v>2</v>
      </c>
      <c r="G692">
        <v>26.7</v>
      </c>
      <c r="H692">
        <v>53.4</v>
      </c>
      <c r="I692" t="str">
        <f t="shared" si="70"/>
        <v>Medium</v>
      </c>
      <c r="J692">
        <v>8.01</v>
      </c>
      <c r="K692">
        <f t="shared" si="75"/>
        <v>45.39</v>
      </c>
      <c r="L692" t="str">
        <f t="shared" si="76"/>
        <v>June</v>
      </c>
      <c r="M692">
        <f>YEAR(C692)</f>
        <v>2024</v>
      </c>
      <c r="N692">
        <v>418</v>
      </c>
      <c r="O692" t="str">
        <f>IF(N692&gt;=200,"Platinum",IF(N692&gt;=100,"Gold",IF(N692&gt;=50,"Silver","Regular")))</f>
        <v>Platinum</v>
      </c>
      <c r="P692" s="4" t="str">
        <f t="shared" si="71"/>
        <v>Friday</v>
      </c>
      <c r="Q692" s="4" t="str">
        <f t="shared" si="72"/>
        <v>Small Order</v>
      </c>
      <c r="R692" s="4" t="str">
        <f t="shared" si="73"/>
        <v>Weekday</v>
      </c>
      <c r="S692" s="4" t="str">
        <f t="shared" si="74"/>
        <v>Regular</v>
      </c>
    </row>
    <row r="693" spans="1:19" x14ac:dyDescent="0.3">
      <c r="A693">
        <v>8847</v>
      </c>
      <c r="B693" t="s">
        <v>3</v>
      </c>
      <c r="C693" s="1">
        <v>45803</v>
      </c>
      <c r="D693" t="s">
        <v>23</v>
      </c>
      <c r="E693" t="s">
        <v>22</v>
      </c>
      <c r="F693">
        <v>5</v>
      </c>
      <c r="G693">
        <v>11.44</v>
      </c>
      <c r="H693">
        <v>57.2</v>
      </c>
      <c r="I693" t="str">
        <f t="shared" si="70"/>
        <v>Medium</v>
      </c>
      <c r="J693">
        <v>8.58</v>
      </c>
      <c r="K693">
        <f t="shared" si="75"/>
        <v>48.620000000000005</v>
      </c>
      <c r="L693" t="str">
        <f t="shared" si="76"/>
        <v>May</v>
      </c>
      <c r="M693">
        <f>YEAR(C693)</f>
        <v>2025</v>
      </c>
      <c r="N693">
        <v>18</v>
      </c>
      <c r="O693" t="str">
        <f>IF(N693&gt;=200,"Platinum",IF(N693&gt;=100,"Gold",IF(N693&gt;=50,"Silver","Regular")))</f>
        <v>Regular</v>
      </c>
      <c r="P693" s="4" t="str">
        <f t="shared" si="71"/>
        <v>Monday</v>
      </c>
      <c r="Q693" s="4" t="str">
        <f t="shared" si="72"/>
        <v>Medium Order</v>
      </c>
      <c r="R693" s="4" t="str">
        <f t="shared" si="73"/>
        <v>Weekday</v>
      </c>
      <c r="S693" s="4" t="str">
        <f t="shared" si="74"/>
        <v>Regular</v>
      </c>
    </row>
    <row r="694" spans="1:19" x14ac:dyDescent="0.3">
      <c r="A694">
        <v>3580</v>
      </c>
      <c r="B694" t="s">
        <v>31</v>
      </c>
      <c r="C694" s="1">
        <v>45697</v>
      </c>
      <c r="D694" t="s">
        <v>4</v>
      </c>
      <c r="E694" t="s">
        <v>36</v>
      </c>
      <c r="F694">
        <v>2</v>
      </c>
      <c r="G694">
        <v>28.8</v>
      </c>
      <c r="H694">
        <v>57.6</v>
      </c>
      <c r="I694" t="str">
        <f t="shared" si="70"/>
        <v>Medium</v>
      </c>
      <c r="J694">
        <v>8.64</v>
      </c>
      <c r="K694">
        <f t="shared" si="75"/>
        <v>48.96</v>
      </c>
      <c r="L694" t="str">
        <f t="shared" si="76"/>
        <v>February</v>
      </c>
      <c r="M694">
        <f>YEAR(C694)</f>
        <v>2025</v>
      </c>
      <c r="N694">
        <v>426</v>
      </c>
      <c r="O694" t="str">
        <f>IF(N694&gt;=200,"Platinum",IF(N694&gt;=100,"Gold",IF(N694&gt;=50,"Silver","Regular")))</f>
        <v>Platinum</v>
      </c>
      <c r="P694" s="4" t="str">
        <f t="shared" si="71"/>
        <v>Sunday</v>
      </c>
      <c r="Q694" s="4" t="str">
        <f t="shared" si="72"/>
        <v>Small Order</v>
      </c>
      <c r="R694" s="4" t="str">
        <f t="shared" si="73"/>
        <v>Weekend</v>
      </c>
      <c r="S694" s="4" t="str">
        <f t="shared" si="74"/>
        <v>Regular</v>
      </c>
    </row>
    <row r="695" spans="1:19" x14ac:dyDescent="0.3">
      <c r="A695">
        <v>5082</v>
      </c>
      <c r="B695" t="s">
        <v>19</v>
      </c>
      <c r="C695" s="1">
        <v>45857</v>
      </c>
      <c r="D695" t="s">
        <v>11</v>
      </c>
      <c r="E695" t="s">
        <v>35</v>
      </c>
      <c r="F695">
        <v>4</v>
      </c>
      <c r="G695">
        <v>14.5</v>
      </c>
      <c r="H695">
        <v>58</v>
      </c>
      <c r="I695" t="str">
        <f t="shared" si="70"/>
        <v>Medium</v>
      </c>
      <c r="J695">
        <v>8.6999999999999993</v>
      </c>
      <c r="K695">
        <f t="shared" si="75"/>
        <v>49.3</v>
      </c>
      <c r="L695" t="str">
        <f t="shared" si="76"/>
        <v>July</v>
      </c>
      <c r="M695">
        <f>YEAR(C695)</f>
        <v>2025</v>
      </c>
      <c r="N695">
        <v>411</v>
      </c>
      <c r="O695" t="str">
        <f>IF(N695&gt;=200,"Platinum",IF(N695&gt;=100,"Gold",IF(N695&gt;=50,"Silver","Regular")))</f>
        <v>Platinum</v>
      </c>
      <c r="P695" s="4" t="str">
        <f t="shared" si="71"/>
        <v>Saturday</v>
      </c>
      <c r="Q695" s="4" t="str">
        <f t="shared" si="72"/>
        <v>Medium Order</v>
      </c>
      <c r="R695" s="4" t="str">
        <f t="shared" si="73"/>
        <v>Weekend</v>
      </c>
      <c r="S695" s="4" t="str">
        <f t="shared" si="74"/>
        <v>Regular</v>
      </c>
    </row>
    <row r="696" spans="1:19" x14ac:dyDescent="0.3">
      <c r="A696">
        <v>9120</v>
      </c>
      <c r="B696" t="s">
        <v>20</v>
      </c>
      <c r="C696" s="1">
        <v>45181</v>
      </c>
      <c r="D696" t="s">
        <v>9</v>
      </c>
      <c r="E696" t="s">
        <v>26</v>
      </c>
      <c r="F696">
        <v>4</v>
      </c>
      <c r="G696">
        <v>15.3</v>
      </c>
      <c r="H696">
        <v>61.2</v>
      </c>
      <c r="I696" t="str">
        <f t="shared" si="70"/>
        <v>Medium</v>
      </c>
      <c r="J696">
        <v>9.18</v>
      </c>
      <c r="K696">
        <f t="shared" si="75"/>
        <v>52.02</v>
      </c>
      <c r="L696" t="str">
        <f t="shared" si="76"/>
        <v>September</v>
      </c>
      <c r="M696">
        <f>YEAR(C696)</f>
        <v>2023</v>
      </c>
      <c r="N696">
        <v>328</v>
      </c>
      <c r="O696" t="str">
        <f>IF(N696&gt;=200,"Platinum",IF(N696&gt;=100,"Gold",IF(N696&gt;=50,"Silver","Regular")))</f>
        <v>Platinum</v>
      </c>
      <c r="P696" s="4" t="str">
        <f t="shared" si="71"/>
        <v>Tuesday</v>
      </c>
      <c r="Q696" s="4" t="str">
        <f t="shared" si="72"/>
        <v>Medium Order</v>
      </c>
      <c r="R696" s="4" t="str">
        <f t="shared" si="73"/>
        <v>Weekday</v>
      </c>
      <c r="S696" s="4" t="str">
        <f t="shared" si="74"/>
        <v>Regular</v>
      </c>
    </row>
    <row r="697" spans="1:19" x14ac:dyDescent="0.3">
      <c r="A697">
        <v>7150</v>
      </c>
      <c r="B697" t="s">
        <v>31</v>
      </c>
      <c r="C697" s="1">
        <v>45480</v>
      </c>
      <c r="D697" t="s">
        <v>24</v>
      </c>
      <c r="E697" t="s">
        <v>5</v>
      </c>
      <c r="F697">
        <v>4</v>
      </c>
      <c r="G697">
        <v>16.100000000000001</v>
      </c>
      <c r="H697">
        <v>64.400000000000006</v>
      </c>
      <c r="I697" t="str">
        <f t="shared" si="70"/>
        <v>Medium</v>
      </c>
      <c r="J697">
        <v>9.66</v>
      </c>
      <c r="K697">
        <f t="shared" si="75"/>
        <v>54.740000000000009</v>
      </c>
      <c r="L697" t="str">
        <f t="shared" si="76"/>
        <v>July</v>
      </c>
      <c r="M697">
        <f>YEAR(C697)</f>
        <v>2024</v>
      </c>
      <c r="N697">
        <v>425</v>
      </c>
      <c r="O697" t="str">
        <f>IF(N697&gt;=200,"Platinum",IF(N697&gt;=100,"Gold",IF(N697&gt;=50,"Silver","Regular")))</f>
        <v>Platinum</v>
      </c>
      <c r="P697" s="4" t="str">
        <f t="shared" si="71"/>
        <v>Sunday</v>
      </c>
      <c r="Q697" s="4" t="str">
        <f t="shared" si="72"/>
        <v>Medium Order</v>
      </c>
      <c r="R697" s="4" t="str">
        <f t="shared" si="73"/>
        <v>Weekend</v>
      </c>
      <c r="S697" s="4" t="str">
        <f t="shared" si="74"/>
        <v>Regular</v>
      </c>
    </row>
    <row r="698" spans="1:19" x14ac:dyDescent="0.3">
      <c r="A698">
        <v>8344</v>
      </c>
      <c r="B698" t="s">
        <v>3</v>
      </c>
      <c r="C698" s="1">
        <v>45749</v>
      </c>
      <c r="D698" t="s">
        <v>17</v>
      </c>
      <c r="E698" t="s">
        <v>18</v>
      </c>
      <c r="F698">
        <v>4</v>
      </c>
      <c r="G698">
        <v>16.95</v>
      </c>
      <c r="H698">
        <v>67.8</v>
      </c>
      <c r="I698" t="str">
        <f t="shared" si="70"/>
        <v>High</v>
      </c>
      <c r="J698">
        <v>10.17</v>
      </c>
      <c r="K698">
        <f t="shared" si="75"/>
        <v>57.629999999999995</v>
      </c>
      <c r="L698" t="str">
        <f t="shared" si="76"/>
        <v>April</v>
      </c>
      <c r="M698">
        <f>YEAR(C698)</f>
        <v>2025</v>
      </c>
      <c r="N698">
        <v>22</v>
      </c>
      <c r="O698" t="str">
        <f>IF(N698&gt;=200,"Platinum",IF(N698&gt;=100,"Gold",IF(N698&gt;=50,"Silver","Regular")))</f>
        <v>Regular</v>
      </c>
      <c r="P698" s="4" t="str">
        <f t="shared" si="71"/>
        <v>Wednesday</v>
      </c>
      <c r="Q698" s="4" t="str">
        <f t="shared" si="72"/>
        <v>Medium Order</v>
      </c>
      <c r="R698" s="4" t="str">
        <f t="shared" si="73"/>
        <v>Weekday</v>
      </c>
      <c r="S698" s="4" t="str">
        <f t="shared" si="74"/>
        <v>Regular</v>
      </c>
    </row>
    <row r="699" spans="1:19" x14ac:dyDescent="0.3">
      <c r="A699">
        <v>7049</v>
      </c>
      <c r="B699" t="s">
        <v>19</v>
      </c>
      <c r="C699" s="1">
        <v>45597</v>
      </c>
      <c r="D699" t="s">
        <v>27</v>
      </c>
      <c r="E699" t="s">
        <v>21</v>
      </c>
      <c r="F699">
        <v>5</v>
      </c>
      <c r="G699">
        <v>14.72</v>
      </c>
      <c r="H699">
        <v>73.599999999999994</v>
      </c>
      <c r="I699" t="str">
        <f t="shared" si="70"/>
        <v>High</v>
      </c>
      <c r="J699">
        <v>11.04</v>
      </c>
      <c r="K699">
        <f t="shared" si="75"/>
        <v>62.559999999999995</v>
      </c>
      <c r="L699" t="str">
        <f t="shared" si="76"/>
        <v>November</v>
      </c>
      <c r="M699">
        <f>YEAR(C699)</f>
        <v>2024</v>
      </c>
      <c r="N699">
        <v>18</v>
      </c>
      <c r="O699" t="str">
        <f>IF(N699&gt;=200,"Platinum",IF(N699&gt;=100,"Gold",IF(N699&gt;=50,"Silver","Regular")))</f>
        <v>Regular</v>
      </c>
      <c r="P699" s="4" t="str">
        <f t="shared" si="71"/>
        <v>Friday</v>
      </c>
      <c r="Q699" s="4" t="str">
        <f t="shared" si="72"/>
        <v>Medium Order</v>
      </c>
      <c r="R699" s="4" t="str">
        <f t="shared" si="73"/>
        <v>Weekday</v>
      </c>
      <c r="S699" s="4" t="str">
        <f t="shared" si="74"/>
        <v>Regular</v>
      </c>
    </row>
    <row r="700" spans="1:19" x14ac:dyDescent="0.3">
      <c r="A700">
        <v>9793</v>
      </c>
      <c r="B700" t="s">
        <v>15</v>
      </c>
      <c r="C700" s="1">
        <v>45151</v>
      </c>
      <c r="D700" t="s">
        <v>16</v>
      </c>
      <c r="E700" t="s">
        <v>33</v>
      </c>
      <c r="F700">
        <v>3</v>
      </c>
      <c r="G700">
        <v>26</v>
      </c>
      <c r="H700">
        <v>78</v>
      </c>
      <c r="I700" t="str">
        <f t="shared" si="70"/>
        <v>High</v>
      </c>
      <c r="J700">
        <v>11.7</v>
      </c>
      <c r="K700">
        <f t="shared" si="75"/>
        <v>66.3</v>
      </c>
      <c r="L700" t="str">
        <f t="shared" si="76"/>
        <v>August</v>
      </c>
      <c r="M700">
        <f>YEAR(C700)</f>
        <v>2023</v>
      </c>
      <c r="N700">
        <v>246</v>
      </c>
      <c r="O700" t="str">
        <f>IF(N700&gt;=200,"Platinum",IF(N700&gt;=100,"Gold",IF(N700&gt;=50,"Silver","Regular")))</f>
        <v>Platinum</v>
      </c>
      <c r="P700" s="4" t="str">
        <f t="shared" si="71"/>
        <v>Sunday</v>
      </c>
      <c r="Q700" s="4" t="str">
        <f t="shared" si="72"/>
        <v>Medium Order</v>
      </c>
      <c r="R700" s="4" t="str">
        <f t="shared" si="73"/>
        <v>Weekend</v>
      </c>
      <c r="S700" s="4" t="str">
        <f t="shared" si="74"/>
        <v>Regular</v>
      </c>
    </row>
    <row r="701" spans="1:19" x14ac:dyDescent="0.3">
      <c r="A701">
        <v>6147</v>
      </c>
      <c r="B701" t="s">
        <v>20</v>
      </c>
      <c r="C701" s="1">
        <v>45330</v>
      </c>
      <c r="D701" t="s">
        <v>1</v>
      </c>
      <c r="E701" t="s">
        <v>33</v>
      </c>
      <c r="F701">
        <v>3</v>
      </c>
      <c r="G701">
        <v>28.4</v>
      </c>
      <c r="H701">
        <v>85.2</v>
      </c>
      <c r="I701" t="str">
        <f t="shared" si="70"/>
        <v>High</v>
      </c>
      <c r="J701">
        <v>12.78</v>
      </c>
      <c r="K701">
        <f t="shared" si="75"/>
        <v>72.42</v>
      </c>
      <c r="L701" t="str">
        <f t="shared" si="76"/>
        <v>February</v>
      </c>
      <c r="M701">
        <f>YEAR(C701)</f>
        <v>2024</v>
      </c>
      <c r="N701">
        <v>392</v>
      </c>
      <c r="O701" t="str">
        <f>IF(N701&gt;=200,"Platinum",IF(N701&gt;=100,"Gold",IF(N701&gt;=50,"Silver","Regular")))</f>
        <v>Platinum</v>
      </c>
      <c r="P701" s="4" t="str">
        <f t="shared" si="71"/>
        <v>Thursday</v>
      </c>
      <c r="Q701" s="4" t="str">
        <f t="shared" si="72"/>
        <v>Medium Order</v>
      </c>
      <c r="R701" s="4" t="str">
        <f t="shared" si="73"/>
        <v>Weekday</v>
      </c>
      <c r="S701" s="4" t="str">
        <f t="shared" si="74"/>
        <v>Regular</v>
      </c>
    </row>
    <row r="702" spans="1:19" x14ac:dyDescent="0.3">
      <c r="A702">
        <v>4048</v>
      </c>
      <c r="B702" t="s">
        <v>3</v>
      </c>
      <c r="C702" s="1">
        <v>45532</v>
      </c>
      <c r="D702" t="s">
        <v>11</v>
      </c>
      <c r="E702" t="s">
        <v>10</v>
      </c>
      <c r="F702">
        <v>3</v>
      </c>
      <c r="G702">
        <v>29.4</v>
      </c>
      <c r="H702">
        <v>88.2</v>
      </c>
      <c r="I702" t="str">
        <f t="shared" si="70"/>
        <v>High</v>
      </c>
      <c r="J702">
        <v>13.23</v>
      </c>
      <c r="K702">
        <f t="shared" si="75"/>
        <v>74.97</v>
      </c>
      <c r="L702" t="str">
        <f t="shared" si="76"/>
        <v>August</v>
      </c>
      <c r="M702">
        <f>YEAR(C702)</f>
        <v>2024</v>
      </c>
      <c r="N702">
        <v>362</v>
      </c>
      <c r="O702" t="str">
        <f>IF(N702&gt;=200,"Platinum",IF(N702&gt;=100,"Gold",IF(N702&gt;=50,"Silver","Regular")))</f>
        <v>Platinum</v>
      </c>
      <c r="P702" s="4" t="str">
        <f t="shared" si="71"/>
        <v>Wednesday</v>
      </c>
      <c r="Q702" s="4" t="str">
        <f t="shared" si="72"/>
        <v>Medium Order</v>
      </c>
      <c r="R702" s="4" t="str">
        <f t="shared" si="73"/>
        <v>Weekday</v>
      </c>
      <c r="S702" s="4" t="str">
        <f t="shared" si="74"/>
        <v>Regular</v>
      </c>
    </row>
    <row r="703" spans="1:19" x14ac:dyDescent="0.3">
      <c r="A703">
        <v>8811</v>
      </c>
      <c r="B703" t="s">
        <v>25</v>
      </c>
      <c r="C703" s="1">
        <v>45535</v>
      </c>
      <c r="D703" t="s">
        <v>34</v>
      </c>
      <c r="E703" t="s">
        <v>21</v>
      </c>
      <c r="F703">
        <v>4</v>
      </c>
      <c r="G703">
        <v>22.15</v>
      </c>
      <c r="H703">
        <v>88.6</v>
      </c>
      <c r="I703" t="str">
        <f t="shared" si="70"/>
        <v>High</v>
      </c>
      <c r="J703">
        <v>13.29</v>
      </c>
      <c r="K703">
        <f t="shared" si="75"/>
        <v>75.31</v>
      </c>
      <c r="L703" t="str">
        <f t="shared" si="76"/>
        <v>August</v>
      </c>
      <c r="M703">
        <f>YEAR(C703)</f>
        <v>2024</v>
      </c>
      <c r="N703">
        <v>160</v>
      </c>
      <c r="O703" t="str">
        <f>IF(N703&gt;=200,"Platinum",IF(N703&gt;=100,"Gold",IF(N703&gt;=50,"Silver","Regular")))</f>
        <v>Gold</v>
      </c>
      <c r="P703" s="4" t="str">
        <f t="shared" si="71"/>
        <v>Saturday</v>
      </c>
      <c r="Q703" s="4" t="str">
        <f t="shared" si="72"/>
        <v>Medium Order</v>
      </c>
      <c r="R703" s="4" t="str">
        <f t="shared" si="73"/>
        <v>Weekend</v>
      </c>
      <c r="S703" s="4" t="str">
        <f t="shared" si="74"/>
        <v>Regular</v>
      </c>
    </row>
    <row r="704" spans="1:19" x14ac:dyDescent="0.3">
      <c r="A704">
        <v>9515</v>
      </c>
      <c r="B704" t="s">
        <v>31</v>
      </c>
      <c r="C704" s="1">
        <v>45465</v>
      </c>
      <c r="D704" t="s">
        <v>16</v>
      </c>
      <c r="E704" t="s">
        <v>33</v>
      </c>
      <c r="F704">
        <v>4</v>
      </c>
      <c r="G704">
        <v>22.5</v>
      </c>
      <c r="H704">
        <v>90</v>
      </c>
      <c r="I704" t="str">
        <f t="shared" si="70"/>
        <v>High</v>
      </c>
      <c r="J704">
        <v>13.5</v>
      </c>
      <c r="K704">
        <f t="shared" si="75"/>
        <v>76.5</v>
      </c>
      <c r="L704" t="str">
        <f t="shared" si="76"/>
        <v>June</v>
      </c>
      <c r="M704">
        <f>YEAR(C704)</f>
        <v>2024</v>
      </c>
      <c r="N704">
        <v>190</v>
      </c>
      <c r="O704" t="str">
        <f>IF(N704&gt;=200,"Platinum",IF(N704&gt;=100,"Gold",IF(N704&gt;=50,"Silver","Regular")))</f>
        <v>Gold</v>
      </c>
      <c r="P704" s="4" t="str">
        <f t="shared" si="71"/>
        <v>Saturday</v>
      </c>
      <c r="Q704" s="4" t="str">
        <f t="shared" si="72"/>
        <v>Medium Order</v>
      </c>
      <c r="R704" s="4" t="str">
        <f t="shared" si="73"/>
        <v>Weekend</v>
      </c>
      <c r="S704" s="4" t="str">
        <f t="shared" si="74"/>
        <v>Regular</v>
      </c>
    </row>
    <row r="705" spans="1:19" x14ac:dyDescent="0.3">
      <c r="A705">
        <v>4929</v>
      </c>
      <c r="B705" t="s">
        <v>3</v>
      </c>
      <c r="C705" s="1">
        <v>45280</v>
      </c>
      <c r="D705" t="s">
        <v>16</v>
      </c>
      <c r="E705" t="s">
        <v>12</v>
      </c>
      <c r="F705">
        <v>5</v>
      </c>
      <c r="G705">
        <v>19.760000000000002</v>
      </c>
      <c r="H705">
        <v>98.8</v>
      </c>
      <c r="I705" t="str">
        <f t="shared" si="70"/>
        <v>High</v>
      </c>
      <c r="J705">
        <v>14.82</v>
      </c>
      <c r="K705">
        <f t="shared" si="75"/>
        <v>83.97999999999999</v>
      </c>
      <c r="L705" t="str">
        <f t="shared" si="76"/>
        <v>December</v>
      </c>
      <c r="M705">
        <f>YEAR(C705)</f>
        <v>2023</v>
      </c>
      <c r="N705">
        <v>311</v>
      </c>
      <c r="O705" t="str">
        <f>IF(N705&gt;=200,"Platinum",IF(N705&gt;=100,"Gold",IF(N705&gt;=50,"Silver","Regular")))</f>
        <v>Platinum</v>
      </c>
      <c r="P705" s="4" t="str">
        <f t="shared" si="71"/>
        <v>Wednesday</v>
      </c>
      <c r="Q705" s="4" t="str">
        <f t="shared" si="72"/>
        <v>Medium Order</v>
      </c>
      <c r="R705" s="4" t="str">
        <f t="shared" si="73"/>
        <v>Weekday</v>
      </c>
      <c r="S705" s="4" t="str">
        <f t="shared" si="74"/>
        <v>Regular</v>
      </c>
    </row>
    <row r="706" spans="1:19" x14ac:dyDescent="0.3">
      <c r="A706">
        <v>1919</v>
      </c>
      <c r="B706" t="s">
        <v>49</v>
      </c>
      <c r="C706" s="1">
        <v>45372</v>
      </c>
      <c r="D706" t="s">
        <v>6</v>
      </c>
      <c r="E706" t="s">
        <v>33</v>
      </c>
      <c r="F706">
        <v>4</v>
      </c>
      <c r="G706">
        <v>27.95</v>
      </c>
      <c r="H706">
        <v>111.8</v>
      </c>
      <c r="I706" t="str">
        <f t="shared" ref="I706:I769" si="77">IF(J706=0,"No Discount",IF(J706&lt;=5,"Low",IF(J706&lt;=10,"Medium",IF(J706&lt;=20,"High","Very High"))))</f>
        <v>High</v>
      </c>
      <c r="J706">
        <v>16.77</v>
      </c>
      <c r="K706">
        <f t="shared" si="75"/>
        <v>95.03</v>
      </c>
      <c r="L706" t="str">
        <f t="shared" si="76"/>
        <v>March</v>
      </c>
      <c r="M706">
        <f>YEAR(C706)</f>
        <v>2024</v>
      </c>
      <c r="N706">
        <v>294</v>
      </c>
      <c r="O706" t="str">
        <f>IF(N706&gt;=200,"Platinum",IF(N706&gt;=100,"Gold",IF(N706&gt;=50,"Silver","Regular")))</f>
        <v>Platinum</v>
      </c>
      <c r="P706" s="4" t="str">
        <f t="shared" ref="P706:P769" si="78">TEXT(C706,"dddd")</f>
        <v>Thursday</v>
      </c>
      <c r="Q706" s="4" t="str">
        <f t="shared" ref="Q706:Q769" si="79">IF(F706&lt;=2,"Small Order",IF(F706&lt;=5,"Medium Order",IF(F706&lt;=10,"Large Order","Bulk Order")))</f>
        <v>Medium Order</v>
      </c>
      <c r="R706" s="4" t="str">
        <f t="shared" ref="R706:R769" si="80">IF(WEEKDAY(C706,2)&gt;5,"Weekend","Weekday")</f>
        <v>Weekday</v>
      </c>
      <c r="S706" s="4" t="str">
        <f t="shared" ref="S706:S769" si="81">IF(K706&gt;=100,"High Value","Regular")</f>
        <v>Regular</v>
      </c>
    </row>
    <row r="707" spans="1:19" x14ac:dyDescent="0.3">
      <c r="A707">
        <v>7246</v>
      </c>
      <c r="B707" t="s">
        <v>0</v>
      </c>
      <c r="C707" s="1">
        <v>45444</v>
      </c>
      <c r="D707" t="s">
        <v>27</v>
      </c>
      <c r="E707" t="s">
        <v>2</v>
      </c>
      <c r="F707">
        <v>4</v>
      </c>
      <c r="G707">
        <v>29.2</v>
      </c>
      <c r="H707">
        <v>116.8</v>
      </c>
      <c r="I707" t="str">
        <f t="shared" si="77"/>
        <v>High</v>
      </c>
      <c r="J707">
        <v>17.52</v>
      </c>
      <c r="K707">
        <f t="shared" ref="K707:K770" si="82">MAX(0,H707-J707)</f>
        <v>99.28</v>
      </c>
      <c r="L707" t="str">
        <f t="shared" ref="L707:L770" si="83">TEXT(C707,"mmmm")</f>
        <v>June</v>
      </c>
      <c r="M707">
        <f>YEAR(C707)</f>
        <v>2024</v>
      </c>
      <c r="N707">
        <v>114</v>
      </c>
      <c r="O707" t="str">
        <f>IF(N707&gt;=200,"Platinum",IF(N707&gt;=100,"Gold",IF(N707&gt;=50,"Silver","Regular")))</f>
        <v>Gold</v>
      </c>
      <c r="P707" s="4" t="str">
        <f t="shared" si="78"/>
        <v>Saturday</v>
      </c>
      <c r="Q707" s="4" t="str">
        <f t="shared" si="79"/>
        <v>Medium Order</v>
      </c>
      <c r="R707" s="4" t="str">
        <f t="shared" si="80"/>
        <v>Weekend</v>
      </c>
      <c r="S707" s="4" t="str">
        <f t="shared" si="81"/>
        <v>Regular</v>
      </c>
    </row>
    <row r="708" spans="1:19" x14ac:dyDescent="0.3">
      <c r="A708">
        <v>4006</v>
      </c>
      <c r="B708" t="s">
        <v>3</v>
      </c>
      <c r="C708" s="1">
        <v>45361</v>
      </c>
      <c r="D708" t="s">
        <v>11</v>
      </c>
      <c r="E708" t="s">
        <v>35</v>
      </c>
      <c r="F708">
        <v>5</v>
      </c>
      <c r="G708">
        <v>27.48</v>
      </c>
      <c r="H708">
        <v>137.4</v>
      </c>
      <c r="I708" t="str">
        <f t="shared" si="77"/>
        <v>Very High</v>
      </c>
      <c r="J708">
        <v>20.61</v>
      </c>
      <c r="K708">
        <f t="shared" si="82"/>
        <v>116.79</v>
      </c>
      <c r="L708" t="str">
        <f t="shared" si="83"/>
        <v>March</v>
      </c>
      <c r="M708">
        <f>YEAR(C708)</f>
        <v>2024</v>
      </c>
      <c r="N708">
        <v>425</v>
      </c>
      <c r="O708" t="str">
        <f>IF(N708&gt;=200,"Platinum",IF(N708&gt;=100,"Gold",IF(N708&gt;=50,"Silver","Regular")))</f>
        <v>Platinum</v>
      </c>
      <c r="P708" s="4" t="str">
        <f t="shared" si="78"/>
        <v>Sunday</v>
      </c>
      <c r="Q708" s="4" t="str">
        <f t="shared" si="79"/>
        <v>Medium Order</v>
      </c>
      <c r="R708" s="4" t="str">
        <f t="shared" si="80"/>
        <v>Weekend</v>
      </c>
      <c r="S708" s="4" t="str">
        <f t="shared" si="81"/>
        <v>High Value</v>
      </c>
    </row>
    <row r="709" spans="1:19" x14ac:dyDescent="0.3">
      <c r="A709">
        <v>2773</v>
      </c>
      <c r="B709" t="s">
        <v>25</v>
      </c>
      <c r="C709" s="1">
        <v>45416</v>
      </c>
      <c r="D709" t="s">
        <v>4</v>
      </c>
      <c r="E709" t="s">
        <v>28</v>
      </c>
      <c r="F709">
        <v>5</v>
      </c>
      <c r="G709">
        <v>29.6</v>
      </c>
      <c r="H709">
        <v>148</v>
      </c>
      <c r="I709" t="str">
        <f t="shared" si="77"/>
        <v>Very High</v>
      </c>
      <c r="J709">
        <v>22.2</v>
      </c>
      <c r="K709">
        <f t="shared" si="82"/>
        <v>125.8</v>
      </c>
      <c r="L709" t="str">
        <f t="shared" si="83"/>
        <v>May</v>
      </c>
      <c r="M709">
        <f>YEAR(C709)</f>
        <v>2024</v>
      </c>
      <c r="N709">
        <v>206</v>
      </c>
      <c r="O709" t="str">
        <f>IF(N709&gt;=200,"Platinum",IF(N709&gt;=100,"Gold",IF(N709&gt;=50,"Silver","Regular")))</f>
        <v>Platinum</v>
      </c>
      <c r="P709" s="4" t="str">
        <f t="shared" si="78"/>
        <v>Saturday</v>
      </c>
      <c r="Q709" s="4" t="str">
        <f t="shared" si="79"/>
        <v>Medium Order</v>
      </c>
      <c r="R709" s="4" t="str">
        <f t="shared" si="80"/>
        <v>Weekend</v>
      </c>
      <c r="S709" s="4" t="str">
        <f t="shared" si="81"/>
        <v>High Value</v>
      </c>
    </row>
    <row r="710" spans="1:19" x14ac:dyDescent="0.3">
      <c r="A710">
        <v>1647</v>
      </c>
      <c r="B710" t="s">
        <v>15</v>
      </c>
      <c r="C710" s="1">
        <v>45823</v>
      </c>
      <c r="D710" t="s">
        <v>23</v>
      </c>
      <c r="E710" t="s">
        <v>28</v>
      </c>
      <c r="F710">
        <v>4</v>
      </c>
      <c r="G710">
        <v>13.4</v>
      </c>
      <c r="H710">
        <v>53.6</v>
      </c>
      <c r="I710" t="str">
        <f t="shared" si="77"/>
        <v>Medium</v>
      </c>
      <c r="J710">
        <v>8.0399999999999991</v>
      </c>
      <c r="K710">
        <f t="shared" si="82"/>
        <v>45.56</v>
      </c>
      <c r="L710" t="str">
        <f t="shared" si="83"/>
        <v>June</v>
      </c>
      <c r="M710">
        <f>YEAR(C710)</f>
        <v>2025</v>
      </c>
      <c r="N710">
        <v>10</v>
      </c>
      <c r="O710" t="str">
        <f>IF(N710&gt;=200,"Platinum",IF(N710&gt;=100,"Gold",IF(N710&gt;=50,"Silver","Regular")))</f>
        <v>Regular</v>
      </c>
      <c r="P710" s="4" t="str">
        <f t="shared" si="78"/>
        <v>Sunday</v>
      </c>
      <c r="Q710" s="4" t="str">
        <f t="shared" si="79"/>
        <v>Medium Order</v>
      </c>
      <c r="R710" s="4" t="str">
        <f t="shared" si="80"/>
        <v>Weekend</v>
      </c>
      <c r="S710" s="4" t="str">
        <f t="shared" si="81"/>
        <v>Regular</v>
      </c>
    </row>
    <row r="711" spans="1:19" x14ac:dyDescent="0.3">
      <c r="A711">
        <v>6455</v>
      </c>
      <c r="B711" t="s">
        <v>25</v>
      </c>
      <c r="C711" s="1">
        <v>45380</v>
      </c>
      <c r="D711" t="s">
        <v>34</v>
      </c>
      <c r="E711" t="s">
        <v>36</v>
      </c>
      <c r="F711">
        <v>3</v>
      </c>
      <c r="G711">
        <v>29.69</v>
      </c>
      <c r="H711">
        <v>89.07</v>
      </c>
      <c r="I711" t="str">
        <f t="shared" si="77"/>
        <v>High</v>
      </c>
      <c r="J711">
        <v>13.36</v>
      </c>
      <c r="K711">
        <f t="shared" si="82"/>
        <v>75.709999999999994</v>
      </c>
      <c r="L711" t="str">
        <f t="shared" si="83"/>
        <v>March</v>
      </c>
      <c r="M711">
        <f>YEAR(C711)</f>
        <v>2024</v>
      </c>
      <c r="N711">
        <v>131</v>
      </c>
      <c r="O711" t="str">
        <f>IF(N711&gt;=200,"Platinum",IF(N711&gt;=100,"Gold",IF(N711&gt;=50,"Silver","Regular")))</f>
        <v>Gold</v>
      </c>
      <c r="P711" s="4" t="str">
        <f t="shared" si="78"/>
        <v>Friday</v>
      </c>
      <c r="Q711" s="4" t="str">
        <f t="shared" si="79"/>
        <v>Medium Order</v>
      </c>
      <c r="R711" s="4" t="str">
        <f t="shared" si="80"/>
        <v>Weekday</v>
      </c>
      <c r="S711" s="4" t="str">
        <f t="shared" si="81"/>
        <v>Regular</v>
      </c>
    </row>
    <row r="712" spans="1:19" x14ac:dyDescent="0.3">
      <c r="A712">
        <v>9056</v>
      </c>
      <c r="B712" t="s">
        <v>3</v>
      </c>
      <c r="C712" s="1">
        <v>45467</v>
      </c>
      <c r="D712" t="s">
        <v>34</v>
      </c>
      <c r="E712" t="s">
        <v>37</v>
      </c>
      <c r="F712">
        <v>3</v>
      </c>
      <c r="G712">
        <v>27.89</v>
      </c>
      <c r="H712">
        <v>83.67</v>
      </c>
      <c r="I712" t="str">
        <f t="shared" si="77"/>
        <v>High</v>
      </c>
      <c r="J712">
        <v>12.55</v>
      </c>
      <c r="K712">
        <f t="shared" si="82"/>
        <v>71.12</v>
      </c>
      <c r="L712" t="str">
        <f t="shared" si="83"/>
        <v>June</v>
      </c>
      <c r="M712">
        <f>YEAR(C712)</f>
        <v>2024</v>
      </c>
      <c r="N712">
        <v>107</v>
      </c>
      <c r="O712" t="str">
        <f>IF(N712&gt;=200,"Platinum",IF(N712&gt;=100,"Gold",IF(N712&gt;=50,"Silver","Regular")))</f>
        <v>Gold</v>
      </c>
      <c r="P712" s="4" t="str">
        <f t="shared" si="78"/>
        <v>Monday</v>
      </c>
      <c r="Q712" s="4" t="str">
        <f t="shared" si="79"/>
        <v>Medium Order</v>
      </c>
      <c r="R712" s="4" t="str">
        <f t="shared" si="80"/>
        <v>Weekday</v>
      </c>
      <c r="S712" s="4" t="str">
        <f t="shared" si="81"/>
        <v>Regular</v>
      </c>
    </row>
    <row r="713" spans="1:19" x14ac:dyDescent="0.3">
      <c r="A713">
        <v>4258</v>
      </c>
      <c r="B713" t="s">
        <v>13</v>
      </c>
      <c r="C713" s="1">
        <v>45263</v>
      </c>
      <c r="D713" t="s">
        <v>17</v>
      </c>
      <c r="E713" t="s">
        <v>2</v>
      </c>
      <c r="F713">
        <v>3</v>
      </c>
      <c r="G713">
        <v>25.69</v>
      </c>
      <c r="H713">
        <v>77.069999999999993</v>
      </c>
      <c r="I713" t="str">
        <f t="shared" si="77"/>
        <v>High</v>
      </c>
      <c r="J713">
        <v>11.56</v>
      </c>
      <c r="K713">
        <f t="shared" si="82"/>
        <v>65.509999999999991</v>
      </c>
      <c r="L713" t="str">
        <f t="shared" si="83"/>
        <v>December</v>
      </c>
      <c r="M713">
        <f>YEAR(C713)</f>
        <v>2023</v>
      </c>
      <c r="N713">
        <v>425</v>
      </c>
      <c r="O713" t="str">
        <f>IF(N713&gt;=200,"Platinum",IF(N713&gt;=100,"Gold",IF(N713&gt;=50,"Silver","Regular")))</f>
        <v>Platinum</v>
      </c>
      <c r="P713" s="4" t="str">
        <f t="shared" si="78"/>
        <v>Sunday</v>
      </c>
      <c r="Q713" s="4" t="str">
        <f t="shared" si="79"/>
        <v>Medium Order</v>
      </c>
      <c r="R713" s="4" t="str">
        <f t="shared" si="80"/>
        <v>Weekend</v>
      </c>
      <c r="S713" s="4" t="str">
        <f t="shared" si="81"/>
        <v>Regular</v>
      </c>
    </row>
    <row r="714" spans="1:19" x14ac:dyDescent="0.3">
      <c r="A714">
        <v>2320</v>
      </c>
      <c r="B714" t="s">
        <v>19</v>
      </c>
      <c r="C714" s="1">
        <v>45652</v>
      </c>
      <c r="D714" t="s">
        <v>17</v>
      </c>
      <c r="E714" t="s">
        <v>21</v>
      </c>
      <c r="F714">
        <v>3</v>
      </c>
      <c r="G714">
        <v>24.98</v>
      </c>
      <c r="H714">
        <v>74.94</v>
      </c>
      <c r="I714" t="str">
        <f t="shared" si="77"/>
        <v>High</v>
      </c>
      <c r="J714">
        <v>11.24</v>
      </c>
      <c r="K714">
        <f t="shared" si="82"/>
        <v>63.699999999999996</v>
      </c>
      <c r="L714" t="str">
        <f t="shared" si="83"/>
        <v>December</v>
      </c>
      <c r="M714">
        <f>YEAR(C714)</f>
        <v>2024</v>
      </c>
      <c r="N714">
        <v>43</v>
      </c>
      <c r="O714" t="str">
        <f>IF(N714&gt;=200,"Platinum",IF(N714&gt;=100,"Gold",IF(N714&gt;=50,"Silver","Regular")))</f>
        <v>Regular</v>
      </c>
      <c r="P714" s="4" t="str">
        <f t="shared" si="78"/>
        <v>Thursday</v>
      </c>
      <c r="Q714" s="4" t="str">
        <f t="shared" si="79"/>
        <v>Medium Order</v>
      </c>
      <c r="R714" s="4" t="str">
        <f t="shared" si="80"/>
        <v>Weekday</v>
      </c>
      <c r="S714" s="4" t="str">
        <f t="shared" si="81"/>
        <v>Regular</v>
      </c>
    </row>
    <row r="715" spans="1:19" x14ac:dyDescent="0.3">
      <c r="A715">
        <v>8037</v>
      </c>
      <c r="B715" t="s">
        <v>13</v>
      </c>
      <c r="C715" s="1">
        <v>45447</v>
      </c>
      <c r="D715" t="s">
        <v>27</v>
      </c>
      <c r="E715" t="s">
        <v>5</v>
      </c>
      <c r="F715">
        <v>3</v>
      </c>
      <c r="G715">
        <v>22.78</v>
      </c>
      <c r="H715">
        <v>68.34</v>
      </c>
      <c r="I715" t="str">
        <f t="shared" si="77"/>
        <v>High</v>
      </c>
      <c r="J715">
        <v>10.25</v>
      </c>
      <c r="K715">
        <f t="shared" si="82"/>
        <v>58.09</v>
      </c>
      <c r="L715" t="str">
        <f t="shared" si="83"/>
        <v>June</v>
      </c>
      <c r="M715">
        <f>YEAR(C715)</f>
        <v>2024</v>
      </c>
      <c r="N715">
        <v>214</v>
      </c>
      <c r="O715" t="str">
        <f>IF(N715&gt;=200,"Platinum",IF(N715&gt;=100,"Gold",IF(N715&gt;=50,"Silver","Regular")))</f>
        <v>Platinum</v>
      </c>
      <c r="P715" s="4" t="str">
        <f t="shared" si="78"/>
        <v>Tuesday</v>
      </c>
      <c r="Q715" s="4" t="str">
        <f t="shared" si="79"/>
        <v>Medium Order</v>
      </c>
      <c r="R715" s="4" t="str">
        <f t="shared" si="80"/>
        <v>Weekday</v>
      </c>
      <c r="S715" s="4" t="str">
        <f t="shared" si="81"/>
        <v>Regular</v>
      </c>
    </row>
    <row r="716" spans="1:19" x14ac:dyDescent="0.3">
      <c r="A716">
        <v>6050</v>
      </c>
      <c r="B716" t="s">
        <v>13</v>
      </c>
      <c r="C716" s="1">
        <v>45490</v>
      </c>
      <c r="D716" t="s">
        <v>4</v>
      </c>
      <c r="E716" t="s">
        <v>18</v>
      </c>
      <c r="F716">
        <v>4</v>
      </c>
      <c r="G716">
        <v>28.72</v>
      </c>
      <c r="H716">
        <v>114.88</v>
      </c>
      <c r="I716" t="str">
        <f t="shared" si="77"/>
        <v>High</v>
      </c>
      <c r="J716">
        <v>17.23</v>
      </c>
      <c r="K716">
        <f t="shared" si="82"/>
        <v>97.649999999999991</v>
      </c>
      <c r="L716" t="str">
        <f t="shared" si="83"/>
        <v>July</v>
      </c>
      <c r="M716">
        <f>YEAR(C716)</f>
        <v>2024</v>
      </c>
      <c r="N716">
        <v>338</v>
      </c>
      <c r="O716" t="str">
        <f>IF(N716&gt;=200,"Platinum",IF(N716&gt;=100,"Gold",IF(N716&gt;=50,"Silver","Regular")))</f>
        <v>Platinum</v>
      </c>
      <c r="P716" s="4" t="str">
        <f t="shared" si="78"/>
        <v>Wednesday</v>
      </c>
      <c r="Q716" s="4" t="str">
        <f t="shared" si="79"/>
        <v>Medium Order</v>
      </c>
      <c r="R716" s="4" t="str">
        <f t="shared" si="80"/>
        <v>Weekday</v>
      </c>
      <c r="S716" s="4" t="str">
        <f t="shared" si="81"/>
        <v>Regular</v>
      </c>
    </row>
    <row r="717" spans="1:19" x14ac:dyDescent="0.3">
      <c r="A717">
        <v>6155</v>
      </c>
      <c r="B717" t="s">
        <v>20</v>
      </c>
      <c r="C717" s="1">
        <v>45310</v>
      </c>
      <c r="D717" t="s">
        <v>9</v>
      </c>
      <c r="E717" t="s">
        <v>28</v>
      </c>
      <c r="F717">
        <v>5</v>
      </c>
      <c r="G717">
        <v>27.83</v>
      </c>
      <c r="H717">
        <v>139.15</v>
      </c>
      <c r="I717" t="str">
        <f t="shared" si="77"/>
        <v>Very High</v>
      </c>
      <c r="J717">
        <v>20.87</v>
      </c>
      <c r="K717">
        <f t="shared" si="82"/>
        <v>118.28</v>
      </c>
      <c r="L717" t="str">
        <f t="shared" si="83"/>
        <v>January</v>
      </c>
      <c r="M717">
        <f>YEAR(C717)</f>
        <v>2024</v>
      </c>
      <c r="N717">
        <v>275</v>
      </c>
      <c r="O717" t="str">
        <f>IF(N717&gt;=200,"Platinum",IF(N717&gt;=100,"Gold",IF(N717&gt;=50,"Silver","Regular")))</f>
        <v>Platinum</v>
      </c>
      <c r="P717" s="4" t="str">
        <f t="shared" si="78"/>
        <v>Friday</v>
      </c>
      <c r="Q717" s="4" t="str">
        <f t="shared" si="79"/>
        <v>Medium Order</v>
      </c>
      <c r="R717" s="4" t="str">
        <f t="shared" si="80"/>
        <v>Weekday</v>
      </c>
      <c r="S717" s="4" t="str">
        <f t="shared" si="81"/>
        <v>High Value</v>
      </c>
    </row>
    <row r="718" spans="1:19" x14ac:dyDescent="0.3">
      <c r="A718">
        <v>6401</v>
      </c>
      <c r="B718" t="s">
        <v>15</v>
      </c>
      <c r="C718" s="1">
        <v>45218</v>
      </c>
      <c r="D718" t="s">
        <v>4</v>
      </c>
      <c r="E718" t="s">
        <v>37</v>
      </c>
      <c r="F718">
        <v>2</v>
      </c>
      <c r="G718">
        <v>27.77</v>
      </c>
      <c r="H718">
        <v>55.54</v>
      </c>
      <c r="I718" t="str">
        <f t="shared" si="77"/>
        <v>Medium</v>
      </c>
      <c r="J718">
        <v>8.33</v>
      </c>
      <c r="K718">
        <f t="shared" si="82"/>
        <v>47.21</v>
      </c>
      <c r="L718" t="str">
        <f t="shared" si="83"/>
        <v>October</v>
      </c>
      <c r="M718">
        <f>YEAR(C718)</f>
        <v>2023</v>
      </c>
      <c r="N718">
        <v>245</v>
      </c>
      <c r="O718" t="str">
        <f>IF(N718&gt;=200,"Platinum",IF(N718&gt;=100,"Gold",IF(N718&gt;=50,"Silver","Regular")))</f>
        <v>Platinum</v>
      </c>
      <c r="P718" s="4" t="str">
        <f t="shared" si="78"/>
        <v>Thursday</v>
      </c>
      <c r="Q718" s="4" t="str">
        <f t="shared" si="79"/>
        <v>Small Order</v>
      </c>
      <c r="R718" s="4" t="str">
        <f t="shared" si="80"/>
        <v>Weekday</v>
      </c>
      <c r="S718" s="4" t="str">
        <f t="shared" si="81"/>
        <v>Regular</v>
      </c>
    </row>
    <row r="719" spans="1:19" x14ac:dyDescent="0.3">
      <c r="A719">
        <v>3161</v>
      </c>
      <c r="B719" t="s">
        <v>19</v>
      </c>
      <c r="C719" s="1">
        <v>45543</v>
      </c>
      <c r="D719" t="s">
        <v>9</v>
      </c>
      <c r="E719" t="s">
        <v>5</v>
      </c>
      <c r="F719">
        <v>5</v>
      </c>
      <c r="G719">
        <v>27.59</v>
      </c>
      <c r="H719">
        <v>137.94999999999999</v>
      </c>
      <c r="I719" t="str">
        <f t="shared" si="77"/>
        <v>Very High</v>
      </c>
      <c r="J719">
        <v>20.69</v>
      </c>
      <c r="K719">
        <f t="shared" si="82"/>
        <v>117.25999999999999</v>
      </c>
      <c r="L719" t="str">
        <f t="shared" si="83"/>
        <v>September</v>
      </c>
      <c r="M719">
        <f>YEAR(C719)</f>
        <v>2024</v>
      </c>
      <c r="N719">
        <v>66</v>
      </c>
      <c r="O719" t="str">
        <f>IF(N719&gt;=200,"Platinum",IF(N719&gt;=100,"Gold",IF(N719&gt;=50,"Silver","Regular")))</f>
        <v>Silver</v>
      </c>
      <c r="P719" s="4" t="str">
        <f t="shared" si="78"/>
        <v>Sunday</v>
      </c>
      <c r="Q719" s="4" t="str">
        <f t="shared" si="79"/>
        <v>Medium Order</v>
      </c>
      <c r="R719" s="4" t="str">
        <f t="shared" si="80"/>
        <v>Weekend</v>
      </c>
      <c r="S719" s="4" t="str">
        <f t="shared" si="81"/>
        <v>High Value</v>
      </c>
    </row>
    <row r="720" spans="1:19" x14ac:dyDescent="0.3">
      <c r="A720">
        <v>5119</v>
      </c>
      <c r="B720" t="s">
        <v>13</v>
      </c>
      <c r="C720" s="1">
        <v>45574</v>
      </c>
      <c r="D720" t="s">
        <v>27</v>
      </c>
      <c r="E720" t="s">
        <v>7</v>
      </c>
      <c r="F720">
        <v>5</v>
      </c>
      <c r="G720">
        <v>27.03</v>
      </c>
      <c r="H720">
        <v>135.15</v>
      </c>
      <c r="I720" t="str">
        <f t="shared" si="77"/>
        <v>Very High</v>
      </c>
      <c r="J720">
        <v>20.27</v>
      </c>
      <c r="K720">
        <f t="shared" si="82"/>
        <v>114.88000000000001</v>
      </c>
      <c r="L720" t="str">
        <f t="shared" si="83"/>
        <v>October</v>
      </c>
      <c r="M720">
        <f>YEAR(C720)</f>
        <v>2024</v>
      </c>
      <c r="N720">
        <v>249</v>
      </c>
      <c r="O720" t="str">
        <f>IF(N720&gt;=200,"Platinum",IF(N720&gt;=100,"Gold",IF(N720&gt;=50,"Silver","Regular")))</f>
        <v>Platinum</v>
      </c>
      <c r="P720" s="4" t="str">
        <f t="shared" si="78"/>
        <v>Wednesday</v>
      </c>
      <c r="Q720" s="4" t="str">
        <f t="shared" si="79"/>
        <v>Medium Order</v>
      </c>
      <c r="R720" s="4" t="str">
        <f t="shared" si="80"/>
        <v>Weekday</v>
      </c>
      <c r="S720" s="4" t="str">
        <f t="shared" si="81"/>
        <v>High Value</v>
      </c>
    </row>
    <row r="721" spans="1:19" x14ac:dyDescent="0.3">
      <c r="A721">
        <v>8740</v>
      </c>
      <c r="B721" t="s">
        <v>15</v>
      </c>
      <c r="C721" s="1">
        <v>45685</v>
      </c>
      <c r="D721" t="s">
        <v>9</v>
      </c>
      <c r="E721" t="s">
        <v>30</v>
      </c>
      <c r="F721">
        <v>4</v>
      </c>
      <c r="G721">
        <v>25.82</v>
      </c>
      <c r="H721">
        <v>103.28</v>
      </c>
      <c r="I721" t="str">
        <f t="shared" si="77"/>
        <v>High</v>
      </c>
      <c r="J721">
        <v>15.49</v>
      </c>
      <c r="K721">
        <f t="shared" si="82"/>
        <v>87.79</v>
      </c>
      <c r="L721" t="str">
        <f t="shared" si="83"/>
        <v>January</v>
      </c>
      <c r="M721">
        <f>YEAR(C721)</f>
        <v>2025</v>
      </c>
      <c r="N721">
        <v>307</v>
      </c>
      <c r="O721" t="str">
        <f>IF(N721&gt;=200,"Platinum",IF(N721&gt;=100,"Gold",IF(N721&gt;=50,"Silver","Regular")))</f>
        <v>Platinum</v>
      </c>
      <c r="P721" s="4" t="str">
        <f t="shared" si="78"/>
        <v>Tuesday</v>
      </c>
      <c r="Q721" s="4" t="str">
        <f t="shared" si="79"/>
        <v>Medium Order</v>
      </c>
      <c r="R721" s="4" t="str">
        <f t="shared" si="80"/>
        <v>Weekday</v>
      </c>
      <c r="S721" s="4" t="str">
        <f t="shared" si="81"/>
        <v>Regular</v>
      </c>
    </row>
    <row r="722" spans="1:19" x14ac:dyDescent="0.3">
      <c r="A722">
        <v>3634</v>
      </c>
      <c r="B722" t="s">
        <v>15</v>
      </c>
      <c r="C722" s="1">
        <v>45401</v>
      </c>
      <c r="D722" t="s">
        <v>11</v>
      </c>
      <c r="E722" t="s">
        <v>12</v>
      </c>
      <c r="F722">
        <v>1</v>
      </c>
      <c r="G722">
        <v>24.67</v>
      </c>
      <c r="H722">
        <v>24.67</v>
      </c>
      <c r="I722" t="str">
        <f t="shared" si="77"/>
        <v>Low</v>
      </c>
      <c r="J722">
        <v>3.7</v>
      </c>
      <c r="K722">
        <f t="shared" si="82"/>
        <v>20.970000000000002</v>
      </c>
      <c r="L722" t="str">
        <f t="shared" si="83"/>
        <v>April</v>
      </c>
      <c r="M722">
        <f>YEAR(C722)</f>
        <v>2024</v>
      </c>
      <c r="N722">
        <v>432</v>
      </c>
      <c r="O722" t="str">
        <f>IF(N722&gt;=200,"Platinum",IF(N722&gt;=100,"Gold",IF(N722&gt;=50,"Silver","Regular")))</f>
        <v>Platinum</v>
      </c>
      <c r="P722" s="4" t="str">
        <f t="shared" si="78"/>
        <v>Friday</v>
      </c>
      <c r="Q722" s="4" t="str">
        <f t="shared" si="79"/>
        <v>Small Order</v>
      </c>
      <c r="R722" s="4" t="str">
        <f t="shared" si="80"/>
        <v>Weekday</v>
      </c>
      <c r="S722" s="4" t="str">
        <f t="shared" si="81"/>
        <v>Regular</v>
      </c>
    </row>
    <row r="723" spans="1:19" x14ac:dyDescent="0.3">
      <c r="A723">
        <v>5914</v>
      </c>
      <c r="B723" t="s">
        <v>0</v>
      </c>
      <c r="C723" s="1">
        <v>45806</v>
      </c>
      <c r="D723" t="s">
        <v>1</v>
      </c>
      <c r="E723" t="s">
        <v>36</v>
      </c>
      <c r="F723">
        <v>4</v>
      </c>
      <c r="G723">
        <v>24.42</v>
      </c>
      <c r="H723">
        <v>97.68</v>
      </c>
      <c r="I723" t="str">
        <f t="shared" si="77"/>
        <v>High</v>
      </c>
      <c r="J723">
        <v>14.65</v>
      </c>
      <c r="K723">
        <f t="shared" si="82"/>
        <v>83.03</v>
      </c>
      <c r="L723" t="str">
        <f t="shared" si="83"/>
        <v>May</v>
      </c>
      <c r="M723">
        <f>YEAR(C723)</f>
        <v>2025</v>
      </c>
      <c r="N723">
        <v>303</v>
      </c>
      <c r="O723" t="str">
        <f>IF(N723&gt;=200,"Platinum",IF(N723&gt;=100,"Gold",IF(N723&gt;=50,"Silver","Regular")))</f>
        <v>Platinum</v>
      </c>
      <c r="P723" s="4" t="str">
        <f t="shared" si="78"/>
        <v>Thursday</v>
      </c>
      <c r="Q723" s="4" t="str">
        <f t="shared" si="79"/>
        <v>Medium Order</v>
      </c>
      <c r="R723" s="4" t="str">
        <f t="shared" si="80"/>
        <v>Weekday</v>
      </c>
      <c r="S723" s="4" t="str">
        <f t="shared" si="81"/>
        <v>Regular</v>
      </c>
    </row>
    <row r="724" spans="1:19" x14ac:dyDescent="0.3">
      <c r="A724">
        <v>3273</v>
      </c>
      <c r="B724" t="s">
        <v>31</v>
      </c>
      <c r="C724" s="1">
        <v>45734</v>
      </c>
      <c r="D724" t="s">
        <v>9</v>
      </c>
      <c r="E724" t="s">
        <v>18</v>
      </c>
      <c r="F724">
        <v>4</v>
      </c>
      <c r="G724">
        <v>23.97</v>
      </c>
      <c r="H724">
        <v>95.88</v>
      </c>
      <c r="I724" t="str">
        <f t="shared" si="77"/>
        <v>High</v>
      </c>
      <c r="J724">
        <v>14.38</v>
      </c>
      <c r="K724">
        <f t="shared" si="82"/>
        <v>81.5</v>
      </c>
      <c r="L724" t="str">
        <f t="shared" si="83"/>
        <v>March</v>
      </c>
      <c r="M724">
        <f>YEAR(C724)</f>
        <v>2025</v>
      </c>
      <c r="N724">
        <v>14</v>
      </c>
      <c r="O724" t="str">
        <f>IF(N724&gt;=200,"Platinum",IF(N724&gt;=100,"Gold",IF(N724&gt;=50,"Silver","Regular")))</f>
        <v>Regular</v>
      </c>
      <c r="P724" s="4" t="str">
        <f t="shared" si="78"/>
        <v>Tuesday</v>
      </c>
      <c r="Q724" s="4" t="str">
        <f t="shared" si="79"/>
        <v>Medium Order</v>
      </c>
      <c r="R724" s="4" t="str">
        <f t="shared" si="80"/>
        <v>Weekday</v>
      </c>
      <c r="S724" s="4" t="str">
        <f t="shared" si="81"/>
        <v>Regular</v>
      </c>
    </row>
    <row r="725" spans="1:19" x14ac:dyDescent="0.3">
      <c r="A725">
        <v>7232</v>
      </c>
      <c r="B725" t="s">
        <v>19</v>
      </c>
      <c r="C725" s="1">
        <v>45515</v>
      </c>
      <c r="D725" t="s">
        <v>16</v>
      </c>
      <c r="E725" t="s">
        <v>36</v>
      </c>
      <c r="F725">
        <v>5</v>
      </c>
      <c r="G725">
        <v>23.67</v>
      </c>
      <c r="H725">
        <v>118.35</v>
      </c>
      <c r="I725" t="str">
        <f t="shared" si="77"/>
        <v>High</v>
      </c>
      <c r="J725">
        <v>17.75</v>
      </c>
      <c r="K725">
        <f t="shared" si="82"/>
        <v>100.6</v>
      </c>
      <c r="L725" t="str">
        <f t="shared" si="83"/>
        <v>August</v>
      </c>
      <c r="M725">
        <f>YEAR(C725)</f>
        <v>2024</v>
      </c>
      <c r="N725">
        <v>166</v>
      </c>
      <c r="O725" t="str">
        <f>IF(N725&gt;=200,"Platinum",IF(N725&gt;=100,"Gold",IF(N725&gt;=50,"Silver","Regular")))</f>
        <v>Gold</v>
      </c>
      <c r="P725" s="4" t="str">
        <f t="shared" si="78"/>
        <v>Sunday</v>
      </c>
      <c r="Q725" s="4" t="str">
        <f t="shared" si="79"/>
        <v>Medium Order</v>
      </c>
      <c r="R725" s="4" t="str">
        <f t="shared" si="80"/>
        <v>Weekend</v>
      </c>
      <c r="S725" s="4" t="str">
        <f t="shared" si="81"/>
        <v>High Value</v>
      </c>
    </row>
    <row r="726" spans="1:19" x14ac:dyDescent="0.3">
      <c r="A726">
        <v>2946</v>
      </c>
      <c r="B726" t="s">
        <v>13</v>
      </c>
      <c r="C726" s="1">
        <v>45244</v>
      </c>
      <c r="D726" t="s">
        <v>4</v>
      </c>
      <c r="E726" t="s">
        <v>37</v>
      </c>
      <c r="F726">
        <v>5</v>
      </c>
      <c r="G726">
        <v>23.51</v>
      </c>
      <c r="H726">
        <v>117.55</v>
      </c>
      <c r="I726" t="str">
        <f t="shared" si="77"/>
        <v>High</v>
      </c>
      <c r="J726">
        <v>17.63</v>
      </c>
      <c r="K726">
        <f t="shared" si="82"/>
        <v>99.92</v>
      </c>
      <c r="L726" t="str">
        <f t="shared" si="83"/>
        <v>November</v>
      </c>
      <c r="M726">
        <f>YEAR(C726)</f>
        <v>2023</v>
      </c>
      <c r="N726">
        <v>176</v>
      </c>
      <c r="O726" t="str">
        <f>IF(N726&gt;=200,"Platinum",IF(N726&gt;=100,"Gold",IF(N726&gt;=50,"Silver","Regular")))</f>
        <v>Gold</v>
      </c>
      <c r="P726" s="4" t="str">
        <f t="shared" si="78"/>
        <v>Tuesday</v>
      </c>
      <c r="Q726" s="4" t="str">
        <f t="shared" si="79"/>
        <v>Medium Order</v>
      </c>
      <c r="R726" s="4" t="str">
        <f t="shared" si="80"/>
        <v>Weekday</v>
      </c>
      <c r="S726" s="4" t="str">
        <f t="shared" si="81"/>
        <v>Regular</v>
      </c>
    </row>
    <row r="727" spans="1:19" x14ac:dyDescent="0.3">
      <c r="A727">
        <v>2591</v>
      </c>
      <c r="B727" t="s">
        <v>31</v>
      </c>
      <c r="C727" s="1">
        <v>45846</v>
      </c>
      <c r="D727" t="s">
        <v>24</v>
      </c>
      <c r="E727" t="s">
        <v>32</v>
      </c>
      <c r="F727">
        <v>4</v>
      </c>
      <c r="G727">
        <v>19.12</v>
      </c>
      <c r="H727">
        <v>76.48</v>
      </c>
      <c r="I727" t="str">
        <f t="shared" si="77"/>
        <v>High</v>
      </c>
      <c r="J727">
        <v>11.47</v>
      </c>
      <c r="K727">
        <f t="shared" si="82"/>
        <v>65.010000000000005</v>
      </c>
      <c r="L727" t="str">
        <f t="shared" si="83"/>
        <v>July</v>
      </c>
      <c r="M727">
        <f>YEAR(C727)</f>
        <v>2025</v>
      </c>
      <c r="N727">
        <v>264</v>
      </c>
      <c r="O727" t="str">
        <f>IF(N727&gt;=200,"Platinum",IF(N727&gt;=100,"Gold",IF(N727&gt;=50,"Silver","Regular")))</f>
        <v>Platinum</v>
      </c>
      <c r="P727" s="4" t="str">
        <f t="shared" si="78"/>
        <v>Tuesday</v>
      </c>
      <c r="Q727" s="4" t="str">
        <f t="shared" si="79"/>
        <v>Medium Order</v>
      </c>
      <c r="R727" s="4" t="str">
        <f t="shared" si="80"/>
        <v>Weekday</v>
      </c>
      <c r="S727" s="4" t="str">
        <f t="shared" si="81"/>
        <v>Regular</v>
      </c>
    </row>
    <row r="728" spans="1:19" x14ac:dyDescent="0.3">
      <c r="A728">
        <v>6905</v>
      </c>
      <c r="B728" t="s">
        <v>15</v>
      </c>
      <c r="C728" s="1">
        <v>45339</v>
      </c>
      <c r="D728" t="s">
        <v>4</v>
      </c>
      <c r="E728" t="s">
        <v>10</v>
      </c>
      <c r="F728">
        <v>3</v>
      </c>
      <c r="G728">
        <v>18.87</v>
      </c>
      <c r="H728">
        <v>56.61</v>
      </c>
      <c r="I728" t="str">
        <f t="shared" si="77"/>
        <v>Medium</v>
      </c>
      <c r="J728">
        <v>8.49</v>
      </c>
      <c r="K728">
        <f t="shared" si="82"/>
        <v>48.12</v>
      </c>
      <c r="L728" t="str">
        <f t="shared" si="83"/>
        <v>February</v>
      </c>
      <c r="M728">
        <f>YEAR(C728)</f>
        <v>2024</v>
      </c>
      <c r="N728">
        <v>378</v>
      </c>
      <c r="O728" t="str">
        <f>IF(N728&gt;=200,"Platinum",IF(N728&gt;=100,"Gold",IF(N728&gt;=50,"Silver","Regular")))</f>
        <v>Platinum</v>
      </c>
      <c r="P728" s="4" t="str">
        <f t="shared" si="78"/>
        <v>Saturday</v>
      </c>
      <c r="Q728" s="4" t="str">
        <f t="shared" si="79"/>
        <v>Medium Order</v>
      </c>
      <c r="R728" s="4" t="str">
        <f t="shared" si="80"/>
        <v>Weekend</v>
      </c>
      <c r="S728" s="4" t="str">
        <f t="shared" si="81"/>
        <v>Regular</v>
      </c>
    </row>
    <row r="729" spans="1:19" x14ac:dyDescent="0.3">
      <c r="A729">
        <v>2229</v>
      </c>
      <c r="B729" t="s">
        <v>0</v>
      </c>
      <c r="C729" s="1">
        <v>45266</v>
      </c>
      <c r="D729" t="s">
        <v>34</v>
      </c>
      <c r="E729" t="s">
        <v>32</v>
      </c>
      <c r="F729">
        <v>3</v>
      </c>
      <c r="G729">
        <v>29.65</v>
      </c>
      <c r="H729">
        <v>88.95</v>
      </c>
      <c r="I729" t="str">
        <f t="shared" si="77"/>
        <v>High</v>
      </c>
      <c r="J729">
        <v>13.34</v>
      </c>
      <c r="K729">
        <f t="shared" si="82"/>
        <v>75.61</v>
      </c>
      <c r="L729" t="str">
        <f t="shared" si="83"/>
        <v>December</v>
      </c>
      <c r="M729">
        <f>YEAR(C729)</f>
        <v>2023</v>
      </c>
      <c r="N729">
        <v>327</v>
      </c>
      <c r="O729" t="str">
        <f>IF(N729&gt;=200,"Platinum",IF(N729&gt;=100,"Gold",IF(N729&gt;=50,"Silver","Regular")))</f>
        <v>Platinum</v>
      </c>
      <c r="P729" s="4" t="str">
        <f t="shared" si="78"/>
        <v>Wednesday</v>
      </c>
      <c r="Q729" s="4" t="str">
        <f t="shared" si="79"/>
        <v>Medium Order</v>
      </c>
      <c r="R729" s="4" t="str">
        <f t="shared" si="80"/>
        <v>Weekday</v>
      </c>
      <c r="S729" s="4" t="str">
        <f t="shared" si="81"/>
        <v>Regular</v>
      </c>
    </row>
    <row r="730" spans="1:19" x14ac:dyDescent="0.3">
      <c r="A730">
        <v>8035</v>
      </c>
      <c r="B730" t="s">
        <v>20</v>
      </c>
      <c r="C730" s="1">
        <v>45389</v>
      </c>
      <c r="D730" t="s">
        <v>34</v>
      </c>
      <c r="E730" t="s">
        <v>37</v>
      </c>
      <c r="F730">
        <v>3</v>
      </c>
      <c r="G730">
        <v>17.27</v>
      </c>
      <c r="H730">
        <v>51.81</v>
      </c>
      <c r="I730" t="str">
        <f t="shared" si="77"/>
        <v>Medium</v>
      </c>
      <c r="J730">
        <v>7.77</v>
      </c>
      <c r="K730">
        <f t="shared" si="82"/>
        <v>44.040000000000006</v>
      </c>
      <c r="L730" t="str">
        <f t="shared" si="83"/>
        <v>April</v>
      </c>
      <c r="M730">
        <f>YEAR(C730)</f>
        <v>2024</v>
      </c>
      <c r="N730">
        <v>312</v>
      </c>
      <c r="O730" t="str">
        <f>IF(N730&gt;=200,"Platinum",IF(N730&gt;=100,"Gold",IF(N730&gt;=50,"Silver","Regular")))</f>
        <v>Platinum</v>
      </c>
      <c r="P730" s="4" t="str">
        <f t="shared" si="78"/>
        <v>Sunday</v>
      </c>
      <c r="Q730" s="4" t="str">
        <f t="shared" si="79"/>
        <v>Medium Order</v>
      </c>
      <c r="R730" s="4" t="str">
        <f t="shared" si="80"/>
        <v>Weekend</v>
      </c>
      <c r="S730" s="4" t="str">
        <f t="shared" si="81"/>
        <v>Regular</v>
      </c>
    </row>
    <row r="731" spans="1:19" x14ac:dyDescent="0.3">
      <c r="A731">
        <v>7383</v>
      </c>
      <c r="B731" t="s">
        <v>31</v>
      </c>
      <c r="C731" s="1">
        <v>45390</v>
      </c>
      <c r="D731" t="s">
        <v>16</v>
      </c>
      <c r="E731" t="s">
        <v>12</v>
      </c>
      <c r="F731">
        <v>4</v>
      </c>
      <c r="G731">
        <v>16.37</v>
      </c>
      <c r="H731">
        <v>65.48</v>
      </c>
      <c r="I731" t="str">
        <f t="shared" si="77"/>
        <v>Medium</v>
      </c>
      <c r="J731">
        <v>9.82</v>
      </c>
      <c r="K731">
        <f t="shared" si="82"/>
        <v>55.660000000000004</v>
      </c>
      <c r="L731" t="str">
        <f t="shared" si="83"/>
        <v>April</v>
      </c>
      <c r="M731">
        <f>YEAR(C731)</f>
        <v>2024</v>
      </c>
      <c r="N731">
        <v>488</v>
      </c>
      <c r="O731" t="str">
        <f>IF(N731&gt;=200,"Platinum",IF(N731&gt;=100,"Gold",IF(N731&gt;=50,"Silver","Regular")))</f>
        <v>Platinum</v>
      </c>
      <c r="P731" s="4" t="str">
        <f t="shared" si="78"/>
        <v>Monday</v>
      </c>
      <c r="Q731" s="4" t="str">
        <f t="shared" si="79"/>
        <v>Medium Order</v>
      </c>
      <c r="R731" s="4" t="str">
        <f t="shared" si="80"/>
        <v>Weekday</v>
      </c>
      <c r="S731" s="4" t="str">
        <f t="shared" si="81"/>
        <v>Regular</v>
      </c>
    </row>
    <row r="732" spans="1:19" x14ac:dyDescent="0.3">
      <c r="A732">
        <v>9647</v>
      </c>
      <c r="B732" t="s">
        <v>8</v>
      </c>
      <c r="C732" s="1">
        <v>45473</v>
      </c>
      <c r="D732" t="s">
        <v>27</v>
      </c>
      <c r="E732" t="s">
        <v>36</v>
      </c>
      <c r="F732">
        <v>3</v>
      </c>
      <c r="G732">
        <v>26.45</v>
      </c>
      <c r="H732">
        <v>79.349999999999994</v>
      </c>
      <c r="I732" t="str">
        <f t="shared" si="77"/>
        <v>High</v>
      </c>
      <c r="J732">
        <v>11.9</v>
      </c>
      <c r="K732">
        <f t="shared" si="82"/>
        <v>67.449999999999989</v>
      </c>
      <c r="L732" t="str">
        <f t="shared" si="83"/>
        <v>June</v>
      </c>
      <c r="M732">
        <f>YEAR(C732)</f>
        <v>2024</v>
      </c>
      <c r="N732">
        <v>67</v>
      </c>
      <c r="O732" t="str">
        <f>IF(N732&gt;=200,"Platinum",IF(N732&gt;=100,"Gold",IF(N732&gt;=50,"Silver","Regular")))</f>
        <v>Silver</v>
      </c>
      <c r="P732" s="4" t="str">
        <f t="shared" si="78"/>
        <v>Sunday</v>
      </c>
      <c r="Q732" s="4" t="str">
        <f t="shared" si="79"/>
        <v>Medium Order</v>
      </c>
      <c r="R732" s="4" t="str">
        <f t="shared" si="80"/>
        <v>Weekend</v>
      </c>
      <c r="S732" s="4" t="str">
        <f t="shared" si="81"/>
        <v>Regular</v>
      </c>
    </row>
    <row r="733" spans="1:19" x14ac:dyDescent="0.3">
      <c r="A733">
        <v>4396</v>
      </c>
      <c r="B733" t="s">
        <v>3</v>
      </c>
      <c r="C733" s="1">
        <v>45681</v>
      </c>
      <c r="D733" t="s">
        <v>9</v>
      </c>
      <c r="E733" t="s">
        <v>32</v>
      </c>
      <c r="F733">
        <v>3</v>
      </c>
      <c r="G733">
        <v>19.559999999999999</v>
      </c>
      <c r="H733">
        <v>58.68</v>
      </c>
      <c r="I733" t="str">
        <f t="shared" si="77"/>
        <v>Medium</v>
      </c>
      <c r="J733">
        <v>8.8000000000000007</v>
      </c>
      <c r="K733">
        <f t="shared" si="82"/>
        <v>49.879999999999995</v>
      </c>
      <c r="L733" t="str">
        <f t="shared" si="83"/>
        <v>January</v>
      </c>
      <c r="M733">
        <f>YEAR(C733)</f>
        <v>2025</v>
      </c>
      <c r="N733">
        <v>185</v>
      </c>
      <c r="O733" t="str">
        <f>IF(N733&gt;=200,"Platinum",IF(N733&gt;=100,"Gold",IF(N733&gt;=50,"Silver","Regular")))</f>
        <v>Gold</v>
      </c>
      <c r="P733" s="4" t="str">
        <f t="shared" si="78"/>
        <v>Friday</v>
      </c>
      <c r="Q733" s="4" t="str">
        <f t="shared" si="79"/>
        <v>Medium Order</v>
      </c>
      <c r="R733" s="4" t="str">
        <f t="shared" si="80"/>
        <v>Weekday</v>
      </c>
      <c r="S733" s="4" t="str">
        <f t="shared" si="81"/>
        <v>Regular</v>
      </c>
    </row>
    <row r="734" spans="1:19" x14ac:dyDescent="0.3">
      <c r="A734">
        <v>6269</v>
      </c>
      <c r="B734" t="s">
        <v>8</v>
      </c>
      <c r="C734" s="1">
        <v>45747</v>
      </c>
      <c r="D734" t="s">
        <v>34</v>
      </c>
      <c r="E734" t="s">
        <v>30</v>
      </c>
      <c r="F734">
        <v>5</v>
      </c>
      <c r="G734">
        <v>29.02</v>
      </c>
      <c r="H734">
        <v>145.1</v>
      </c>
      <c r="I734" t="str">
        <f t="shared" si="77"/>
        <v>Very High</v>
      </c>
      <c r="J734">
        <v>21.76</v>
      </c>
      <c r="K734">
        <f t="shared" si="82"/>
        <v>123.33999999999999</v>
      </c>
      <c r="L734" t="str">
        <f t="shared" si="83"/>
        <v>March</v>
      </c>
      <c r="M734">
        <f>YEAR(C734)</f>
        <v>2025</v>
      </c>
      <c r="N734">
        <v>319</v>
      </c>
      <c r="O734" t="str">
        <f>IF(N734&gt;=200,"Platinum",IF(N734&gt;=100,"Gold",IF(N734&gt;=50,"Silver","Regular")))</f>
        <v>Platinum</v>
      </c>
      <c r="P734" s="4" t="str">
        <f t="shared" si="78"/>
        <v>Monday</v>
      </c>
      <c r="Q734" s="4" t="str">
        <f t="shared" si="79"/>
        <v>Medium Order</v>
      </c>
      <c r="R734" s="4" t="str">
        <f t="shared" si="80"/>
        <v>Weekday</v>
      </c>
      <c r="S734" s="4" t="str">
        <f t="shared" si="81"/>
        <v>High Value</v>
      </c>
    </row>
    <row r="735" spans="1:19" x14ac:dyDescent="0.3">
      <c r="A735">
        <v>1339</v>
      </c>
      <c r="B735" t="s">
        <v>8</v>
      </c>
      <c r="C735" s="1">
        <v>45739</v>
      </c>
      <c r="D735" t="s">
        <v>11</v>
      </c>
      <c r="E735" t="s">
        <v>12</v>
      </c>
      <c r="F735">
        <v>4</v>
      </c>
      <c r="G735">
        <v>28.69</v>
      </c>
      <c r="H735">
        <v>114.76</v>
      </c>
      <c r="I735" t="str">
        <f t="shared" si="77"/>
        <v>High</v>
      </c>
      <c r="J735">
        <v>17.21</v>
      </c>
      <c r="K735">
        <f t="shared" si="82"/>
        <v>97.550000000000011</v>
      </c>
      <c r="L735" t="str">
        <f t="shared" si="83"/>
        <v>March</v>
      </c>
      <c r="M735">
        <f>YEAR(C735)</f>
        <v>2025</v>
      </c>
      <c r="N735">
        <v>137</v>
      </c>
      <c r="O735" t="str">
        <f>IF(N735&gt;=200,"Platinum",IF(N735&gt;=100,"Gold",IF(N735&gt;=50,"Silver","Regular")))</f>
        <v>Gold</v>
      </c>
      <c r="P735" s="4" t="str">
        <f t="shared" si="78"/>
        <v>Sunday</v>
      </c>
      <c r="Q735" s="4" t="str">
        <f t="shared" si="79"/>
        <v>Medium Order</v>
      </c>
      <c r="R735" s="4" t="str">
        <f t="shared" si="80"/>
        <v>Weekend</v>
      </c>
      <c r="S735" s="4" t="str">
        <f t="shared" si="81"/>
        <v>Regular</v>
      </c>
    </row>
    <row r="736" spans="1:19" x14ac:dyDescent="0.3">
      <c r="A736">
        <v>3474</v>
      </c>
      <c r="B736" t="s">
        <v>20</v>
      </c>
      <c r="C736" s="1">
        <v>45152</v>
      </c>
      <c r="D736" t="s">
        <v>23</v>
      </c>
      <c r="E736" t="s">
        <v>28</v>
      </c>
      <c r="F736">
        <v>3</v>
      </c>
      <c r="G736">
        <v>23.45</v>
      </c>
      <c r="H736">
        <v>70.349999999999994</v>
      </c>
      <c r="I736" t="str">
        <f t="shared" si="77"/>
        <v>High</v>
      </c>
      <c r="J736">
        <v>10.55</v>
      </c>
      <c r="K736">
        <f t="shared" si="82"/>
        <v>59.8</v>
      </c>
      <c r="L736" t="str">
        <f t="shared" si="83"/>
        <v>August</v>
      </c>
      <c r="M736">
        <f>YEAR(C736)</f>
        <v>2023</v>
      </c>
      <c r="N736">
        <v>290</v>
      </c>
      <c r="O736" t="str">
        <f>IF(N736&gt;=200,"Platinum",IF(N736&gt;=100,"Gold",IF(N736&gt;=50,"Silver","Regular")))</f>
        <v>Platinum</v>
      </c>
      <c r="P736" s="4" t="str">
        <f t="shared" si="78"/>
        <v>Monday</v>
      </c>
      <c r="Q736" s="4" t="str">
        <f t="shared" si="79"/>
        <v>Medium Order</v>
      </c>
      <c r="R736" s="4" t="str">
        <f t="shared" si="80"/>
        <v>Weekday</v>
      </c>
      <c r="S736" s="4" t="str">
        <f t="shared" si="81"/>
        <v>Regular</v>
      </c>
    </row>
    <row r="737" spans="1:19" x14ac:dyDescent="0.3">
      <c r="A737">
        <v>3184</v>
      </c>
      <c r="B737" t="s">
        <v>8</v>
      </c>
      <c r="C737" s="1">
        <v>45767</v>
      </c>
      <c r="D737" t="s">
        <v>1</v>
      </c>
      <c r="E737" t="s">
        <v>2</v>
      </c>
      <c r="F737">
        <v>5</v>
      </c>
      <c r="G737">
        <v>28.1</v>
      </c>
      <c r="H737">
        <v>140.5</v>
      </c>
      <c r="I737" t="str">
        <f t="shared" si="77"/>
        <v>Very High</v>
      </c>
      <c r="J737">
        <v>21.07</v>
      </c>
      <c r="K737">
        <f t="shared" si="82"/>
        <v>119.43</v>
      </c>
      <c r="L737" t="str">
        <f t="shared" si="83"/>
        <v>April</v>
      </c>
      <c r="M737">
        <f>YEAR(C737)</f>
        <v>2025</v>
      </c>
      <c r="N737">
        <v>296</v>
      </c>
      <c r="O737" t="str">
        <f>IF(N737&gt;=200,"Platinum",IF(N737&gt;=100,"Gold",IF(N737&gt;=50,"Silver","Regular")))</f>
        <v>Platinum</v>
      </c>
      <c r="P737" s="4" t="str">
        <f t="shared" si="78"/>
        <v>Sunday</v>
      </c>
      <c r="Q737" s="4" t="str">
        <f t="shared" si="79"/>
        <v>Medium Order</v>
      </c>
      <c r="R737" s="4" t="str">
        <f t="shared" si="80"/>
        <v>Weekend</v>
      </c>
      <c r="S737" s="4" t="str">
        <f t="shared" si="81"/>
        <v>High Value</v>
      </c>
    </row>
    <row r="738" spans="1:19" x14ac:dyDescent="0.3">
      <c r="A738">
        <v>8520</v>
      </c>
      <c r="B738" t="s">
        <v>15</v>
      </c>
      <c r="C738" s="1">
        <v>45583</v>
      </c>
      <c r="D738" t="s">
        <v>24</v>
      </c>
      <c r="E738" t="s">
        <v>32</v>
      </c>
      <c r="F738">
        <v>2</v>
      </c>
      <c r="G738">
        <v>27.44</v>
      </c>
      <c r="H738">
        <v>54.88</v>
      </c>
      <c r="I738" t="str">
        <f t="shared" si="77"/>
        <v>Medium</v>
      </c>
      <c r="J738">
        <v>8.23</v>
      </c>
      <c r="K738">
        <f t="shared" si="82"/>
        <v>46.650000000000006</v>
      </c>
      <c r="L738" t="str">
        <f t="shared" si="83"/>
        <v>October</v>
      </c>
      <c r="M738">
        <f>YEAR(C738)</f>
        <v>2024</v>
      </c>
      <c r="N738">
        <v>430</v>
      </c>
      <c r="O738" t="str">
        <f>IF(N738&gt;=200,"Platinum",IF(N738&gt;=100,"Gold",IF(N738&gt;=50,"Silver","Regular")))</f>
        <v>Platinum</v>
      </c>
      <c r="P738" s="4" t="str">
        <f t="shared" si="78"/>
        <v>Friday</v>
      </c>
      <c r="Q738" s="4" t="str">
        <f t="shared" si="79"/>
        <v>Small Order</v>
      </c>
      <c r="R738" s="4" t="str">
        <f t="shared" si="80"/>
        <v>Weekday</v>
      </c>
      <c r="S738" s="4" t="str">
        <f t="shared" si="81"/>
        <v>Regular</v>
      </c>
    </row>
    <row r="739" spans="1:19" x14ac:dyDescent="0.3">
      <c r="A739">
        <v>4342</v>
      </c>
      <c r="B739" t="s">
        <v>3</v>
      </c>
      <c r="C739" s="1">
        <v>45409</v>
      </c>
      <c r="D739" t="s">
        <v>24</v>
      </c>
      <c r="E739" t="s">
        <v>32</v>
      </c>
      <c r="F739">
        <v>2</v>
      </c>
      <c r="G739">
        <v>27.34</v>
      </c>
      <c r="H739">
        <v>54.68</v>
      </c>
      <c r="I739" t="str">
        <f t="shared" si="77"/>
        <v>Medium</v>
      </c>
      <c r="J739">
        <v>8.1999999999999993</v>
      </c>
      <c r="K739">
        <f t="shared" si="82"/>
        <v>46.480000000000004</v>
      </c>
      <c r="L739" t="str">
        <f t="shared" si="83"/>
        <v>April</v>
      </c>
      <c r="M739">
        <f>YEAR(C739)</f>
        <v>2024</v>
      </c>
      <c r="N739">
        <v>210</v>
      </c>
      <c r="O739" t="str">
        <f>IF(N739&gt;=200,"Platinum",IF(N739&gt;=100,"Gold",IF(N739&gt;=50,"Silver","Regular")))</f>
        <v>Platinum</v>
      </c>
      <c r="P739" s="4" t="str">
        <f t="shared" si="78"/>
        <v>Saturday</v>
      </c>
      <c r="Q739" s="4" t="str">
        <f t="shared" si="79"/>
        <v>Small Order</v>
      </c>
      <c r="R739" s="4" t="str">
        <f t="shared" si="80"/>
        <v>Weekend</v>
      </c>
      <c r="S739" s="4" t="str">
        <f t="shared" si="81"/>
        <v>Regular</v>
      </c>
    </row>
    <row r="740" spans="1:19" x14ac:dyDescent="0.3">
      <c r="A740">
        <v>1634</v>
      </c>
      <c r="B740" t="s">
        <v>25</v>
      </c>
      <c r="C740" s="1">
        <v>45811</v>
      </c>
      <c r="D740" t="s">
        <v>6</v>
      </c>
      <c r="E740" t="s">
        <v>12</v>
      </c>
      <c r="F740">
        <v>5</v>
      </c>
      <c r="G740">
        <v>26.94</v>
      </c>
      <c r="H740">
        <v>134.69999999999999</v>
      </c>
      <c r="I740" t="str">
        <f t="shared" si="77"/>
        <v>Very High</v>
      </c>
      <c r="J740">
        <v>20.2</v>
      </c>
      <c r="K740">
        <f t="shared" si="82"/>
        <v>114.49999999999999</v>
      </c>
      <c r="L740" t="str">
        <f t="shared" si="83"/>
        <v>June</v>
      </c>
      <c r="M740">
        <f>YEAR(C740)</f>
        <v>2025</v>
      </c>
      <c r="N740">
        <v>433</v>
      </c>
      <c r="O740" t="str">
        <f>IF(N740&gt;=200,"Platinum",IF(N740&gt;=100,"Gold",IF(N740&gt;=50,"Silver","Regular")))</f>
        <v>Platinum</v>
      </c>
      <c r="P740" s="4" t="str">
        <f t="shared" si="78"/>
        <v>Tuesday</v>
      </c>
      <c r="Q740" s="4" t="str">
        <f t="shared" si="79"/>
        <v>Medium Order</v>
      </c>
      <c r="R740" s="4" t="str">
        <f t="shared" si="80"/>
        <v>Weekday</v>
      </c>
      <c r="S740" s="4" t="str">
        <f t="shared" si="81"/>
        <v>High Value</v>
      </c>
    </row>
    <row r="741" spans="1:19" x14ac:dyDescent="0.3">
      <c r="A741">
        <v>6802</v>
      </c>
      <c r="B741" t="s">
        <v>13</v>
      </c>
      <c r="C741" s="1">
        <v>45200</v>
      </c>
      <c r="D741" t="s">
        <v>11</v>
      </c>
      <c r="E741" t="s">
        <v>21</v>
      </c>
      <c r="F741">
        <v>3</v>
      </c>
      <c r="G741">
        <v>4.49</v>
      </c>
      <c r="H741">
        <v>13.47</v>
      </c>
      <c r="I741" t="str">
        <f t="shared" si="77"/>
        <v>Low</v>
      </c>
      <c r="J741">
        <v>2.02</v>
      </c>
      <c r="K741">
        <f t="shared" si="82"/>
        <v>11.450000000000001</v>
      </c>
      <c r="L741" t="str">
        <f t="shared" si="83"/>
        <v>October</v>
      </c>
      <c r="M741">
        <f>YEAR(C741)</f>
        <v>2023</v>
      </c>
      <c r="N741">
        <v>350</v>
      </c>
      <c r="O741" t="str">
        <f>IF(N741&gt;=200,"Platinum",IF(N741&gt;=100,"Gold",IF(N741&gt;=50,"Silver","Regular")))</f>
        <v>Platinum</v>
      </c>
      <c r="P741" s="4" t="str">
        <f t="shared" si="78"/>
        <v>Sunday</v>
      </c>
      <c r="Q741" s="4" t="str">
        <f t="shared" si="79"/>
        <v>Medium Order</v>
      </c>
      <c r="R741" s="4" t="str">
        <f t="shared" si="80"/>
        <v>Weekend</v>
      </c>
      <c r="S741" s="4" t="str">
        <f t="shared" si="81"/>
        <v>Regular</v>
      </c>
    </row>
    <row r="742" spans="1:19" x14ac:dyDescent="0.3">
      <c r="A742">
        <v>7114</v>
      </c>
      <c r="B742" t="s">
        <v>13</v>
      </c>
      <c r="C742" s="1">
        <v>45762</v>
      </c>
      <c r="D742" t="s">
        <v>27</v>
      </c>
      <c r="E742" t="s">
        <v>5</v>
      </c>
      <c r="F742">
        <v>3</v>
      </c>
      <c r="G742">
        <v>22.25</v>
      </c>
      <c r="H742">
        <v>66.75</v>
      </c>
      <c r="I742" t="str">
        <f t="shared" si="77"/>
        <v>High</v>
      </c>
      <c r="J742">
        <v>10.01</v>
      </c>
      <c r="K742">
        <f t="shared" si="82"/>
        <v>56.74</v>
      </c>
      <c r="L742" t="str">
        <f t="shared" si="83"/>
        <v>April</v>
      </c>
      <c r="M742">
        <f>YEAR(C742)</f>
        <v>2025</v>
      </c>
      <c r="N742">
        <v>87</v>
      </c>
      <c r="O742" t="str">
        <f>IF(N742&gt;=200,"Platinum",IF(N742&gt;=100,"Gold",IF(N742&gt;=50,"Silver","Regular")))</f>
        <v>Silver</v>
      </c>
      <c r="P742" s="4" t="str">
        <f t="shared" si="78"/>
        <v>Tuesday</v>
      </c>
      <c r="Q742" s="4" t="str">
        <f t="shared" si="79"/>
        <v>Medium Order</v>
      </c>
      <c r="R742" s="4" t="str">
        <f t="shared" si="80"/>
        <v>Weekday</v>
      </c>
      <c r="S742" s="4" t="str">
        <f t="shared" si="81"/>
        <v>Regular</v>
      </c>
    </row>
    <row r="743" spans="1:19" x14ac:dyDescent="0.3">
      <c r="A743">
        <v>3170</v>
      </c>
      <c r="B743" t="s">
        <v>25</v>
      </c>
      <c r="C743" s="1">
        <v>45212</v>
      </c>
      <c r="D743" t="s">
        <v>9</v>
      </c>
      <c r="E743" t="s">
        <v>21</v>
      </c>
      <c r="F743">
        <v>4</v>
      </c>
      <c r="G743">
        <v>13.32</v>
      </c>
      <c r="H743">
        <v>53.28</v>
      </c>
      <c r="I743" t="str">
        <f t="shared" si="77"/>
        <v>Medium</v>
      </c>
      <c r="J743">
        <v>7.99</v>
      </c>
      <c r="K743">
        <f t="shared" si="82"/>
        <v>45.29</v>
      </c>
      <c r="L743" t="str">
        <f t="shared" si="83"/>
        <v>October</v>
      </c>
      <c r="M743">
        <f>YEAR(C743)</f>
        <v>2023</v>
      </c>
      <c r="N743">
        <v>133</v>
      </c>
      <c r="O743" t="str">
        <f>IF(N743&gt;=200,"Platinum",IF(N743&gt;=100,"Gold",IF(N743&gt;=50,"Silver","Regular")))</f>
        <v>Gold</v>
      </c>
      <c r="P743" s="4" t="str">
        <f t="shared" si="78"/>
        <v>Friday</v>
      </c>
      <c r="Q743" s="4" t="str">
        <f t="shared" si="79"/>
        <v>Medium Order</v>
      </c>
      <c r="R743" s="4" t="str">
        <f t="shared" si="80"/>
        <v>Weekday</v>
      </c>
      <c r="S743" s="4" t="str">
        <f t="shared" si="81"/>
        <v>Regular</v>
      </c>
    </row>
    <row r="744" spans="1:19" x14ac:dyDescent="0.3">
      <c r="A744">
        <v>6314</v>
      </c>
      <c r="B744" t="s">
        <v>0</v>
      </c>
      <c r="C744" s="1">
        <v>45763</v>
      </c>
      <c r="D744" t="s">
        <v>4</v>
      </c>
      <c r="E744" t="s">
        <v>7</v>
      </c>
      <c r="F744">
        <v>3</v>
      </c>
      <c r="G744">
        <v>22.05</v>
      </c>
      <c r="H744">
        <v>66.150000000000006</v>
      </c>
      <c r="I744" t="str">
        <f t="shared" si="77"/>
        <v>Medium</v>
      </c>
      <c r="J744">
        <v>9.92</v>
      </c>
      <c r="K744">
        <f t="shared" si="82"/>
        <v>56.230000000000004</v>
      </c>
      <c r="L744" t="str">
        <f t="shared" si="83"/>
        <v>April</v>
      </c>
      <c r="M744">
        <f>YEAR(C744)</f>
        <v>2025</v>
      </c>
      <c r="N744">
        <v>286</v>
      </c>
      <c r="O744" t="str">
        <f>IF(N744&gt;=200,"Platinum",IF(N744&gt;=100,"Gold",IF(N744&gt;=50,"Silver","Regular")))</f>
        <v>Platinum</v>
      </c>
      <c r="P744" s="4" t="str">
        <f t="shared" si="78"/>
        <v>Wednesday</v>
      </c>
      <c r="Q744" s="4" t="str">
        <f t="shared" si="79"/>
        <v>Medium Order</v>
      </c>
      <c r="R744" s="4" t="str">
        <f t="shared" si="80"/>
        <v>Weekday</v>
      </c>
      <c r="S744" s="4" t="str">
        <f t="shared" si="81"/>
        <v>Regular</v>
      </c>
    </row>
    <row r="745" spans="1:19" x14ac:dyDescent="0.3">
      <c r="A745">
        <v>6631</v>
      </c>
      <c r="B745" t="s">
        <v>25</v>
      </c>
      <c r="C745" s="1">
        <v>45839</v>
      </c>
      <c r="D745" t="s">
        <v>6</v>
      </c>
      <c r="E745" t="s">
        <v>36</v>
      </c>
      <c r="F745">
        <v>4</v>
      </c>
      <c r="G745">
        <v>13.22</v>
      </c>
      <c r="H745">
        <v>52.88</v>
      </c>
      <c r="I745" t="str">
        <f t="shared" si="77"/>
        <v>Medium</v>
      </c>
      <c r="J745">
        <v>7.93</v>
      </c>
      <c r="K745">
        <f t="shared" si="82"/>
        <v>44.95</v>
      </c>
      <c r="L745" t="str">
        <f t="shared" si="83"/>
        <v>July</v>
      </c>
      <c r="M745">
        <f>YEAR(C745)</f>
        <v>2025</v>
      </c>
      <c r="N745">
        <v>326</v>
      </c>
      <c r="O745" t="str">
        <f>IF(N745&gt;=200,"Platinum",IF(N745&gt;=100,"Gold",IF(N745&gt;=50,"Silver","Regular")))</f>
        <v>Platinum</v>
      </c>
      <c r="P745" s="4" t="str">
        <f t="shared" si="78"/>
        <v>Tuesday</v>
      </c>
      <c r="Q745" s="4" t="str">
        <f t="shared" si="79"/>
        <v>Medium Order</v>
      </c>
      <c r="R745" s="4" t="str">
        <f t="shared" si="80"/>
        <v>Weekday</v>
      </c>
      <c r="S745" s="4" t="str">
        <f t="shared" si="81"/>
        <v>Regular</v>
      </c>
    </row>
    <row r="746" spans="1:19" x14ac:dyDescent="0.3">
      <c r="A746">
        <v>1645</v>
      </c>
      <c r="B746" t="s">
        <v>3</v>
      </c>
      <c r="C746" s="1">
        <v>45384</v>
      </c>
      <c r="D746" t="s">
        <v>24</v>
      </c>
      <c r="E746" t="s">
        <v>5</v>
      </c>
      <c r="F746">
        <v>2</v>
      </c>
      <c r="G746">
        <v>25.74</v>
      </c>
      <c r="H746">
        <v>51.48</v>
      </c>
      <c r="I746" t="str">
        <f t="shared" si="77"/>
        <v>Medium</v>
      </c>
      <c r="J746">
        <v>7.72</v>
      </c>
      <c r="K746">
        <f t="shared" si="82"/>
        <v>43.76</v>
      </c>
      <c r="L746" t="str">
        <f t="shared" si="83"/>
        <v>April</v>
      </c>
      <c r="M746">
        <f>YEAR(C746)</f>
        <v>2024</v>
      </c>
      <c r="N746">
        <v>93</v>
      </c>
      <c r="O746" t="str">
        <f>IF(N746&gt;=200,"Platinum",IF(N746&gt;=100,"Gold",IF(N746&gt;=50,"Silver","Regular")))</f>
        <v>Silver</v>
      </c>
      <c r="P746" s="4" t="str">
        <f t="shared" si="78"/>
        <v>Tuesday</v>
      </c>
      <c r="Q746" s="4" t="str">
        <f t="shared" si="79"/>
        <v>Small Order</v>
      </c>
      <c r="R746" s="4" t="str">
        <f t="shared" si="80"/>
        <v>Weekday</v>
      </c>
      <c r="S746" s="4" t="str">
        <f t="shared" si="81"/>
        <v>Regular</v>
      </c>
    </row>
    <row r="747" spans="1:19" x14ac:dyDescent="0.3">
      <c r="A747">
        <v>1949</v>
      </c>
      <c r="B747" t="s">
        <v>3</v>
      </c>
      <c r="C747" s="1">
        <v>45332</v>
      </c>
      <c r="D747" t="s">
        <v>17</v>
      </c>
      <c r="E747" t="s">
        <v>26</v>
      </c>
      <c r="F747">
        <v>1</v>
      </c>
      <c r="G747">
        <v>25.14</v>
      </c>
      <c r="H747">
        <v>25.14</v>
      </c>
      <c r="I747" t="str">
        <f t="shared" si="77"/>
        <v>Low</v>
      </c>
      <c r="J747">
        <v>3.77</v>
      </c>
      <c r="K747">
        <f t="shared" si="82"/>
        <v>21.37</v>
      </c>
      <c r="L747" t="str">
        <f t="shared" si="83"/>
        <v>February</v>
      </c>
      <c r="M747">
        <f>YEAR(C747)</f>
        <v>2024</v>
      </c>
      <c r="N747">
        <v>151</v>
      </c>
      <c r="O747" t="str">
        <f>IF(N747&gt;=200,"Platinum",IF(N747&gt;=100,"Gold",IF(N747&gt;=50,"Silver","Regular")))</f>
        <v>Gold</v>
      </c>
      <c r="P747" s="4" t="str">
        <f t="shared" si="78"/>
        <v>Saturday</v>
      </c>
      <c r="Q747" s="4" t="str">
        <f t="shared" si="79"/>
        <v>Small Order</v>
      </c>
      <c r="R747" s="4" t="str">
        <f t="shared" si="80"/>
        <v>Weekend</v>
      </c>
      <c r="S747" s="4" t="str">
        <f t="shared" si="81"/>
        <v>Regular</v>
      </c>
    </row>
    <row r="748" spans="1:19" x14ac:dyDescent="0.3">
      <c r="A748">
        <v>3290</v>
      </c>
      <c r="B748" t="s">
        <v>15</v>
      </c>
      <c r="C748" s="1">
        <v>45337</v>
      </c>
      <c r="D748" t="s">
        <v>24</v>
      </c>
      <c r="E748" t="s">
        <v>29</v>
      </c>
      <c r="F748">
        <v>5</v>
      </c>
      <c r="G748">
        <v>25.1</v>
      </c>
      <c r="H748">
        <v>125.5</v>
      </c>
      <c r="I748" t="str">
        <f t="shared" si="77"/>
        <v>High</v>
      </c>
      <c r="J748">
        <v>18.82</v>
      </c>
      <c r="K748">
        <f t="shared" si="82"/>
        <v>106.68</v>
      </c>
      <c r="L748" t="str">
        <f t="shared" si="83"/>
        <v>February</v>
      </c>
      <c r="M748">
        <f>YEAR(C748)</f>
        <v>2024</v>
      </c>
      <c r="N748">
        <v>96</v>
      </c>
      <c r="O748" t="str">
        <f>IF(N748&gt;=200,"Platinum",IF(N748&gt;=100,"Gold",IF(N748&gt;=50,"Silver","Regular")))</f>
        <v>Silver</v>
      </c>
      <c r="P748" s="4" t="str">
        <f t="shared" si="78"/>
        <v>Thursday</v>
      </c>
      <c r="Q748" s="4" t="str">
        <f t="shared" si="79"/>
        <v>Medium Order</v>
      </c>
      <c r="R748" s="4" t="str">
        <f t="shared" si="80"/>
        <v>Weekday</v>
      </c>
      <c r="S748" s="4" t="str">
        <f t="shared" si="81"/>
        <v>High Value</v>
      </c>
    </row>
    <row r="749" spans="1:19" x14ac:dyDescent="0.3">
      <c r="A749">
        <v>1483</v>
      </c>
      <c r="B749" t="s">
        <v>31</v>
      </c>
      <c r="C749" s="1">
        <v>45442</v>
      </c>
      <c r="D749" t="s">
        <v>11</v>
      </c>
      <c r="E749" t="s">
        <v>26</v>
      </c>
      <c r="F749">
        <v>2</v>
      </c>
      <c r="G749">
        <v>24.94</v>
      </c>
      <c r="H749">
        <v>49.88</v>
      </c>
      <c r="I749" t="str">
        <f t="shared" si="77"/>
        <v>Medium</v>
      </c>
      <c r="J749">
        <v>7.48</v>
      </c>
      <c r="K749">
        <f t="shared" si="82"/>
        <v>42.400000000000006</v>
      </c>
      <c r="L749" t="str">
        <f t="shared" si="83"/>
        <v>May</v>
      </c>
      <c r="M749">
        <f>YEAR(C749)</f>
        <v>2024</v>
      </c>
      <c r="N749">
        <v>265</v>
      </c>
      <c r="O749" t="str">
        <f>IF(N749&gt;=200,"Platinum",IF(N749&gt;=100,"Gold",IF(N749&gt;=50,"Silver","Regular")))</f>
        <v>Platinum</v>
      </c>
      <c r="P749" s="4" t="str">
        <f t="shared" si="78"/>
        <v>Thursday</v>
      </c>
      <c r="Q749" s="4" t="str">
        <f t="shared" si="79"/>
        <v>Small Order</v>
      </c>
      <c r="R749" s="4" t="str">
        <f t="shared" si="80"/>
        <v>Weekday</v>
      </c>
      <c r="S749" s="4" t="str">
        <f t="shared" si="81"/>
        <v>Regular</v>
      </c>
    </row>
    <row r="750" spans="1:19" x14ac:dyDescent="0.3">
      <c r="A750">
        <v>4043</v>
      </c>
      <c r="B750" t="s">
        <v>3</v>
      </c>
      <c r="C750" s="1">
        <v>45523</v>
      </c>
      <c r="D750" t="s">
        <v>6</v>
      </c>
      <c r="E750" t="s">
        <v>33</v>
      </c>
      <c r="F750">
        <v>3</v>
      </c>
      <c r="G750">
        <v>20.25</v>
      </c>
      <c r="H750">
        <v>60.75</v>
      </c>
      <c r="I750" t="str">
        <f t="shared" si="77"/>
        <v>Medium</v>
      </c>
      <c r="J750">
        <v>9.11</v>
      </c>
      <c r="K750">
        <f t="shared" si="82"/>
        <v>51.64</v>
      </c>
      <c r="L750" t="str">
        <f t="shared" si="83"/>
        <v>August</v>
      </c>
      <c r="M750">
        <f>YEAR(C750)</f>
        <v>2024</v>
      </c>
      <c r="N750">
        <v>204</v>
      </c>
      <c r="O750" t="str">
        <f>IF(N750&gt;=200,"Platinum",IF(N750&gt;=100,"Gold",IF(N750&gt;=50,"Silver","Regular")))</f>
        <v>Platinum</v>
      </c>
      <c r="P750" s="4" t="str">
        <f t="shared" si="78"/>
        <v>Monday</v>
      </c>
      <c r="Q750" s="4" t="str">
        <f t="shared" si="79"/>
        <v>Medium Order</v>
      </c>
      <c r="R750" s="4" t="str">
        <f t="shared" si="80"/>
        <v>Weekday</v>
      </c>
      <c r="S750" s="4" t="str">
        <f t="shared" si="81"/>
        <v>Regular</v>
      </c>
    </row>
    <row r="751" spans="1:19" x14ac:dyDescent="0.3">
      <c r="A751">
        <v>6651</v>
      </c>
      <c r="B751" t="s">
        <v>0</v>
      </c>
      <c r="C751" s="1">
        <v>45164</v>
      </c>
      <c r="D751" t="s">
        <v>11</v>
      </c>
      <c r="E751" t="s">
        <v>37</v>
      </c>
      <c r="F751">
        <v>4</v>
      </c>
      <c r="G751">
        <v>24.29</v>
      </c>
      <c r="H751">
        <v>97.16</v>
      </c>
      <c r="I751" t="str">
        <f t="shared" si="77"/>
        <v>High</v>
      </c>
      <c r="J751">
        <v>14.57</v>
      </c>
      <c r="K751">
        <f t="shared" si="82"/>
        <v>82.59</v>
      </c>
      <c r="L751" t="str">
        <f t="shared" si="83"/>
        <v>August</v>
      </c>
      <c r="M751">
        <f>YEAR(C751)</f>
        <v>2023</v>
      </c>
      <c r="N751">
        <v>6</v>
      </c>
      <c r="O751" t="str">
        <f>IF(N751&gt;=200,"Platinum",IF(N751&gt;=100,"Gold",IF(N751&gt;=50,"Silver","Regular")))</f>
        <v>Regular</v>
      </c>
      <c r="P751" s="4" t="str">
        <f t="shared" si="78"/>
        <v>Saturday</v>
      </c>
      <c r="Q751" s="4" t="str">
        <f t="shared" si="79"/>
        <v>Medium Order</v>
      </c>
      <c r="R751" s="4" t="str">
        <f t="shared" si="80"/>
        <v>Weekend</v>
      </c>
      <c r="S751" s="4" t="str">
        <f t="shared" si="81"/>
        <v>Regular</v>
      </c>
    </row>
    <row r="752" spans="1:19" x14ac:dyDescent="0.3">
      <c r="A752">
        <v>7939</v>
      </c>
      <c r="B752" t="s">
        <v>20</v>
      </c>
      <c r="C752" s="1">
        <v>45789</v>
      </c>
      <c r="D752" t="s">
        <v>11</v>
      </c>
      <c r="E752" t="s">
        <v>37</v>
      </c>
      <c r="F752">
        <v>3</v>
      </c>
      <c r="G752">
        <v>23.94</v>
      </c>
      <c r="H752">
        <v>71.819999999999993</v>
      </c>
      <c r="I752" t="str">
        <f t="shared" si="77"/>
        <v>High</v>
      </c>
      <c r="J752">
        <v>10.77</v>
      </c>
      <c r="K752">
        <f t="shared" si="82"/>
        <v>61.05</v>
      </c>
      <c r="L752" t="str">
        <f t="shared" si="83"/>
        <v>May</v>
      </c>
      <c r="M752">
        <f>YEAR(C752)</f>
        <v>2025</v>
      </c>
      <c r="N752">
        <v>70</v>
      </c>
      <c r="O752" t="str">
        <f>IF(N752&gt;=200,"Platinum",IF(N752&gt;=100,"Gold",IF(N752&gt;=50,"Silver","Regular")))</f>
        <v>Silver</v>
      </c>
      <c r="P752" s="4" t="str">
        <f t="shared" si="78"/>
        <v>Monday</v>
      </c>
      <c r="Q752" s="4" t="str">
        <f t="shared" si="79"/>
        <v>Medium Order</v>
      </c>
      <c r="R752" s="4" t="str">
        <f t="shared" si="80"/>
        <v>Weekday</v>
      </c>
      <c r="S752" s="4" t="str">
        <f t="shared" si="81"/>
        <v>Regular</v>
      </c>
    </row>
    <row r="753" spans="1:19" x14ac:dyDescent="0.3">
      <c r="A753">
        <v>3827</v>
      </c>
      <c r="B753" t="s">
        <v>3</v>
      </c>
      <c r="C753" s="1">
        <v>45175</v>
      </c>
      <c r="D753" t="s">
        <v>34</v>
      </c>
      <c r="E753" t="s">
        <v>14</v>
      </c>
      <c r="F753">
        <v>1</v>
      </c>
      <c r="G753">
        <v>23.94</v>
      </c>
      <c r="H753">
        <v>23.94</v>
      </c>
      <c r="I753" t="str">
        <f t="shared" si="77"/>
        <v>Low</v>
      </c>
      <c r="J753">
        <v>3.59</v>
      </c>
      <c r="K753">
        <f t="shared" si="82"/>
        <v>20.350000000000001</v>
      </c>
      <c r="L753" t="str">
        <f t="shared" si="83"/>
        <v>September</v>
      </c>
      <c r="M753">
        <f>YEAR(C753)</f>
        <v>2023</v>
      </c>
      <c r="N753">
        <v>78</v>
      </c>
      <c r="O753" t="str">
        <f>IF(N753&gt;=200,"Platinum",IF(N753&gt;=100,"Gold",IF(N753&gt;=50,"Silver","Regular")))</f>
        <v>Silver</v>
      </c>
      <c r="P753" s="4" t="str">
        <f t="shared" si="78"/>
        <v>Wednesday</v>
      </c>
      <c r="Q753" s="4" t="str">
        <f t="shared" si="79"/>
        <v>Small Order</v>
      </c>
      <c r="R753" s="4" t="str">
        <f t="shared" si="80"/>
        <v>Weekday</v>
      </c>
      <c r="S753" s="4" t="str">
        <f t="shared" si="81"/>
        <v>Regular</v>
      </c>
    </row>
    <row r="754" spans="1:19" x14ac:dyDescent="0.3">
      <c r="A754">
        <v>8775</v>
      </c>
      <c r="B754" t="s">
        <v>20</v>
      </c>
      <c r="C754" s="1">
        <v>45351</v>
      </c>
      <c r="D754" t="s">
        <v>17</v>
      </c>
      <c r="E754" t="s">
        <v>10</v>
      </c>
      <c r="F754">
        <v>3</v>
      </c>
      <c r="G754">
        <v>15.56</v>
      </c>
      <c r="H754">
        <v>46.68</v>
      </c>
      <c r="I754" t="str">
        <f t="shared" si="77"/>
        <v>Medium</v>
      </c>
      <c r="J754">
        <v>7</v>
      </c>
      <c r="K754">
        <f t="shared" si="82"/>
        <v>39.68</v>
      </c>
      <c r="L754" t="str">
        <f t="shared" si="83"/>
        <v>February</v>
      </c>
      <c r="M754">
        <f>YEAR(C754)</f>
        <v>2024</v>
      </c>
      <c r="N754">
        <v>352</v>
      </c>
      <c r="O754" t="str">
        <f>IF(N754&gt;=200,"Platinum",IF(N754&gt;=100,"Gold",IF(N754&gt;=50,"Silver","Regular")))</f>
        <v>Platinum</v>
      </c>
      <c r="P754" s="4" t="str">
        <f t="shared" si="78"/>
        <v>Thursday</v>
      </c>
      <c r="Q754" s="4" t="str">
        <f t="shared" si="79"/>
        <v>Medium Order</v>
      </c>
      <c r="R754" s="4" t="str">
        <f t="shared" si="80"/>
        <v>Weekday</v>
      </c>
      <c r="S754" s="4" t="str">
        <f t="shared" si="81"/>
        <v>Regular</v>
      </c>
    </row>
    <row r="755" spans="1:19" x14ac:dyDescent="0.3">
      <c r="A755">
        <v>1742</v>
      </c>
      <c r="B755" t="s">
        <v>3</v>
      </c>
      <c r="C755" s="1">
        <v>45175</v>
      </c>
      <c r="D755" t="s">
        <v>24</v>
      </c>
      <c r="E755" t="s">
        <v>36</v>
      </c>
      <c r="F755">
        <v>4</v>
      </c>
      <c r="G755">
        <v>22.94</v>
      </c>
      <c r="H755">
        <v>91.76</v>
      </c>
      <c r="I755" t="str">
        <f t="shared" si="77"/>
        <v>High</v>
      </c>
      <c r="J755">
        <v>13.76</v>
      </c>
      <c r="K755">
        <f t="shared" si="82"/>
        <v>78</v>
      </c>
      <c r="L755" t="str">
        <f t="shared" si="83"/>
        <v>September</v>
      </c>
      <c r="M755">
        <f>YEAR(C755)</f>
        <v>2023</v>
      </c>
      <c r="N755">
        <v>309</v>
      </c>
      <c r="O755" t="str">
        <f>IF(N755&gt;=200,"Platinum",IF(N755&gt;=100,"Gold",IF(N755&gt;=50,"Silver","Regular")))</f>
        <v>Platinum</v>
      </c>
      <c r="P755" s="4" t="str">
        <f t="shared" si="78"/>
        <v>Wednesday</v>
      </c>
      <c r="Q755" s="4" t="str">
        <f t="shared" si="79"/>
        <v>Medium Order</v>
      </c>
      <c r="R755" s="4" t="str">
        <f t="shared" si="80"/>
        <v>Weekday</v>
      </c>
      <c r="S755" s="4" t="str">
        <f t="shared" si="81"/>
        <v>Regular</v>
      </c>
    </row>
    <row r="756" spans="1:19" x14ac:dyDescent="0.3">
      <c r="A756">
        <v>6990</v>
      </c>
      <c r="B756" t="s">
        <v>31</v>
      </c>
      <c r="C756" s="1">
        <v>45731</v>
      </c>
      <c r="D756" t="s">
        <v>23</v>
      </c>
      <c r="E756" t="s">
        <v>33</v>
      </c>
      <c r="F756">
        <v>1</v>
      </c>
      <c r="G756">
        <v>22.74</v>
      </c>
      <c r="H756">
        <v>22.74</v>
      </c>
      <c r="I756" t="str">
        <f t="shared" si="77"/>
        <v>Low</v>
      </c>
      <c r="J756">
        <v>3.41</v>
      </c>
      <c r="K756">
        <f t="shared" si="82"/>
        <v>19.329999999999998</v>
      </c>
      <c r="L756" t="str">
        <f t="shared" si="83"/>
        <v>March</v>
      </c>
      <c r="M756">
        <f>YEAR(C756)</f>
        <v>2025</v>
      </c>
      <c r="N756">
        <v>414</v>
      </c>
      <c r="O756" t="str">
        <f>IF(N756&gt;=200,"Platinum",IF(N756&gt;=100,"Gold",IF(N756&gt;=50,"Silver","Regular")))</f>
        <v>Platinum</v>
      </c>
      <c r="P756" s="4" t="str">
        <f t="shared" si="78"/>
        <v>Saturday</v>
      </c>
      <c r="Q756" s="4" t="str">
        <f t="shared" si="79"/>
        <v>Small Order</v>
      </c>
      <c r="R756" s="4" t="str">
        <f t="shared" si="80"/>
        <v>Weekend</v>
      </c>
      <c r="S756" s="4" t="str">
        <f t="shared" si="81"/>
        <v>Regular</v>
      </c>
    </row>
    <row r="757" spans="1:19" x14ac:dyDescent="0.3">
      <c r="A757">
        <v>2838</v>
      </c>
      <c r="B757" t="s">
        <v>15</v>
      </c>
      <c r="C757" s="1">
        <v>45192</v>
      </c>
      <c r="D757" t="s">
        <v>1</v>
      </c>
      <c r="E757" t="s">
        <v>29</v>
      </c>
      <c r="F757">
        <v>3</v>
      </c>
      <c r="G757">
        <v>3.69</v>
      </c>
      <c r="H757">
        <v>11.07</v>
      </c>
      <c r="I757" t="str">
        <f t="shared" si="77"/>
        <v>Low</v>
      </c>
      <c r="J757">
        <v>1.66</v>
      </c>
      <c r="K757">
        <f t="shared" si="82"/>
        <v>9.41</v>
      </c>
      <c r="L757" t="str">
        <f t="shared" si="83"/>
        <v>September</v>
      </c>
      <c r="M757">
        <f>YEAR(C757)</f>
        <v>2023</v>
      </c>
      <c r="N757">
        <v>158</v>
      </c>
      <c r="O757" t="str">
        <f>IF(N757&gt;=200,"Platinum",IF(N757&gt;=100,"Gold",IF(N757&gt;=50,"Silver","Regular")))</f>
        <v>Gold</v>
      </c>
      <c r="P757" s="4" t="str">
        <f t="shared" si="78"/>
        <v>Saturday</v>
      </c>
      <c r="Q757" s="4" t="str">
        <f t="shared" si="79"/>
        <v>Medium Order</v>
      </c>
      <c r="R757" s="4" t="str">
        <f t="shared" si="80"/>
        <v>Weekend</v>
      </c>
      <c r="S757" s="4" t="str">
        <f t="shared" si="81"/>
        <v>Regular</v>
      </c>
    </row>
    <row r="758" spans="1:19" x14ac:dyDescent="0.3">
      <c r="A758">
        <v>7594</v>
      </c>
      <c r="B758" t="s">
        <v>0</v>
      </c>
      <c r="C758" s="1">
        <v>45356</v>
      </c>
      <c r="D758" t="s">
        <v>27</v>
      </c>
      <c r="E758" t="s">
        <v>2</v>
      </c>
      <c r="F758">
        <v>4</v>
      </c>
      <c r="G758">
        <v>21.34</v>
      </c>
      <c r="H758">
        <v>85.36</v>
      </c>
      <c r="I758" t="str">
        <f t="shared" si="77"/>
        <v>High</v>
      </c>
      <c r="J758">
        <v>12.8</v>
      </c>
      <c r="K758">
        <f t="shared" si="82"/>
        <v>72.56</v>
      </c>
      <c r="L758" t="str">
        <f t="shared" si="83"/>
        <v>March</v>
      </c>
      <c r="M758">
        <f>YEAR(C758)</f>
        <v>2024</v>
      </c>
      <c r="N758">
        <v>105</v>
      </c>
      <c r="O758" t="str">
        <f>IF(N758&gt;=200,"Platinum",IF(N758&gt;=100,"Gold",IF(N758&gt;=50,"Silver","Regular")))</f>
        <v>Gold</v>
      </c>
      <c r="P758" s="4" t="str">
        <f t="shared" si="78"/>
        <v>Tuesday</v>
      </c>
      <c r="Q758" s="4" t="str">
        <f t="shared" si="79"/>
        <v>Medium Order</v>
      </c>
      <c r="R758" s="4" t="str">
        <f t="shared" si="80"/>
        <v>Weekday</v>
      </c>
      <c r="S758" s="4" t="str">
        <f t="shared" si="81"/>
        <v>Regular</v>
      </c>
    </row>
    <row r="759" spans="1:19" x14ac:dyDescent="0.3">
      <c r="A759">
        <v>9312</v>
      </c>
      <c r="B759" t="s">
        <v>31</v>
      </c>
      <c r="C759" s="1">
        <v>45202</v>
      </c>
      <c r="D759" t="s">
        <v>4</v>
      </c>
      <c r="E759" t="s">
        <v>29</v>
      </c>
      <c r="F759">
        <v>3</v>
      </c>
      <c r="G759">
        <v>17.649999999999999</v>
      </c>
      <c r="H759">
        <v>52.95</v>
      </c>
      <c r="I759" t="str">
        <f t="shared" si="77"/>
        <v>Medium</v>
      </c>
      <c r="J759">
        <v>7.94</v>
      </c>
      <c r="K759">
        <f t="shared" si="82"/>
        <v>45.010000000000005</v>
      </c>
      <c r="L759" t="str">
        <f t="shared" si="83"/>
        <v>October</v>
      </c>
      <c r="M759">
        <f>YEAR(C759)</f>
        <v>2023</v>
      </c>
      <c r="N759">
        <v>225</v>
      </c>
      <c r="O759" t="str">
        <f>IF(N759&gt;=200,"Platinum",IF(N759&gt;=100,"Gold",IF(N759&gt;=50,"Silver","Regular")))</f>
        <v>Platinum</v>
      </c>
      <c r="P759" s="4" t="str">
        <f t="shared" si="78"/>
        <v>Tuesday</v>
      </c>
      <c r="Q759" s="4" t="str">
        <f t="shared" si="79"/>
        <v>Medium Order</v>
      </c>
      <c r="R759" s="4" t="str">
        <f t="shared" si="80"/>
        <v>Weekday</v>
      </c>
      <c r="S759" s="4" t="str">
        <f t="shared" si="81"/>
        <v>Regular</v>
      </c>
    </row>
    <row r="760" spans="1:19" x14ac:dyDescent="0.3">
      <c r="A760">
        <v>4115</v>
      </c>
      <c r="B760" t="s">
        <v>19</v>
      </c>
      <c r="C760" s="1">
        <v>45627</v>
      </c>
      <c r="D760" t="s">
        <v>34</v>
      </c>
      <c r="E760" t="s">
        <v>7</v>
      </c>
      <c r="F760">
        <v>1</v>
      </c>
      <c r="G760">
        <v>20.94</v>
      </c>
      <c r="H760">
        <v>20.94</v>
      </c>
      <c r="I760" t="str">
        <f t="shared" si="77"/>
        <v>Low</v>
      </c>
      <c r="J760">
        <v>3.14</v>
      </c>
      <c r="K760">
        <f t="shared" si="82"/>
        <v>17.8</v>
      </c>
      <c r="L760" t="str">
        <f t="shared" si="83"/>
        <v>December</v>
      </c>
      <c r="M760">
        <f>YEAR(C760)</f>
        <v>2024</v>
      </c>
      <c r="N760">
        <v>251</v>
      </c>
      <c r="O760" t="str">
        <f>IF(N760&gt;=200,"Platinum",IF(N760&gt;=100,"Gold",IF(N760&gt;=50,"Silver","Regular")))</f>
        <v>Platinum</v>
      </c>
      <c r="P760" s="4" t="str">
        <f t="shared" si="78"/>
        <v>Sunday</v>
      </c>
      <c r="Q760" s="4" t="str">
        <f t="shared" si="79"/>
        <v>Small Order</v>
      </c>
      <c r="R760" s="4" t="str">
        <f t="shared" si="80"/>
        <v>Weekend</v>
      </c>
      <c r="S760" s="4" t="str">
        <f t="shared" si="81"/>
        <v>Regular</v>
      </c>
    </row>
    <row r="761" spans="1:19" x14ac:dyDescent="0.3">
      <c r="A761">
        <v>5371</v>
      </c>
      <c r="B761" t="s">
        <v>13</v>
      </c>
      <c r="C761" s="1">
        <v>45741</v>
      </c>
      <c r="D761" t="s">
        <v>11</v>
      </c>
      <c r="E761" t="s">
        <v>33</v>
      </c>
      <c r="F761">
        <v>4</v>
      </c>
      <c r="G761">
        <v>10.47</v>
      </c>
      <c r="H761">
        <v>41.88</v>
      </c>
      <c r="I761" t="str">
        <f t="shared" si="77"/>
        <v>Medium</v>
      </c>
      <c r="J761">
        <v>6.28</v>
      </c>
      <c r="K761">
        <f t="shared" si="82"/>
        <v>35.6</v>
      </c>
      <c r="L761" t="str">
        <f t="shared" si="83"/>
        <v>March</v>
      </c>
      <c r="M761">
        <f>YEAR(C761)</f>
        <v>2025</v>
      </c>
      <c r="N761">
        <v>389</v>
      </c>
      <c r="O761" t="str">
        <f>IF(N761&gt;=200,"Platinum",IF(N761&gt;=100,"Gold",IF(N761&gt;=50,"Silver","Regular")))</f>
        <v>Platinum</v>
      </c>
      <c r="P761" s="4" t="str">
        <f t="shared" si="78"/>
        <v>Tuesday</v>
      </c>
      <c r="Q761" s="4" t="str">
        <f t="shared" si="79"/>
        <v>Medium Order</v>
      </c>
      <c r="R761" s="4" t="str">
        <f t="shared" si="80"/>
        <v>Weekday</v>
      </c>
      <c r="S761" s="4" t="str">
        <f t="shared" si="81"/>
        <v>Regular</v>
      </c>
    </row>
    <row r="762" spans="1:19" x14ac:dyDescent="0.3">
      <c r="A762">
        <v>9742</v>
      </c>
      <c r="B762" t="s">
        <v>3</v>
      </c>
      <c r="C762" s="1">
        <v>45440</v>
      </c>
      <c r="D762" t="s">
        <v>1</v>
      </c>
      <c r="E762" t="s">
        <v>21</v>
      </c>
      <c r="F762">
        <v>2</v>
      </c>
      <c r="G762">
        <v>20.94</v>
      </c>
      <c r="H762">
        <v>41.88</v>
      </c>
      <c r="I762" t="str">
        <f t="shared" si="77"/>
        <v>Medium</v>
      </c>
      <c r="J762">
        <v>6.28</v>
      </c>
      <c r="K762">
        <f t="shared" si="82"/>
        <v>35.6</v>
      </c>
      <c r="L762" t="str">
        <f t="shared" si="83"/>
        <v>May</v>
      </c>
      <c r="M762">
        <f>YEAR(C762)</f>
        <v>2024</v>
      </c>
      <c r="N762">
        <v>161</v>
      </c>
      <c r="O762" t="str">
        <f>IF(N762&gt;=200,"Platinum",IF(N762&gt;=100,"Gold",IF(N762&gt;=50,"Silver","Regular")))</f>
        <v>Gold</v>
      </c>
      <c r="P762" s="4" t="str">
        <f t="shared" si="78"/>
        <v>Tuesday</v>
      </c>
      <c r="Q762" s="4" t="str">
        <f t="shared" si="79"/>
        <v>Small Order</v>
      </c>
      <c r="R762" s="4" t="str">
        <f t="shared" si="80"/>
        <v>Weekday</v>
      </c>
      <c r="S762" s="4" t="str">
        <f t="shared" si="81"/>
        <v>Regular</v>
      </c>
    </row>
    <row r="763" spans="1:19" x14ac:dyDescent="0.3">
      <c r="A763">
        <v>8460</v>
      </c>
      <c r="B763" t="s">
        <v>15</v>
      </c>
      <c r="C763" s="1">
        <v>45754</v>
      </c>
      <c r="D763" t="s">
        <v>11</v>
      </c>
      <c r="E763" t="s">
        <v>29</v>
      </c>
      <c r="F763">
        <v>5</v>
      </c>
      <c r="G763">
        <v>20.9</v>
      </c>
      <c r="H763">
        <v>104.5</v>
      </c>
      <c r="I763" t="str">
        <f t="shared" si="77"/>
        <v>High</v>
      </c>
      <c r="J763">
        <v>15.67</v>
      </c>
      <c r="K763">
        <f t="shared" si="82"/>
        <v>88.83</v>
      </c>
      <c r="L763" t="str">
        <f t="shared" si="83"/>
        <v>April</v>
      </c>
      <c r="M763">
        <f>YEAR(C763)</f>
        <v>2025</v>
      </c>
      <c r="N763">
        <v>129</v>
      </c>
      <c r="O763" t="str">
        <f>IF(N763&gt;=200,"Platinum",IF(N763&gt;=100,"Gold",IF(N763&gt;=50,"Silver","Regular")))</f>
        <v>Gold</v>
      </c>
      <c r="P763" s="4" t="str">
        <f t="shared" si="78"/>
        <v>Monday</v>
      </c>
      <c r="Q763" s="4" t="str">
        <f t="shared" si="79"/>
        <v>Medium Order</v>
      </c>
      <c r="R763" s="4" t="str">
        <f t="shared" si="80"/>
        <v>Weekday</v>
      </c>
      <c r="S763" s="4" t="str">
        <f t="shared" si="81"/>
        <v>Regular</v>
      </c>
    </row>
    <row r="764" spans="1:19" x14ac:dyDescent="0.3">
      <c r="A764">
        <v>5552</v>
      </c>
      <c r="B764" t="s">
        <v>3</v>
      </c>
      <c r="C764" s="1">
        <v>45265</v>
      </c>
      <c r="D764" t="s">
        <v>27</v>
      </c>
      <c r="E764" t="s">
        <v>28</v>
      </c>
      <c r="F764">
        <v>5</v>
      </c>
      <c r="G764">
        <v>10.39</v>
      </c>
      <c r="H764">
        <v>51.95</v>
      </c>
      <c r="I764" t="str">
        <f t="shared" si="77"/>
        <v>Medium</v>
      </c>
      <c r="J764">
        <v>7.79</v>
      </c>
      <c r="K764">
        <f t="shared" si="82"/>
        <v>44.160000000000004</v>
      </c>
      <c r="L764" t="str">
        <f t="shared" si="83"/>
        <v>December</v>
      </c>
      <c r="M764">
        <f>YEAR(C764)</f>
        <v>2023</v>
      </c>
      <c r="N764">
        <v>9</v>
      </c>
      <c r="O764" t="str">
        <f>IF(N764&gt;=200,"Platinum",IF(N764&gt;=100,"Gold",IF(N764&gt;=50,"Silver","Regular")))</f>
        <v>Regular</v>
      </c>
      <c r="P764" s="4" t="str">
        <f t="shared" si="78"/>
        <v>Tuesday</v>
      </c>
      <c r="Q764" s="4" t="str">
        <f t="shared" si="79"/>
        <v>Medium Order</v>
      </c>
      <c r="R764" s="4" t="str">
        <f t="shared" si="80"/>
        <v>Weekday</v>
      </c>
      <c r="S764" s="4" t="str">
        <f t="shared" si="81"/>
        <v>Regular</v>
      </c>
    </row>
    <row r="765" spans="1:19" x14ac:dyDescent="0.3">
      <c r="A765">
        <v>3870</v>
      </c>
      <c r="B765" t="s">
        <v>0</v>
      </c>
      <c r="C765" s="1">
        <v>45510</v>
      </c>
      <c r="D765" t="s">
        <v>9</v>
      </c>
      <c r="E765" t="s">
        <v>36</v>
      </c>
      <c r="F765">
        <v>5</v>
      </c>
      <c r="G765">
        <v>20.66</v>
      </c>
      <c r="H765">
        <v>103.3</v>
      </c>
      <c r="I765" t="str">
        <f t="shared" si="77"/>
        <v>High</v>
      </c>
      <c r="J765">
        <v>15.49</v>
      </c>
      <c r="K765">
        <f t="shared" si="82"/>
        <v>87.81</v>
      </c>
      <c r="L765" t="str">
        <f t="shared" si="83"/>
        <v>August</v>
      </c>
      <c r="M765">
        <f>YEAR(C765)</f>
        <v>2024</v>
      </c>
      <c r="N765">
        <v>92</v>
      </c>
      <c r="O765" t="str">
        <f>IF(N765&gt;=200,"Platinum",IF(N765&gt;=100,"Gold",IF(N765&gt;=50,"Silver","Regular")))</f>
        <v>Silver</v>
      </c>
      <c r="P765" s="4" t="str">
        <f t="shared" si="78"/>
        <v>Tuesday</v>
      </c>
      <c r="Q765" s="4" t="str">
        <f t="shared" si="79"/>
        <v>Medium Order</v>
      </c>
      <c r="R765" s="4" t="str">
        <f t="shared" si="80"/>
        <v>Weekday</v>
      </c>
      <c r="S765" s="4" t="str">
        <f t="shared" si="81"/>
        <v>Regular</v>
      </c>
    </row>
    <row r="766" spans="1:19" x14ac:dyDescent="0.3">
      <c r="A766">
        <v>7883</v>
      </c>
      <c r="B766" t="s">
        <v>25</v>
      </c>
      <c r="C766" s="1">
        <v>45447</v>
      </c>
      <c r="D766" t="s">
        <v>17</v>
      </c>
      <c r="E766" t="s">
        <v>21</v>
      </c>
      <c r="F766">
        <v>3</v>
      </c>
      <c r="G766">
        <v>13.76</v>
      </c>
      <c r="H766">
        <v>41.28</v>
      </c>
      <c r="I766" t="str">
        <f t="shared" si="77"/>
        <v>Medium</v>
      </c>
      <c r="J766">
        <v>6.19</v>
      </c>
      <c r="K766">
        <f t="shared" si="82"/>
        <v>35.090000000000003</v>
      </c>
      <c r="L766" t="str">
        <f t="shared" si="83"/>
        <v>June</v>
      </c>
      <c r="M766">
        <f>YEAR(C766)</f>
        <v>2024</v>
      </c>
      <c r="N766">
        <v>220</v>
      </c>
      <c r="O766" t="str">
        <f>IF(N766&gt;=200,"Platinum",IF(N766&gt;=100,"Gold",IF(N766&gt;=50,"Silver","Regular")))</f>
        <v>Platinum</v>
      </c>
      <c r="P766" s="4" t="str">
        <f t="shared" si="78"/>
        <v>Tuesday</v>
      </c>
      <c r="Q766" s="4" t="str">
        <f t="shared" si="79"/>
        <v>Medium Order</v>
      </c>
      <c r="R766" s="4" t="str">
        <f t="shared" si="80"/>
        <v>Weekday</v>
      </c>
      <c r="S766" s="4" t="str">
        <f t="shared" si="81"/>
        <v>Regular</v>
      </c>
    </row>
    <row r="767" spans="1:19" x14ac:dyDescent="0.3">
      <c r="A767">
        <v>4246</v>
      </c>
      <c r="B767" t="s">
        <v>3</v>
      </c>
      <c r="C767" s="1">
        <v>45784</v>
      </c>
      <c r="D767" t="s">
        <v>1</v>
      </c>
      <c r="E767" t="s">
        <v>37</v>
      </c>
      <c r="F767">
        <v>5</v>
      </c>
      <c r="G767">
        <v>20.3</v>
      </c>
      <c r="H767">
        <v>101.5</v>
      </c>
      <c r="I767" t="str">
        <f t="shared" si="77"/>
        <v>High</v>
      </c>
      <c r="J767">
        <v>15.22</v>
      </c>
      <c r="K767">
        <f t="shared" si="82"/>
        <v>86.28</v>
      </c>
      <c r="L767" t="str">
        <f t="shared" si="83"/>
        <v>May</v>
      </c>
      <c r="M767">
        <f>YEAR(C767)</f>
        <v>2025</v>
      </c>
      <c r="N767">
        <v>299</v>
      </c>
      <c r="O767" t="str">
        <f>IF(N767&gt;=200,"Platinum",IF(N767&gt;=100,"Gold",IF(N767&gt;=50,"Silver","Regular")))</f>
        <v>Platinum</v>
      </c>
      <c r="P767" s="4" t="str">
        <f t="shared" si="78"/>
        <v>Wednesday</v>
      </c>
      <c r="Q767" s="4" t="str">
        <f t="shared" si="79"/>
        <v>Medium Order</v>
      </c>
      <c r="R767" s="4" t="str">
        <f t="shared" si="80"/>
        <v>Weekday</v>
      </c>
      <c r="S767" s="4" t="str">
        <f t="shared" si="81"/>
        <v>Regular</v>
      </c>
    </row>
    <row r="768" spans="1:19" x14ac:dyDescent="0.3">
      <c r="A768">
        <v>7276</v>
      </c>
      <c r="B768" t="s">
        <v>8</v>
      </c>
      <c r="C768" s="1">
        <v>45214</v>
      </c>
      <c r="D768" t="s">
        <v>9</v>
      </c>
      <c r="E768" t="s">
        <v>33</v>
      </c>
      <c r="F768">
        <v>4</v>
      </c>
      <c r="G768">
        <v>9.9700000000000006</v>
      </c>
      <c r="H768">
        <v>39.880000000000003</v>
      </c>
      <c r="I768" t="str">
        <f t="shared" si="77"/>
        <v>Medium</v>
      </c>
      <c r="J768">
        <v>5.98</v>
      </c>
      <c r="K768">
        <f t="shared" si="82"/>
        <v>33.900000000000006</v>
      </c>
      <c r="L768" t="str">
        <f t="shared" si="83"/>
        <v>October</v>
      </c>
      <c r="M768">
        <f>YEAR(C768)</f>
        <v>2023</v>
      </c>
      <c r="N768">
        <v>356</v>
      </c>
      <c r="O768" t="str">
        <f>IF(N768&gt;=200,"Platinum",IF(N768&gt;=100,"Gold",IF(N768&gt;=50,"Silver","Regular")))</f>
        <v>Platinum</v>
      </c>
      <c r="P768" s="4" t="str">
        <f t="shared" si="78"/>
        <v>Sunday</v>
      </c>
      <c r="Q768" s="4" t="str">
        <f t="shared" si="79"/>
        <v>Medium Order</v>
      </c>
      <c r="R768" s="4" t="str">
        <f t="shared" si="80"/>
        <v>Weekend</v>
      </c>
      <c r="S768" s="4" t="str">
        <f t="shared" si="81"/>
        <v>Regular</v>
      </c>
    </row>
    <row r="769" spans="1:19" x14ac:dyDescent="0.3">
      <c r="A769">
        <v>1793</v>
      </c>
      <c r="B769" t="s">
        <v>19</v>
      </c>
      <c r="C769" s="1">
        <v>45180</v>
      </c>
      <c r="D769" t="s">
        <v>24</v>
      </c>
      <c r="E769" t="s">
        <v>35</v>
      </c>
      <c r="F769">
        <v>3</v>
      </c>
      <c r="G769">
        <v>13.16</v>
      </c>
      <c r="H769">
        <v>39.479999999999997</v>
      </c>
      <c r="I769" t="str">
        <f t="shared" si="77"/>
        <v>Medium</v>
      </c>
      <c r="J769">
        <v>5.92</v>
      </c>
      <c r="K769">
        <f t="shared" si="82"/>
        <v>33.559999999999995</v>
      </c>
      <c r="L769" t="str">
        <f t="shared" si="83"/>
        <v>September</v>
      </c>
      <c r="M769">
        <f>YEAR(C769)</f>
        <v>2023</v>
      </c>
      <c r="N769">
        <v>428</v>
      </c>
      <c r="O769" t="str">
        <f>IF(N769&gt;=200,"Platinum",IF(N769&gt;=100,"Gold",IF(N769&gt;=50,"Silver","Regular")))</f>
        <v>Platinum</v>
      </c>
      <c r="P769" s="4" t="str">
        <f t="shared" si="78"/>
        <v>Monday</v>
      </c>
      <c r="Q769" s="4" t="str">
        <f t="shared" si="79"/>
        <v>Medium Order</v>
      </c>
      <c r="R769" s="4" t="str">
        <f t="shared" si="80"/>
        <v>Weekday</v>
      </c>
      <c r="S769" s="4" t="str">
        <f t="shared" si="81"/>
        <v>Regular</v>
      </c>
    </row>
    <row r="770" spans="1:19" x14ac:dyDescent="0.3">
      <c r="A770">
        <v>1794</v>
      </c>
      <c r="B770" t="s">
        <v>49</v>
      </c>
      <c r="C770" s="1">
        <v>45738</v>
      </c>
      <c r="D770" t="s">
        <v>34</v>
      </c>
      <c r="E770" t="s">
        <v>12</v>
      </c>
      <c r="F770">
        <v>5</v>
      </c>
      <c r="G770">
        <v>19.3</v>
      </c>
      <c r="H770">
        <v>96.5</v>
      </c>
      <c r="I770" t="str">
        <f t="shared" ref="I770:I833" si="84">IF(J770=0,"No Discount",IF(J770&lt;=5,"Low",IF(J770&lt;=10,"Medium",IF(J770&lt;=20,"High","Very High"))))</f>
        <v>High</v>
      </c>
      <c r="J770">
        <v>14.47</v>
      </c>
      <c r="K770">
        <f t="shared" si="82"/>
        <v>82.03</v>
      </c>
      <c r="L770" t="str">
        <f t="shared" si="83"/>
        <v>March</v>
      </c>
      <c r="M770">
        <f>YEAR(C770)</f>
        <v>2025</v>
      </c>
      <c r="N770">
        <v>15</v>
      </c>
      <c r="O770" t="str">
        <f>IF(N770&gt;=200,"Platinum",IF(N770&gt;=100,"Gold",IF(N770&gt;=50,"Silver","Regular")))</f>
        <v>Regular</v>
      </c>
      <c r="P770" s="4" t="str">
        <f t="shared" ref="P770:P833" si="85">TEXT(C770,"dddd")</f>
        <v>Saturday</v>
      </c>
      <c r="Q770" s="4" t="str">
        <f t="shared" ref="Q770:Q833" si="86">IF(F770&lt;=2,"Small Order",IF(F770&lt;=5,"Medium Order",IF(F770&lt;=10,"Large Order","Bulk Order")))</f>
        <v>Medium Order</v>
      </c>
      <c r="R770" s="4" t="str">
        <f t="shared" ref="R770:R833" si="87">IF(WEEKDAY(C770,2)&gt;5,"Weekend","Weekday")</f>
        <v>Weekend</v>
      </c>
      <c r="S770" s="4" t="str">
        <f t="shared" ref="S770:S833" si="88">IF(K770&gt;=100,"High Value","Regular")</f>
        <v>Regular</v>
      </c>
    </row>
    <row r="771" spans="1:19" x14ac:dyDescent="0.3">
      <c r="A771">
        <v>8033</v>
      </c>
      <c r="B771" t="s">
        <v>20</v>
      </c>
      <c r="C771" s="1">
        <v>45590</v>
      </c>
      <c r="D771" t="s">
        <v>17</v>
      </c>
      <c r="E771" t="s">
        <v>18</v>
      </c>
      <c r="F771">
        <v>4</v>
      </c>
      <c r="G771">
        <v>18.739999999999998</v>
      </c>
      <c r="H771">
        <v>74.959999999999994</v>
      </c>
      <c r="I771" t="str">
        <f t="shared" si="84"/>
        <v>High</v>
      </c>
      <c r="J771">
        <v>11.24</v>
      </c>
      <c r="K771">
        <f t="shared" ref="K771:K834" si="89">MAX(0,H771-J771)</f>
        <v>63.719999999999992</v>
      </c>
      <c r="L771" t="str">
        <f t="shared" ref="L771:L834" si="90">TEXT(C771,"mmmm")</f>
        <v>October</v>
      </c>
      <c r="M771">
        <f>YEAR(C771)</f>
        <v>2024</v>
      </c>
      <c r="N771">
        <v>45</v>
      </c>
      <c r="O771" t="str">
        <f>IF(N771&gt;=200,"Platinum",IF(N771&gt;=100,"Gold",IF(N771&gt;=50,"Silver","Regular")))</f>
        <v>Regular</v>
      </c>
      <c r="P771" s="4" t="str">
        <f t="shared" si="85"/>
        <v>Friday</v>
      </c>
      <c r="Q771" s="4" t="str">
        <f t="shared" si="86"/>
        <v>Medium Order</v>
      </c>
      <c r="R771" s="4" t="str">
        <f t="shared" si="87"/>
        <v>Weekday</v>
      </c>
      <c r="S771" s="4" t="str">
        <f t="shared" si="88"/>
        <v>Regular</v>
      </c>
    </row>
    <row r="772" spans="1:19" x14ac:dyDescent="0.3">
      <c r="A772">
        <v>4432</v>
      </c>
      <c r="B772" t="s">
        <v>3</v>
      </c>
      <c r="C772" s="1">
        <v>45665</v>
      </c>
      <c r="D772" t="s">
        <v>1</v>
      </c>
      <c r="E772" t="s">
        <v>7</v>
      </c>
      <c r="F772">
        <v>3</v>
      </c>
      <c r="G772">
        <v>28.01</v>
      </c>
      <c r="H772">
        <v>84.03</v>
      </c>
      <c r="I772" t="str">
        <f t="shared" si="84"/>
        <v>High</v>
      </c>
      <c r="J772">
        <v>12.6</v>
      </c>
      <c r="K772">
        <f t="shared" si="89"/>
        <v>71.430000000000007</v>
      </c>
      <c r="L772" t="str">
        <f t="shared" si="90"/>
        <v>January</v>
      </c>
      <c r="M772">
        <f>YEAR(C772)</f>
        <v>2025</v>
      </c>
      <c r="N772">
        <v>53</v>
      </c>
      <c r="O772" t="str">
        <f>IF(N772&gt;=200,"Platinum",IF(N772&gt;=100,"Gold",IF(N772&gt;=50,"Silver","Regular")))</f>
        <v>Silver</v>
      </c>
      <c r="P772" s="4" t="str">
        <f t="shared" si="85"/>
        <v>Wednesday</v>
      </c>
      <c r="Q772" s="4" t="str">
        <f t="shared" si="86"/>
        <v>Medium Order</v>
      </c>
      <c r="R772" s="4" t="str">
        <f t="shared" si="87"/>
        <v>Weekday</v>
      </c>
      <c r="S772" s="4" t="str">
        <f t="shared" si="88"/>
        <v>Regular</v>
      </c>
    </row>
    <row r="773" spans="1:19" x14ac:dyDescent="0.3">
      <c r="A773">
        <v>3507</v>
      </c>
      <c r="B773" t="s">
        <v>3</v>
      </c>
      <c r="C773" s="1">
        <v>45381</v>
      </c>
      <c r="D773" t="s">
        <v>9</v>
      </c>
      <c r="E773" t="s">
        <v>35</v>
      </c>
      <c r="F773">
        <v>3</v>
      </c>
      <c r="G773">
        <v>15.45</v>
      </c>
      <c r="H773">
        <v>46.35</v>
      </c>
      <c r="I773" t="str">
        <f t="shared" si="84"/>
        <v>Medium</v>
      </c>
      <c r="J773">
        <v>6.95</v>
      </c>
      <c r="K773">
        <f t="shared" si="89"/>
        <v>39.4</v>
      </c>
      <c r="L773" t="str">
        <f t="shared" si="90"/>
        <v>March</v>
      </c>
      <c r="M773">
        <f>YEAR(C773)</f>
        <v>2024</v>
      </c>
      <c r="N773">
        <v>237</v>
      </c>
      <c r="O773" t="str">
        <f>IF(N773&gt;=200,"Platinum",IF(N773&gt;=100,"Gold",IF(N773&gt;=50,"Silver","Regular")))</f>
        <v>Platinum</v>
      </c>
      <c r="P773" s="4" t="str">
        <f t="shared" si="85"/>
        <v>Saturday</v>
      </c>
      <c r="Q773" s="4" t="str">
        <f t="shared" si="86"/>
        <v>Medium Order</v>
      </c>
      <c r="R773" s="4" t="str">
        <f t="shared" si="87"/>
        <v>Weekend</v>
      </c>
      <c r="S773" s="4" t="str">
        <f t="shared" si="88"/>
        <v>Regular</v>
      </c>
    </row>
    <row r="774" spans="1:19" x14ac:dyDescent="0.3">
      <c r="A774">
        <v>6150</v>
      </c>
      <c r="B774" t="s">
        <v>8</v>
      </c>
      <c r="C774" s="1">
        <v>45649</v>
      </c>
      <c r="D774" t="s">
        <v>1</v>
      </c>
      <c r="E774" t="s">
        <v>29</v>
      </c>
      <c r="F774">
        <v>4</v>
      </c>
      <c r="G774">
        <v>8.92</v>
      </c>
      <c r="H774">
        <v>35.68</v>
      </c>
      <c r="I774" t="str">
        <f t="shared" si="84"/>
        <v>Medium</v>
      </c>
      <c r="J774">
        <v>5.35</v>
      </c>
      <c r="K774">
        <f t="shared" si="89"/>
        <v>30.33</v>
      </c>
      <c r="L774" t="str">
        <f t="shared" si="90"/>
        <v>December</v>
      </c>
      <c r="M774">
        <f>YEAR(C774)</f>
        <v>2024</v>
      </c>
      <c r="N774">
        <v>128</v>
      </c>
      <c r="O774" t="str">
        <f>IF(N774&gt;=200,"Platinum",IF(N774&gt;=100,"Gold",IF(N774&gt;=50,"Silver","Regular")))</f>
        <v>Gold</v>
      </c>
      <c r="P774" s="4" t="str">
        <f t="shared" si="85"/>
        <v>Monday</v>
      </c>
      <c r="Q774" s="4" t="str">
        <f t="shared" si="86"/>
        <v>Medium Order</v>
      </c>
      <c r="R774" s="4" t="str">
        <f t="shared" si="87"/>
        <v>Weekday</v>
      </c>
      <c r="S774" s="4" t="str">
        <f t="shared" si="88"/>
        <v>Regular</v>
      </c>
    </row>
    <row r="775" spans="1:19" x14ac:dyDescent="0.3">
      <c r="A775">
        <v>8369</v>
      </c>
      <c r="B775" t="s">
        <v>49</v>
      </c>
      <c r="C775" s="1">
        <v>45802</v>
      </c>
      <c r="D775" t="s">
        <v>1</v>
      </c>
      <c r="E775" t="s">
        <v>29</v>
      </c>
      <c r="F775">
        <v>5</v>
      </c>
      <c r="G775">
        <v>8.7100000000000009</v>
      </c>
      <c r="H775">
        <v>43.55</v>
      </c>
      <c r="I775" t="str">
        <f t="shared" si="84"/>
        <v>Medium</v>
      </c>
      <c r="J775">
        <v>6.53</v>
      </c>
      <c r="K775">
        <f t="shared" si="89"/>
        <v>37.019999999999996</v>
      </c>
      <c r="L775" t="str">
        <f t="shared" si="90"/>
        <v>May</v>
      </c>
      <c r="M775">
        <f>YEAR(C775)</f>
        <v>2025</v>
      </c>
      <c r="N775">
        <v>33</v>
      </c>
      <c r="O775" t="str">
        <f>IF(N775&gt;=200,"Platinum",IF(N775&gt;=100,"Gold",IF(N775&gt;=50,"Silver","Regular")))</f>
        <v>Regular</v>
      </c>
      <c r="P775" s="4" t="str">
        <f t="shared" si="85"/>
        <v>Sunday</v>
      </c>
      <c r="Q775" s="4" t="str">
        <f t="shared" si="86"/>
        <v>Medium Order</v>
      </c>
      <c r="R775" s="4" t="str">
        <f t="shared" si="87"/>
        <v>Weekend</v>
      </c>
      <c r="S775" s="4" t="str">
        <f t="shared" si="88"/>
        <v>Regular</v>
      </c>
    </row>
    <row r="776" spans="1:19" x14ac:dyDescent="0.3">
      <c r="A776">
        <v>8291</v>
      </c>
      <c r="B776" t="s">
        <v>25</v>
      </c>
      <c r="C776" s="1">
        <v>45152</v>
      </c>
      <c r="D776" t="s">
        <v>24</v>
      </c>
      <c r="E776" t="s">
        <v>5</v>
      </c>
      <c r="F776">
        <v>3</v>
      </c>
      <c r="G776">
        <v>11.56</v>
      </c>
      <c r="H776">
        <v>34.68</v>
      </c>
      <c r="I776" t="str">
        <f t="shared" si="84"/>
        <v>Medium</v>
      </c>
      <c r="J776">
        <v>5.2</v>
      </c>
      <c r="K776">
        <f t="shared" si="89"/>
        <v>29.48</v>
      </c>
      <c r="L776" t="str">
        <f t="shared" si="90"/>
        <v>August</v>
      </c>
      <c r="M776">
        <f>YEAR(C776)</f>
        <v>2023</v>
      </c>
      <c r="N776">
        <v>473</v>
      </c>
      <c r="O776" t="str">
        <f>IF(N776&gt;=200,"Platinum",IF(N776&gt;=100,"Gold",IF(N776&gt;=50,"Silver","Regular")))</f>
        <v>Platinum</v>
      </c>
      <c r="P776" s="4" t="str">
        <f t="shared" si="85"/>
        <v>Monday</v>
      </c>
      <c r="Q776" s="4" t="str">
        <f t="shared" si="86"/>
        <v>Medium Order</v>
      </c>
      <c r="R776" s="4" t="str">
        <f t="shared" si="87"/>
        <v>Weekday</v>
      </c>
      <c r="S776" s="4" t="str">
        <f t="shared" si="88"/>
        <v>Regular</v>
      </c>
    </row>
    <row r="777" spans="1:19" x14ac:dyDescent="0.3">
      <c r="A777">
        <v>1602</v>
      </c>
      <c r="B777" t="s">
        <v>8</v>
      </c>
      <c r="C777" s="1">
        <v>45759</v>
      </c>
      <c r="D777" t="s">
        <v>34</v>
      </c>
      <c r="E777" t="s">
        <v>10</v>
      </c>
      <c r="F777">
        <v>3</v>
      </c>
      <c r="G777">
        <v>17.34</v>
      </c>
      <c r="H777">
        <v>52.02</v>
      </c>
      <c r="I777" t="str">
        <f t="shared" si="84"/>
        <v>Medium</v>
      </c>
      <c r="J777">
        <v>7.8</v>
      </c>
      <c r="K777">
        <f t="shared" si="89"/>
        <v>44.220000000000006</v>
      </c>
      <c r="L777" t="str">
        <f t="shared" si="90"/>
        <v>April</v>
      </c>
      <c r="M777">
        <f>YEAR(C777)</f>
        <v>2025</v>
      </c>
      <c r="N777">
        <v>337</v>
      </c>
      <c r="O777" t="str">
        <f>IF(N777&gt;=200,"Platinum",IF(N777&gt;=100,"Gold",IF(N777&gt;=50,"Silver","Regular")))</f>
        <v>Platinum</v>
      </c>
      <c r="P777" s="4" t="str">
        <f t="shared" si="85"/>
        <v>Saturday</v>
      </c>
      <c r="Q777" s="4" t="str">
        <f t="shared" si="86"/>
        <v>Medium Order</v>
      </c>
      <c r="R777" s="4" t="str">
        <f t="shared" si="87"/>
        <v>Weekend</v>
      </c>
      <c r="S777" s="4" t="str">
        <f t="shared" si="88"/>
        <v>Regular</v>
      </c>
    </row>
    <row r="778" spans="1:19" x14ac:dyDescent="0.3">
      <c r="A778">
        <v>8953</v>
      </c>
      <c r="B778" t="s">
        <v>31</v>
      </c>
      <c r="C778" s="1">
        <v>45311</v>
      </c>
      <c r="D778" t="s">
        <v>17</v>
      </c>
      <c r="E778" t="s">
        <v>21</v>
      </c>
      <c r="F778">
        <v>2</v>
      </c>
      <c r="G778">
        <v>25.81</v>
      </c>
      <c r="H778">
        <v>51.62</v>
      </c>
      <c r="I778" t="str">
        <f t="shared" si="84"/>
        <v>Medium</v>
      </c>
      <c r="J778">
        <v>7.74</v>
      </c>
      <c r="K778">
        <f t="shared" si="89"/>
        <v>43.879999999999995</v>
      </c>
      <c r="L778" t="str">
        <f t="shared" si="90"/>
        <v>January</v>
      </c>
      <c r="M778">
        <f>YEAR(C778)</f>
        <v>2024</v>
      </c>
      <c r="N778">
        <v>210</v>
      </c>
      <c r="O778" t="str">
        <f>IF(N778&gt;=200,"Platinum",IF(N778&gt;=100,"Gold",IF(N778&gt;=50,"Silver","Regular")))</f>
        <v>Platinum</v>
      </c>
      <c r="P778" s="4" t="str">
        <f t="shared" si="85"/>
        <v>Saturday</v>
      </c>
      <c r="Q778" s="4" t="str">
        <f t="shared" si="86"/>
        <v>Small Order</v>
      </c>
      <c r="R778" s="4" t="str">
        <f t="shared" si="87"/>
        <v>Weekend</v>
      </c>
      <c r="S778" s="4" t="str">
        <f t="shared" si="88"/>
        <v>Regular</v>
      </c>
    </row>
    <row r="779" spans="1:19" x14ac:dyDescent="0.3">
      <c r="A779">
        <v>8272</v>
      </c>
      <c r="B779" t="s">
        <v>8</v>
      </c>
      <c r="C779" s="1">
        <v>45524</v>
      </c>
      <c r="D779" t="s">
        <v>6</v>
      </c>
      <c r="E779" t="s">
        <v>21</v>
      </c>
      <c r="F779">
        <v>2</v>
      </c>
      <c r="G779">
        <v>25.71</v>
      </c>
      <c r="H779">
        <v>51.42</v>
      </c>
      <c r="I779" t="str">
        <f t="shared" si="84"/>
        <v>Medium</v>
      </c>
      <c r="J779">
        <v>7.71</v>
      </c>
      <c r="K779">
        <f t="shared" si="89"/>
        <v>43.71</v>
      </c>
      <c r="L779" t="str">
        <f t="shared" si="90"/>
        <v>August</v>
      </c>
      <c r="M779">
        <f>YEAR(C779)</f>
        <v>2024</v>
      </c>
      <c r="N779">
        <v>312</v>
      </c>
      <c r="O779" t="str">
        <f>IF(N779&gt;=200,"Platinum",IF(N779&gt;=100,"Gold",IF(N779&gt;=50,"Silver","Regular")))</f>
        <v>Platinum</v>
      </c>
      <c r="P779" s="4" t="str">
        <f t="shared" si="85"/>
        <v>Tuesday</v>
      </c>
      <c r="Q779" s="4" t="str">
        <f t="shared" si="86"/>
        <v>Small Order</v>
      </c>
      <c r="R779" s="4" t="str">
        <f t="shared" si="87"/>
        <v>Weekday</v>
      </c>
      <c r="S779" s="4" t="str">
        <f t="shared" si="88"/>
        <v>Regular</v>
      </c>
    </row>
    <row r="780" spans="1:19" x14ac:dyDescent="0.3">
      <c r="A780">
        <v>9824</v>
      </c>
      <c r="B780" t="s">
        <v>15</v>
      </c>
      <c r="C780" s="1">
        <v>45521</v>
      </c>
      <c r="D780" t="s">
        <v>11</v>
      </c>
      <c r="E780" t="s">
        <v>26</v>
      </c>
      <c r="F780">
        <v>4</v>
      </c>
      <c r="G780">
        <v>16.989999999999998</v>
      </c>
      <c r="H780">
        <v>67.959999999999994</v>
      </c>
      <c r="I780" t="str">
        <f t="shared" si="84"/>
        <v>High</v>
      </c>
      <c r="J780">
        <v>10.19</v>
      </c>
      <c r="K780">
        <f t="shared" si="89"/>
        <v>57.769999999999996</v>
      </c>
      <c r="L780" t="str">
        <f t="shared" si="90"/>
        <v>August</v>
      </c>
      <c r="M780">
        <f>YEAR(C780)</f>
        <v>2024</v>
      </c>
      <c r="N780">
        <v>89</v>
      </c>
      <c r="O780" t="str">
        <f>IF(N780&gt;=200,"Platinum",IF(N780&gt;=100,"Gold",IF(N780&gt;=50,"Silver","Regular")))</f>
        <v>Silver</v>
      </c>
      <c r="P780" s="4" t="str">
        <f t="shared" si="85"/>
        <v>Saturday</v>
      </c>
      <c r="Q780" s="4" t="str">
        <f t="shared" si="86"/>
        <v>Medium Order</v>
      </c>
      <c r="R780" s="4" t="str">
        <f t="shared" si="87"/>
        <v>Weekend</v>
      </c>
      <c r="S780" s="4" t="str">
        <f t="shared" si="88"/>
        <v>Regular</v>
      </c>
    </row>
    <row r="781" spans="1:19" x14ac:dyDescent="0.3">
      <c r="A781">
        <v>9883</v>
      </c>
      <c r="B781" t="s">
        <v>15</v>
      </c>
      <c r="C781" s="1">
        <v>45192</v>
      </c>
      <c r="D781" t="s">
        <v>4</v>
      </c>
      <c r="E781" t="s">
        <v>32</v>
      </c>
      <c r="F781">
        <v>3</v>
      </c>
      <c r="G781">
        <v>18.63</v>
      </c>
      <c r="H781">
        <v>55.89</v>
      </c>
      <c r="I781" t="str">
        <f t="shared" si="84"/>
        <v>Medium</v>
      </c>
      <c r="J781">
        <v>8.3800000000000008</v>
      </c>
      <c r="K781">
        <f t="shared" si="89"/>
        <v>47.51</v>
      </c>
      <c r="L781" t="str">
        <f t="shared" si="90"/>
        <v>September</v>
      </c>
      <c r="M781">
        <f>YEAR(C781)</f>
        <v>2023</v>
      </c>
      <c r="N781">
        <v>33</v>
      </c>
      <c r="O781" t="str">
        <f>IF(N781&gt;=200,"Platinum",IF(N781&gt;=100,"Gold",IF(N781&gt;=50,"Silver","Regular")))</f>
        <v>Regular</v>
      </c>
      <c r="P781" s="4" t="str">
        <f t="shared" si="85"/>
        <v>Saturday</v>
      </c>
      <c r="Q781" s="4" t="str">
        <f t="shared" si="86"/>
        <v>Medium Order</v>
      </c>
      <c r="R781" s="4" t="str">
        <f t="shared" si="87"/>
        <v>Weekend</v>
      </c>
      <c r="S781" s="4" t="str">
        <f t="shared" si="88"/>
        <v>Regular</v>
      </c>
    </row>
    <row r="782" spans="1:19" x14ac:dyDescent="0.3">
      <c r="A782">
        <v>2592</v>
      </c>
      <c r="B782" t="s">
        <v>20</v>
      </c>
      <c r="C782" s="1">
        <v>45327</v>
      </c>
      <c r="D782" t="s">
        <v>17</v>
      </c>
      <c r="E782" t="s">
        <v>21</v>
      </c>
      <c r="F782">
        <v>1</v>
      </c>
      <c r="G782">
        <v>23.61</v>
      </c>
      <c r="H782">
        <v>23.61</v>
      </c>
      <c r="I782" t="str">
        <f t="shared" si="84"/>
        <v>Low</v>
      </c>
      <c r="J782">
        <v>3.54</v>
      </c>
      <c r="K782">
        <f t="shared" si="89"/>
        <v>20.07</v>
      </c>
      <c r="L782" t="str">
        <f t="shared" si="90"/>
        <v>February</v>
      </c>
      <c r="M782">
        <f>YEAR(C782)</f>
        <v>2024</v>
      </c>
      <c r="N782">
        <v>471</v>
      </c>
      <c r="O782" t="str">
        <f>IF(N782&gt;=200,"Platinum",IF(N782&gt;=100,"Gold",IF(N782&gt;=50,"Silver","Regular")))</f>
        <v>Platinum</v>
      </c>
      <c r="P782" s="4" t="str">
        <f t="shared" si="85"/>
        <v>Monday</v>
      </c>
      <c r="Q782" s="4" t="str">
        <f t="shared" si="86"/>
        <v>Small Order</v>
      </c>
      <c r="R782" s="4" t="str">
        <f t="shared" si="87"/>
        <v>Weekday</v>
      </c>
      <c r="S782" s="4" t="str">
        <f t="shared" si="88"/>
        <v>Regular</v>
      </c>
    </row>
    <row r="783" spans="1:19" x14ac:dyDescent="0.3">
      <c r="A783">
        <v>1944</v>
      </c>
      <c r="B783" t="s">
        <v>13</v>
      </c>
      <c r="C783" s="1">
        <v>45581</v>
      </c>
      <c r="D783" t="s">
        <v>34</v>
      </c>
      <c r="E783" t="s">
        <v>35</v>
      </c>
      <c r="F783">
        <v>2</v>
      </c>
      <c r="G783">
        <v>23.61</v>
      </c>
      <c r="H783">
        <v>47.22</v>
      </c>
      <c r="I783" t="str">
        <f t="shared" si="84"/>
        <v>Medium</v>
      </c>
      <c r="J783">
        <v>7.08</v>
      </c>
      <c r="K783">
        <f t="shared" si="89"/>
        <v>40.14</v>
      </c>
      <c r="L783" t="str">
        <f t="shared" si="90"/>
        <v>October</v>
      </c>
      <c r="M783">
        <f>YEAR(C783)</f>
        <v>2024</v>
      </c>
      <c r="N783">
        <v>96</v>
      </c>
      <c r="O783" t="str">
        <f>IF(N783&gt;=200,"Platinum",IF(N783&gt;=100,"Gold",IF(N783&gt;=50,"Silver","Regular")))</f>
        <v>Silver</v>
      </c>
      <c r="P783" s="4" t="str">
        <f t="shared" si="85"/>
        <v>Wednesday</v>
      </c>
      <c r="Q783" s="4" t="str">
        <f t="shared" si="86"/>
        <v>Small Order</v>
      </c>
      <c r="R783" s="4" t="str">
        <f t="shared" si="87"/>
        <v>Weekday</v>
      </c>
      <c r="S783" s="4" t="str">
        <f t="shared" si="88"/>
        <v>Regular</v>
      </c>
    </row>
    <row r="784" spans="1:19" x14ac:dyDescent="0.3">
      <c r="A784">
        <v>4043</v>
      </c>
      <c r="B784" t="s">
        <v>0</v>
      </c>
      <c r="C784" s="1">
        <v>45672</v>
      </c>
      <c r="D784" t="s">
        <v>4</v>
      </c>
      <c r="E784" t="s">
        <v>22</v>
      </c>
      <c r="F784">
        <v>4</v>
      </c>
      <c r="G784">
        <v>15.29</v>
      </c>
      <c r="H784">
        <v>61.16</v>
      </c>
      <c r="I784" t="str">
        <f t="shared" si="84"/>
        <v>Medium</v>
      </c>
      <c r="J784">
        <v>9.17</v>
      </c>
      <c r="K784">
        <f t="shared" si="89"/>
        <v>51.989999999999995</v>
      </c>
      <c r="L784" t="str">
        <f t="shared" si="90"/>
        <v>January</v>
      </c>
      <c r="M784">
        <f>YEAR(C784)</f>
        <v>2025</v>
      </c>
      <c r="N784">
        <v>44</v>
      </c>
      <c r="O784" t="str">
        <f>IF(N784&gt;=200,"Platinum",IF(N784&gt;=100,"Gold",IF(N784&gt;=50,"Silver","Regular")))</f>
        <v>Regular</v>
      </c>
      <c r="P784" s="4" t="str">
        <f t="shared" si="85"/>
        <v>Wednesday</v>
      </c>
      <c r="Q784" s="4" t="str">
        <f t="shared" si="86"/>
        <v>Medium Order</v>
      </c>
      <c r="R784" s="4" t="str">
        <f t="shared" si="87"/>
        <v>Weekday</v>
      </c>
      <c r="S784" s="4" t="str">
        <f t="shared" si="88"/>
        <v>Regular</v>
      </c>
    </row>
    <row r="785" spans="1:19" x14ac:dyDescent="0.3">
      <c r="A785">
        <v>5390</v>
      </c>
      <c r="B785" t="s">
        <v>31</v>
      </c>
      <c r="C785" s="1">
        <v>45264</v>
      </c>
      <c r="D785" t="s">
        <v>24</v>
      </c>
      <c r="E785" t="s">
        <v>36</v>
      </c>
      <c r="F785">
        <v>2</v>
      </c>
      <c r="G785">
        <v>15.04</v>
      </c>
      <c r="H785">
        <v>30.08</v>
      </c>
      <c r="I785" t="str">
        <f t="shared" si="84"/>
        <v>Low</v>
      </c>
      <c r="J785">
        <v>4.51</v>
      </c>
      <c r="K785">
        <f t="shared" si="89"/>
        <v>25.57</v>
      </c>
      <c r="L785" t="str">
        <f t="shared" si="90"/>
        <v>December</v>
      </c>
      <c r="M785">
        <f>YEAR(C785)</f>
        <v>2023</v>
      </c>
      <c r="N785">
        <v>95</v>
      </c>
      <c r="O785" t="str">
        <f>IF(N785&gt;=200,"Platinum",IF(N785&gt;=100,"Gold",IF(N785&gt;=50,"Silver","Regular")))</f>
        <v>Silver</v>
      </c>
      <c r="P785" s="4" t="str">
        <f t="shared" si="85"/>
        <v>Monday</v>
      </c>
      <c r="Q785" s="4" t="str">
        <f t="shared" si="86"/>
        <v>Small Order</v>
      </c>
      <c r="R785" s="4" t="str">
        <f t="shared" si="87"/>
        <v>Weekday</v>
      </c>
      <c r="S785" s="4" t="str">
        <f t="shared" si="88"/>
        <v>Regular</v>
      </c>
    </row>
    <row r="786" spans="1:19" x14ac:dyDescent="0.3">
      <c r="A786">
        <v>2565</v>
      </c>
      <c r="B786" t="s">
        <v>8</v>
      </c>
      <c r="C786" s="1">
        <v>45537</v>
      </c>
      <c r="D786" t="s">
        <v>1</v>
      </c>
      <c r="E786" t="s">
        <v>37</v>
      </c>
      <c r="F786">
        <v>1</v>
      </c>
      <c r="G786">
        <v>22.01</v>
      </c>
      <c r="H786">
        <v>22.01</v>
      </c>
      <c r="I786" t="str">
        <f t="shared" si="84"/>
        <v>Low</v>
      </c>
      <c r="J786">
        <v>3.3</v>
      </c>
      <c r="K786">
        <f t="shared" si="89"/>
        <v>18.71</v>
      </c>
      <c r="L786" t="str">
        <f t="shared" si="90"/>
        <v>September</v>
      </c>
      <c r="M786">
        <f>YEAR(C786)</f>
        <v>2024</v>
      </c>
      <c r="N786">
        <v>233</v>
      </c>
      <c r="O786" t="str">
        <f>IF(N786&gt;=200,"Platinum",IF(N786&gt;=100,"Gold",IF(N786&gt;=50,"Silver","Regular")))</f>
        <v>Platinum</v>
      </c>
      <c r="P786" s="4" t="str">
        <f t="shared" si="85"/>
        <v>Monday</v>
      </c>
      <c r="Q786" s="4" t="str">
        <f t="shared" si="86"/>
        <v>Small Order</v>
      </c>
      <c r="R786" s="4" t="str">
        <f t="shared" si="87"/>
        <v>Weekday</v>
      </c>
      <c r="S786" s="4" t="str">
        <f t="shared" si="88"/>
        <v>Regular</v>
      </c>
    </row>
    <row r="787" spans="1:19" x14ac:dyDescent="0.3">
      <c r="A787">
        <v>6427</v>
      </c>
      <c r="B787" t="s">
        <v>20</v>
      </c>
      <c r="C787" s="1">
        <v>45584</v>
      </c>
      <c r="D787" t="s">
        <v>11</v>
      </c>
      <c r="E787" t="s">
        <v>36</v>
      </c>
      <c r="F787">
        <v>5</v>
      </c>
      <c r="G787">
        <v>7.31</v>
      </c>
      <c r="H787">
        <v>36.549999999999997</v>
      </c>
      <c r="I787" t="str">
        <f t="shared" si="84"/>
        <v>Medium</v>
      </c>
      <c r="J787">
        <v>5.48</v>
      </c>
      <c r="K787">
        <f t="shared" si="89"/>
        <v>31.069999999999997</v>
      </c>
      <c r="L787" t="str">
        <f t="shared" si="90"/>
        <v>October</v>
      </c>
      <c r="M787">
        <f>YEAR(C787)</f>
        <v>2024</v>
      </c>
      <c r="N787">
        <v>29</v>
      </c>
      <c r="O787" t="str">
        <f>IF(N787&gt;=200,"Platinum",IF(N787&gt;=100,"Gold",IF(N787&gt;=50,"Silver","Regular")))</f>
        <v>Regular</v>
      </c>
      <c r="P787" s="4" t="str">
        <f t="shared" si="85"/>
        <v>Saturday</v>
      </c>
      <c r="Q787" s="4" t="str">
        <f t="shared" si="86"/>
        <v>Medium Order</v>
      </c>
      <c r="R787" s="4" t="str">
        <f t="shared" si="87"/>
        <v>Weekend</v>
      </c>
      <c r="S787" s="4" t="str">
        <f t="shared" si="88"/>
        <v>Regular</v>
      </c>
    </row>
    <row r="788" spans="1:19" x14ac:dyDescent="0.3">
      <c r="A788">
        <v>9645</v>
      </c>
      <c r="B788" t="s">
        <v>20</v>
      </c>
      <c r="C788" s="1">
        <v>45822</v>
      </c>
      <c r="D788" t="s">
        <v>9</v>
      </c>
      <c r="E788" t="s">
        <v>22</v>
      </c>
      <c r="F788">
        <v>5</v>
      </c>
      <c r="G788">
        <v>14.62</v>
      </c>
      <c r="H788">
        <v>73.099999999999994</v>
      </c>
      <c r="I788" t="str">
        <f t="shared" si="84"/>
        <v>High</v>
      </c>
      <c r="J788">
        <v>10.96</v>
      </c>
      <c r="K788">
        <f t="shared" si="89"/>
        <v>62.139999999999993</v>
      </c>
      <c r="L788" t="str">
        <f t="shared" si="90"/>
        <v>June</v>
      </c>
      <c r="M788">
        <f>YEAR(C788)</f>
        <v>2025</v>
      </c>
      <c r="N788">
        <v>16</v>
      </c>
      <c r="O788" t="str">
        <f>IF(N788&gt;=200,"Platinum",IF(N788&gt;=100,"Gold",IF(N788&gt;=50,"Silver","Regular")))</f>
        <v>Regular</v>
      </c>
      <c r="P788" s="4" t="str">
        <f t="shared" si="85"/>
        <v>Saturday</v>
      </c>
      <c r="Q788" s="4" t="str">
        <f t="shared" si="86"/>
        <v>Medium Order</v>
      </c>
      <c r="R788" s="4" t="str">
        <f t="shared" si="87"/>
        <v>Weekend</v>
      </c>
      <c r="S788" s="4" t="str">
        <f t="shared" si="88"/>
        <v>Regular</v>
      </c>
    </row>
    <row r="789" spans="1:19" x14ac:dyDescent="0.3">
      <c r="A789">
        <v>8381</v>
      </c>
      <c r="B789" t="s">
        <v>13</v>
      </c>
      <c r="C789" s="1">
        <v>45680</v>
      </c>
      <c r="D789" t="s">
        <v>16</v>
      </c>
      <c r="E789" t="s">
        <v>10</v>
      </c>
      <c r="F789">
        <v>2</v>
      </c>
      <c r="G789">
        <v>21.91</v>
      </c>
      <c r="H789">
        <v>43.82</v>
      </c>
      <c r="I789" t="str">
        <f t="shared" si="84"/>
        <v>Medium</v>
      </c>
      <c r="J789">
        <v>6.57</v>
      </c>
      <c r="K789">
        <f t="shared" si="89"/>
        <v>37.25</v>
      </c>
      <c r="L789" t="str">
        <f t="shared" si="90"/>
        <v>January</v>
      </c>
      <c r="M789">
        <f>YEAR(C789)</f>
        <v>2025</v>
      </c>
      <c r="N789">
        <v>335</v>
      </c>
      <c r="O789" t="str">
        <f>IF(N789&gt;=200,"Platinum",IF(N789&gt;=100,"Gold",IF(N789&gt;=50,"Silver","Regular")))</f>
        <v>Platinum</v>
      </c>
      <c r="P789" s="4" t="str">
        <f t="shared" si="85"/>
        <v>Thursday</v>
      </c>
      <c r="Q789" s="4" t="str">
        <f t="shared" si="86"/>
        <v>Small Order</v>
      </c>
      <c r="R789" s="4" t="str">
        <f t="shared" si="87"/>
        <v>Weekday</v>
      </c>
      <c r="S789" s="4" t="str">
        <f t="shared" si="88"/>
        <v>Regular</v>
      </c>
    </row>
    <row r="790" spans="1:19" x14ac:dyDescent="0.3">
      <c r="A790">
        <v>7108</v>
      </c>
      <c r="B790" t="s">
        <v>25</v>
      </c>
      <c r="C790" s="1">
        <v>45237</v>
      </c>
      <c r="D790" t="s">
        <v>9</v>
      </c>
      <c r="E790" t="s">
        <v>14</v>
      </c>
      <c r="F790">
        <v>2</v>
      </c>
      <c r="G790">
        <v>28.38</v>
      </c>
      <c r="H790">
        <v>56.76</v>
      </c>
      <c r="I790" t="str">
        <f t="shared" si="84"/>
        <v>Medium</v>
      </c>
      <c r="J790">
        <v>8.51</v>
      </c>
      <c r="K790">
        <f t="shared" si="89"/>
        <v>48.25</v>
      </c>
      <c r="L790" t="str">
        <f t="shared" si="90"/>
        <v>November</v>
      </c>
      <c r="M790">
        <f>YEAR(C790)</f>
        <v>2023</v>
      </c>
      <c r="N790">
        <v>352</v>
      </c>
      <c r="O790" t="str">
        <f>IF(N790&gt;=200,"Platinum",IF(N790&gt;=100,"Gold",IF(N790&gt;=50,"Silver","Regular")))</f>
        <v>Platinum</v>
      </c>
      <c r="P790" s="4" t="str">
        <f t="shared" si="85"/>
        <v>Tuesday</v>
      </c>
      <c r="Q790" s="4" t="str">
        <f t="shared" si="86"/>
        <v>Small Order</v>
      </c>
      <c r="R790" s="4" t="str">
        <f t="shared" si="87"/>
        <v>Weekday</v>
      </c>
      <c r="S790" s="4" t="str">
        <f t="shared" si="88"/>
        <v>Regular</v>
      </c>
    </row>
    <row r="791" spans="1:19" x14ac:dyDescent="0.3">
      <c r="A791">
        <v>4545</v>
      </c>
      <c r="B791" t="s">
        <v>25</v>
      </c>
      <c r="C791" s="1">
        <v>45718</v>
      </c>
      <c r="D791" t="s">
        <v>34</v>
      </c>
      <c r="E791" t="s">
        <v>28</v>
      </c>
      <c r="F791">
        <v>3</v>
      </c>
      <c r="G791">
        <v>7.07</v>
      </c>
      <c r="H791">
        <v>21.21</v>
      </c>
      <c r="I791" t="str">
        <f t="shared" si="84"/>
        <v>Low</v>
      </c>
      <c r="J791">
        <v>3.18</v>
      </c>
      <c r="K791">
        <f t="shared" si="89"/>
        <v>18.03</v>
      </c>
      <c r="L791" t="str">
        <f t="shared" si="90"/>
        <v>March</v>
      </c>
      <c r="M791">
        <f>YEAR(C791)</f>
        <v>2025</v>
      </c>
      <c r="N791">
        <v>354</v>
      </c>
      <c r="O791" t="str">
        <f>IF(N791&gt;=200,"Platinum",IF(N791&gt;=100,"Gold",IF(N791&gt;=50,"Silver","Regular")))</f>
        <v>Platinum</v>
      </c>
      <c r="P791" s="4" t="str">
        <f t="shared" si="85"/>
        <v>Sunday</v>
      </c>
      <c r="Q791" s="4" t="str">
        <f t="shared" si="86"/>
        <v>Medium Order</v>
      </c>
      <c r="R791" s="4" t="str">
        <f t="shared" si="87"/>
        <v>Weekend</v>
      </c>
      <c r="S791" s="4" t="str">
        <f t="shared" si="88"/>
        <v>Regular</v>
      </c>
    </row>
    <row r="792" spans="1:19" x14ac:dyDescent="0.3">
      <c r="A792">
        <v>9008</v>
      </c>
      <c r="B792" t="s">
        <v>0</v>
      </c>
      <c r="C792" s="1">
        <v>45215</v>
      </c>
      <c r="D792" t="s">
        <v>34</v>
      </c>
      <c r="E792" t="s">
        <v>10</v>
      </c>
      <c r="F792">
        <v>2</v>
      </c>
      <c r="G792">
        <v>28.08</v>
      </c>
      <c r="H792">
        <v>56.16</v>
      </c>
      <c r="I792" t="str">
        <f t="shared" si="84"/>
        <v>Medium</v>
      </c>
      <c r="J792">
        <v>8.42</v>
      </c>
      <c r="K792">
        <f t="shared" si="89"/>
        <v>47.739999999999995</v>
      </c>
      <c r="L792" t="str">
        <f t="shared" si="90"/>
        <v>October</v>
      </c>
      <c r="M792">
        <f>YEAR(C792)</f>
        <v>2023</v>
      </c>
      <c r="N792">
        <v>82</v>
      </c>
      <c r="O792" t="str">
        <f>IF(N792&gt;=200,"Platinum",IF(N792&gt;=100,"Gold",IF(N792&gt;=50,"Silver","Regular")))</f>
        <v>Silver</v>
      </c>
      <c r="P792" s="4" t="str">
        <f t="shared" si="85"/>
        <v>Monday</v>
      </c>
      <c r="Q792" s="4" t="str">
        <f t="shared" si="86"/>
        <v>Small Order</v>
      </c>
      <c r="R792" s="4" t="str">
        <f t="shared" si="87"/>
        <v>Weekday</v>
      </c>
      <c r="S792" s="4" t="str">
        <f t="shared" si="88"/>
        <v>Regular</v>
      </c>
    </row>
    <row r="793" spans="1:19" x14ac:dyDescent="0.3">
      <c r="A793">
        <v>3444</v>
      </c>
      <c r="B793" t="s">
        <v>13</v>
      </c>
      <c r="C793" s="1">
        <v>45775</v>
      </c>
      <c r="D793" t="s">
        <v>1</v>
      </c>
      <c r="E793" t="s">
        <v>21</v>
      </c>
      <c r="F793">
        <v>3</v>
      </c>
      <c r="G793">
        <v>21.01</v>
      </c>
      <c r="H793">
        <v>63.03</v>
      </c>
      <c r="I793" t="str">
        <f t="shared" si="84"/>
        <v>Medium</v>
      </c>
      <c r="J793">
        <v>9.4499999999999993</v>
      </c>
      <c r="K793">
        <f t="shared" si="89"/>
        <v>53.58</v>
      </c>
      <c r="L793" t="str">
        <f t="shared" si="90"/>
        <v>April</v>
      </c>
      <c r="M793">
        <f>YEAR(C793)</f>
        <v>2025</v>
      </c>
      <c r="N793">
        <v>25</v>
      </c>
      <c r="O793" t="str">
        <f>IF(N793&gt;=200,"Platinum",IF(N793&gt;=100,"Gold",IF(N793&gt;=50,"Silver","Regular")))</f>
        <v>Regular</v>
      </c>
      <c r="P793" s="4" t="str">
        <f t="shared" si="85"/>
        <v>Monday</v>
      </c>
      <c r="Q793" s="4" t="str">
        <f t="shared" si="86"/>
        <v>Medium Order</v>
      </c>
      <c r="R793" s="4" t="str">
        <f t="shared" si="87"/>
        <v>Weekday</v>
      </c>
      <c r="S793" s="4" t="str">
        <f t="shared" si="88"/>
        <v>Regular</v>
      </c>
    </row>
    <row r="794" spans="1:19" x14ac:dyDescent="0.3">
      <c r="A794">
        <v>9312</v>
      </c>
      <c r="B794" t="s">
        <v>15</v>
      </c>
      <c r="C794" s="1">
        <v>45755</v>
      </c>
      <c r="D794" t="s">
        <v>16</v>
      </c>
      <c r="E794" t="s">
        <v>14</v>
      </c>
      <c r="F794">
        <v>2</v>
      </c>
      <c r="G794">
        <v>27.98</v>
      </c>
      <c r="H794">
        <v>55.96</v>
      </c>
      <c r="I794" t="str">
        <f t="shared" si="84"/>
        <v>Medium</v>
      </c>
      <c r="J794">
        <v>8.39</v>
      </c>
      <c r="K794">
        <f t="shared" si="89"/>
        <v>47.57</v>
      </c>
      <c r="L794" t="str">
        <f t="shared" si="90"/>
        <v>April</v>
      </c>
      <c r="M794">
        <f>YEAR(C794)</f>
        <v>2025</v>
      </c>
      <c r="N794">
        <v>269</v>
      </c>
      <c r="O794" t="str">
        <f>IF(N794&gt;=200,"Platinum",IF(N794&gt;=100,"Gold",IF(N794&gt;=50,"Silver","Regular")))</f>
        <v>Platinum</v>
      </c>
      <c r="P794" s="4" t="str">
        <f t="shared" si="85"/>
        <v>Tuesday</v>
      </c>
      <c r="Q794" s="4" t="str">
        <f t="shared" si="86"/>
        <v>Small Order</v>
      </c>
      <c r="R794" s="4" t="str">
        <f t="shared" si="87"/>
        <v>Weekday</v>
      </c>
      <c r="S794" s="4" t="str">
        <f t="shared" si="88"/>
        <v>Regular</v>
      </c>
    </row>
    <row r="795" spans="1:19" x14ac:dyDescent="0.3">
      <c r="A795">
        <v>9423</v>
      </c>
      <c r="B795" t="s">
        <v>19</v>
      </c>
      <c r="C795" s="1">
        <v>45329</v>
      </c>
      <c r="D795" t="s">
        <v>17</v>
      </c>
      <c r="E795" t="s">
        <v>36</v>
      </c>
      <c r="F795">
        <v>2</v>
      </c>
      <c r="G795">
        <v>13.94</v>
      </c>
      <c r="H795">
        <v>27.88</v>
      </c>
      <c r="I795" t="str">
        <f t="shared" si="84"/>
        <v>Low</v>
      </c>
      <c r="J795">
        <v>4.18</v>
      </c>
      <c r="K795">
        <f t="shared" si="89"/>
        <v>23.7</v>
      </c>
      <c r="L795" t="str">
        <f t="shared" si="90"/>
        <v>February</v>
      </c>
      <c r="M795">
        <f>YEAR(C795)</f>
        <v>2024</v>
      </c>
      <c r="N795">
        <v>247</v>
      </c>
      <c r="O795" t="str">
        <f>IF(N795&gt;=200,"Platinum",IF(N795&gt;=100,"Gold",IF(N795&gt;=50,"Silver","Regular")))</f>
        <v>Platinum</v>
      </c>
      <c r="P795" s="4" t="str">
        <f t="shared" si="85"/>
        <v>Wednesday</v>
      </c>
      <c r="Q795" s="4" t="str">
        <f t="shared" si="86"/>
        <v>Small Order</v>
      </c>
      <c r="R795" s="4" t="str">
        <f t="shared" si="87"/>
        <v>Weekday</v>
      </c>
      <c r="S795" s="4" t="str">
        <f t="shared" si="88"/>
        <v>Regular</v>
      </c>
    </row>
    <row r="796" spans="1:19" x14ac:dyDescent="0.3">
      <c r="A796">
        <v>2654</v>
      </c>
      <c r="B796" t="s">
        <v>3</v>
      </c>
      <c r="C796" s="1">
        <v>45440</v>
      </c>
      <c r="D796" t="s">
        <v>11</v>
      </c>
      <c r="E796" t="s">
        <v>2</v>
      </c>
      <c r="F796">
        <v>2</v>
      </c>
      <c r="G796">
        <v>20.41</v>
      </c>
      <c r="H796">
        <v>40.82</v>
      </c>
      <c r="I796" t="str">
        <f t="shared" si="84"/>
        <v>Medium</v>
      </c>
      <c r="J796">
        <v>6.12</v>
      </c>
      <c r="K796">
        <f t="shared" si="89"/>
        <v>34.700000000000003</v>
      </c>
      <c r="L796" t="str">
        <f t="shared" si="90"/>
        <v>May</v>
      </c>
      <c r="M796">
        <f>YEAR(C796)</f>
        <v>2024</v>
      </c>
      <c r="N796">
        <v>160</v>
      </c>
      <c r="O796" t="str">
        <f>IF(N796&gt;=200,"Platinum",IF(N796&gt;=100,"Gold",IF(N796&gt;=50,"Silver","Regular")))</f>
        <v>Gold</v>
      </c>
      <c r="P796" s="4" t="str">
        <f t="shared" si="85"/>
        <v>Tuesday</v>
      </c>
      <c r="Q796" s="4" t="str">
        <f t="shared" si="86"/>
        <v>Small Order</v>
      </c>
      <c r="R796" s="4" t="str">
        <f t="shared" si="87"/>
        <v>Weekday</v>
      </c>
      <c r="S796" s="4" t="str">
        <f t="shared" si="88"/>
        <v>Regular</v>
      </c>
    </row>
    <row r="797" spans="1:19" x14ac:dyDescent="0.3">
      <c r="A797">
        <v>9955</v>
      </c>
      <c r="B797" t="s">
        <v>8</v>
      </c>
      <c r="C797" s="1">
        <v>45267</v>
      </c>
      <c r="D797" t="s">
        <v>34</v>
      </c>
      <c r="E797" t="s">
        <v>5</v>
      </c>
      <c r="F797">
        <v>2</v>
      </c>
      <c r="G797">
        <v>13.14</v>
      </c>
      <c r="H797">
        <v>26.28</v>
      </c>
      <c r="I797" t="str">
        <f t="shared" si="84"/>
        <v>Low</v>
      </c>
      <c r="J797">
        <v>3.94</v>
      </c>
      <c r="K797">
        <f t="shared" si="89"/>
        <v>22.34</v>
      </c>
      <c r="L797" t="str">
        <f t="shared" si="90"/>
        <v>December</v>
      </c>
      <c r="M797">
        <f>YEAR(C797)</f>
        <v>2023</v>
      </c>
      <c r="N797">
        <v>385</v>
      </c>
      <c r="O797" t="str">
        <f>IF(N797&gt;=200,"Platinum",IF(N797&gt;=100,"Gold",IF(N797&gt;=50,"Silver","Regular")))</f>
        <v>Platinum</v>
      </c>
      <c r="P797" s="4" t="str">
        <f t="shared" si="85"/>
        <v>Thursday</v>
      </c>
      <c r="Q797" s="4" t="str">
        <f t="shared" si="86"/>
        <v>Small Order</v>
      </c>
      <c r="R797" s="4" t="str">
        <f t="shared" si="87"/>
        <v>Weekday</v>
      </c>
      <c r="S797" s="4" t="str">
        <f t="shared" si="88"/>
        <v>Regular</v>
      </c>
    </row>
    <row r="798" spans="1:19" x14ac:dyDescent="0.3">
      <c r="A798">
        <v>3458</v>
      </c>
      <c r="B798" t="s">
        <v>8</v>
      </c>
      <c r="C798" s="1">
        <v>45284</v>
      </c>
      <c r="D798" t="s">
        <v>6</v>
      </c>
      <c r="E798" t="s">
        <v>37</v>
      </c>
      <c r="F798">
        <v>1</v>
      </c>
      <c r="G798">
        <v>12.34</v>
      </c>
      <c r="H798">
        <v>12.34</v>
      </c>
      <c r="I798" t="str">
        <f t="shared" si="84"/>
        <v>Low</v>
      </c>
      <c r="J798">
        <v>1.85</v>
      </c>
      <c r="K798">
        <f t="shared" si="89"/>
        <v>10.49</v>
      </c>
      <c r="L798" t="str">
        <f t="shared" si="90"/>
        <v>December</v>
      </c>
      <c r="M798">
        <f>YEAR(C798)</f>
        <v>2023</v>
      </c>
      <c r="N798">
        <v>76</v>
      </c>
      <c r="O798" t="str">
        <f>IF(N798&gt;=200,"Platinum",IF(N798&gt;=100,"Gold",IF(N798&gt;=50,"Silver","Regular")))</f>
        <v>Silver</v>
      </c>
      <c r="P798" s="4" t="str">
        <f t="shared" si="85"/>
        <v>Sunday</v>
      </c>
      <c r="Q798" s="4" t="str">
        <f t="shared" si="86"/>
        <v>Small Order</v>
      </c>
      <c r="R798" s="4" t="str">
        <f t="shared" si="87"/>
        <v>Weekend</v>
      </c>
      <c r="S798" s="4" t="str">
        <f t="shared" si="88"/>
        <v>Regular</v>
      </c>
    </row>
    <row r="799" spans="1:19" x14ac:dyDescent="0.3">
      <c r="A799">
        <v>4050</v>
      </c>
      <c r="B799" t="s">
        <v>19</v>
      </c>
      <c r="C799" s="1">
        <v>45155</v>
      </c>
      <c r="D799" t="s">
        <v>16</v>
      </c>
      <c r="E799" t="s">
        <v>7</v>
      </c>
      <c r="F799">
        <v>2</v>
      </c>
      <c r="G799">
        <v>24.68</v>
      </c>
      <c r="H799">
        <v>49.36</v>
      </c>
      <c r="I799" t="str">
        <f t="shared" si="84"/>
        <v>Medium</v>
      </c>
      <c r="J799">
        <v>7.4</v>
      </c>
      <c r="K799">
        <f t="shared" si="89"/>
        <v>41.96</v>
      </c>
      <c r="L799" t="str">
        <f t="shared" si="90"/>
        <v>August</v>
      </c>
      <c r="M799">
        <f>YEAR(C799)</f>
        <v>2023</v>
      </c>
      <c r="N799">
        <v>112</v>
      </c>
      <c r="O799" t="str">
        <f>IF(N799&gt;=200,"Platinum",IF(N799&gt;=100,"Gold",IF(N799&gt;=50,"Silver","Regular")))</f>
        <v>Gold</v>
      </c>
      <c r="P799" s="4" t="str">
        <f t="shared" si="85"/>
        <v>Thursday</v>
      </c>
      <c r="Q799" s="4" t="str">
        <f t="shared" si="86"/>
        <v>Small Order</v>
      </c>
      <c r="R799" s="4" t="str">
        <f t="shared" si="87"/>
        <v>Weekday</v>
      </c>
      <c r="S799" s="4" t="str">
        <f t="shared" si="88"/>
        <v>Regular</v>
      </c>
    </row>
    <row r="800" spans="1:19" x14ac:dyDescent="0.3">
      <c r="A800">
        <v>1444</v>
      </c>
      <c r="B800" t="s">
        <v>15</v>
      </c>
      <c r="C800" s="1">
        <v>45210</v>
      </c>
      <c r="D800" t="s">
        <v>27</v>
      </c>
      <c r="E800" t="s">
        <v>10</v>
      </c>
      <c r="F800">
        <v>5</v>
      </c>
      <c r="G800">
        <v>12.26</v>
      </c>
      <c r="H800">
        <v>61.3</v>
      </c>
      <c r="I800" t="str">
        <f t="shared" si="84"/>
        <v>Medium</v>
      </c>
      <c r="J800">
        <v>9.19</v>
      </c>
      <c r="K800">
        <f t="shared" si="89"/>
        <v>52.11</v>
      </c>
      <c r="L800" t="str">
        <f t="shared" si="90"/>
        <v>October</v>
      </c>
      <c r="M800">
        <f>YEAR(C800)</f>
        <v>2023</v>
      </c>
      <c r="N800">
        <v>200</v>
      </c>
      <c r="O800" t="str">
        <f>IF(N800&gt;=200,"Platinum",IF(N800&gt;=100,"Gold",IF(N800&gt;=50,"Silver","Regular")))</f>
        <v>Platinum</v>
      </c>
      <c r="P800" s="4" t="str">
        <f t="shared" si="85"/>
        <v>Wednesday</v>
      </c>
      <c r="Q800" s="4" t="str">
        <f t="shared" si="86"/>
        <v>Medium Order</v>
      </c>
      <c r="R800" s="4" t="str">
        <f t="shared" si="87"/>
        <v>Weekday</v>
      </c>
      <c r="S800" s="4" t="str">
        <f t="shared" si="88"/>
        <v>Regular</v>
      </c>
    </row>
    <row r="801" spans="1:19" x14ac:dyDescent="0.3">
      <c r="A801">
        <v>8749</v>
      </c>
      <c r="B801" t="s">
        <v>19</v>
      </c>
      <c r="C801" s="1">
        <v>45692</v>
      </c>
      <c r="D801" t="s">
        <v>17</v>
      </c>
      <c r="E801" t="s">
        <v>7</v>
      </c>
      <c r="F801">
        <v>5</v>
      </c>
      <c r="G801">
        <v>6.03</v>
      </c>
      <c r="H801">
        <v>30.15</v>
      </c>
      <c r="I801" t="str">
        <f t="shared" si="84"/>
        <v>Low</v>
      </c>
      <c r="J801">
        <v>4.5199999999999996</v>
      </c>
      <c r="K801">
        <f t="shared" si="89"/>
        <v>25.63</v>
      </c>
      <c r="L801" t="str">
        <f t="shared" si="90"/>
        <v>February</v>
      </c>
      <c r="M801">
        <f>YEAR(C801)</f>
        <v>2025</v>
      </c>
      <c r="N801">
        <v>334</v>
      </c>
      <c r="O801" t="str">
        <f>IF(N801&gt;=200,"Platinum",IF(N801&gt;=100,"Gold",IF(N801&gt;=50,"Silver","Regular")))</f>
        <v>Platinum</v>
      </c>
      <c r="P801" s="4" t="str">
        <f t="shared" si="85"/>
        <v>Tuesday</v>
      </c>
      <c r="Q801" s="4" t="str">
        <f t="shared" si="86"/>
        <v>Medium Order</v>
      </c>
      <c r="R801" s="4" t="str">
        <f t="shared" si="87"/>
        <v>Weekday</v>
      </c>
      <c r="S801" s="4" t="str">
        <f t="shared" si="88"/>
        <v>Regular</v>
      </c>
    </row>
    <row r="802" spans="1:19" x14ac:dyDescent="0.3">
      <c r="A802">
        <v>2684</v>
      </c>
      <c r="B802" t="s">
        <v>25</v>
      </c>
      <c r="C802" s="1">
        <v>45258</v>
      </c>
      <c r="D802" t="s">
        <v>1</v>
      </c>
      <c r="E802" t="s">
        <v>37</v>
      </c>
      <c r="F802">
        <v>4</v>
      </c>
      <c r="G802">
        <v>11.59</v>
      </c>
      <c r="H802">
        <v>46.36</v>
      </c>
      <c r="I802" t="str">
        <f t="shared" si="84"/>
        <v>Medium</v>
      </c>
      <c r="J802">
        <v>6.95</v>
      </c>
      <c r="K802">
        <f t="shared" si="89"/>
        <v>39.409999999999997</v>
      </c>
      <c r="L802" t="str">
        <f t="shared" si="90"/>
        <v>November</v>
      </c>
      <c r="M802">
        <f>YEAR(C802)</f>
        <v>2023</v>
      </c>
      <c r="N802">
        <v>316</v>
      </c>
      <c r="O802" t="str">
        <f>IF(N802&gt;=200,"Platinum",IF(N802&gt;=100,"Gold",IF(N802&gt;=50,"Silver","Regular")))</f>
        <v>Platinum</v>
      </c>
      <c r="P802" s="4" t="str">
        <f t="shared" si="85"/>
        <v>Tuesday</v>
      </c>
      <c r="Q802" s="4" t="str">
        <f t="shared" si="86"/>
        <v>Medium Order</v>
      </c>
      <c r="R802" s="4" t="str">
        <f t="shared" si="87"/>
        <v>Weekday</v>
      </c>
      <c r="S802" s="4" t="str">
        <f t="shared" si="88"/>
        <v>Regular</v>
      </c>
    </row>
    <row r="803" spans="1:19" x14ac:dyDescent="0.3">
      <c r="A803">
        <v>5876</v>
      </c>
      <c r="B803" t="s">
        <v>31</v>
      </c>
      <c r="C803" s="1">
        <v>45743</v>
      </c>
      <c r="D803" t="s">
        <v>11</v>
      </c>
      <c r="E803" t="s">
        <v>35</v>
      </c>
      <c r="F803">
        <v>5</v>
      </c>
      <c r="G803">
        <v>5.75</v>
      </c>
      <c r="H803">
        <v>28.75</v>
      </c>
      <c r="I803" t="str">
        <f t="shared" si="84"/>
        <v>Low</v>
      </c>
      <c r="J803">
        <v>4.3099999999999996</v>
      </c>
      <c r="K803">
        <f t="shared" si="89"/>
        <v>24.44</v>
      </c>
      <c r="L803" t="str">
        <f t="shared" si="90"/>
        <v>March</v>
      </c>
      <c r="M803">
        <f>YEAR(C803)</f>
        <v>2025</v>
      </c>
      <c r="N803">
        <v>420</v>
      </c>
      <c r="O803" t="str">
        <f>IF(N803&gt;=200,"Platinum",IF(N803&gt;=100,"Gold",IF(N803&gt;=50,"Silver","Regular")))</f>
        <v>Platinum</v>
      </c>
      <c r="P803" s="4" t="str">
        <f t="shared" si="85"/>
        <v>Thursday</v>
      </c>
      <c r="Q803" s="4" t="str">
        <f t="shared" si="86"/>
        <v>Medium Order</v>
      </c>
      <c r="R803" s="4" t="str">
        <f t="shared" si="87"/>
        <v>Weekday</v>
      </c>
      <c r="S803" s="4" t="str">
        <f t="shared" si="88"/>
        <v>Regular</v>
      </c>
    </row>
    <row r="804" spans="1:19" x14ac:dyDescent="0.3">
      <c r="A804">
        <v>5979</v>
      </c>
      <c r="B804" t="s">
        <v>20</v>
      </c>
      <c r="C804" s="1">
        <v>45719</v>
      </c>
      <c r="D804" t="s">
        <v>4</v>
      </c>
      <c r="E804" t="s">
        <v>29</v>
      </c>
      <c r="F804">
        <v>3</v>
      </c>
      <c r="G804">
        <v>17.010000000000002</v>
      </c>
      <c r="H804">
        <v>51.03</v>
      </c>
      <c r="I804" t="str">
        <f t="shared" si="84"/>
        <v>Medium</v>
      </c>
      <c r="J804">
        <v>7.65</v>
      </c>
      <c r="K804">
        <f t="shared" si="89"/>
        <v>43.38</v>
      </c>
      <c r="L804" t="str">
        <f t="shared" si="90"/>
        <v>March</v>
      </c>
      <c r="M804">
        <f>YEAR(C804)</f>
        <v>2025</v>
      </c>
      <c r="N804">
        <v>188</v>
      </c>
      <c r="O804" t="str">
        <f>IF(N804&gt;=200,"Platinum",IF(N804&gt;=100,"Gold",IF(N804&gt;=50,"Silver","Regular")))</f>
        <v>Gold</v>
      </c>
      <c r="P804" s="4" t="str">
        <f t="shared" si="85"/>
        <v>Monday</v>
      </c>
      <c r="Q804" s="4" t="str">
        <f t="shared" si="86"/>
        <v>Medium Order</v>
      </c>
      <c r="R804" s="4" t="str">
        <f t="shared" si="87"/>
        <v>Weekday</v>
      </c>
      <c r="S804" s="4" t="str">
        <f t="shared" si="88"/>
        <v>Regular</v>
      </c>
    </row>
    <row r="805" spans="1:19" x14ac:dyDescent="0.3">
      <c r="A805">
        <v>7092</v>
      </c>
      <c r="B805" t="s">
        <v>25</v>
      </c>
      <c r="C805" s="1">
        <v>45243</v>
      </c>
      <c r="D805" t="s">
        <v>23</v>
      </c>
      <c r="E805" t="s">
        <v>12</v>
      </c>
      <c r="F805">
        <v>3</v>
      </c>
      <c r="G805">
        <v>17.010000000000002</v>
      </c>
      <c r="H805">
        <v>51.03</v>
      </c>
      <c r="I805" t="str">
        <f t="shared" si="84"/>
        <v>Medium</v>
      </c>
      <c r="J805">
        <v>7.65</v>
      </c>
      <c r="K805">
        <f t="shared" si="89"/>
        <v>43.38</v>
      </c>
      <c r="L805" t="str">
        <f t="shared" si="90"/>
        <v>November</v>
      </c>
      <c r="M805">
        <f>YEAR(C805)</f>
        <v>2023</v>
      </c>
      <c r="N805">
        <v>250</v>
      </c>
      <c r="O805" t="str">
        <f>IF(N805&gt;=200,"Platinum",IF(N805&gt;=100,"Gold",IF(N805&gt;=50,"Silver","Regular")))</f>
        <v>Platinum</v>
      </c>
      <c r="P805" s="4" t="str">
        <f t="shared" si="85"/>
        <v>Monday</v>
      </c>
      <c r="Q805" s="4" t="str">
        <f t="shared" si="86"/>
        <v>Medium Order</v>
      </c>
      <c r="R805" s="4" t="str">
        <f t="shared" si="87"/>
        <v>Weekday</v>
      </c>
      <c r="S805" s="4" t="str">
        <f t="shared" si="88"/>
        <v>Regular</v>
      </c>
    </row>
    <row r="806" spans="1:19" x14ac:dyDescent="0.3">
      <c r="A806">
        <v>4694</v>
      </c>
      <c r="B806" t="s">
        <v>19</v>
      </c>
      <c r="C806" s="1">
        <v>45413</v>
      </c>
      <c r="D806" t="s">
        <v>9</v>
      </c>
      <c r="E806" t="s">
        <v>21</v>
      </c>
      <c r="F806">
        <v>5</v>
      </c>
      <c r="G806">
        <v>5.55</v>
      </c>
      <c r="H806">
        <v>27.75</v>
      </c>
      <c r="I806" t="str">
        <f t="shared" si="84"/>
        <v>Low</v>
      </c>
      <c r="J806">
        <v>4.16</v>
      </c>
      <c r="K806">
        <f t="shared" si="89"/>
        <v>23.59</v>
      </c>
      <c r="L806" t="str">
        <f t="shared" si="90"/>
        <v>May</v>
      </c>
      <c r="M806">
        <f>YEAR(C806)</f>
        <v>2024</v>
      </c>
      <c r="N806">
        <v>431</v>
      </c>
      <c r="O806" t="str">
        <f>IF(N806&gt;=200,"Platinum",IF(N806&gt;=100,"Gold",IF(N806&gt;=50,"Silver","Regular")))</f>
        <v>Platinum</v>
      </c>
      <c r="P806" s="4" t="str">
        <f t="shared" si="85"/>
        <v>Wednesday</v>
      </c>
      <c r="Q806" s="4" t="str">
        <f t="shared" si="86"/>
        <v>Medium Order</v>
      </c>
      <c r="R806" s="4" t="str">
        <f t="shared" si="87"/>
        <v>Weekday</v>
      </c>
      <c r="S806" s="4" t="str">
        <f t="shared" si="88"/>
        <v>Regular</v>
      </c>
    </row>
    <row r="807" spans="1:19" x14ac:dyDescent="0.3">
      <c r="A807">
        <v>6374</v>
      </c>
      <c r="B807" t="s">
        <v>8</v>
      </c>
      <c r="C807" s="1">
        <v>45855</v>
      </c>
      <c r="D807" t="s">
        <v>27</v>
      </c>
      <c r="E807" t="s">
        <v>21</v>
      </c>
      <c r="F807">
        <v>5</v>
      </c>
      <c r="G807">
        <v>10.78</v>
      </c>
      <c r="H807">
        <v>53.9</v>
      </c>
      <c r="I807" t="str">
        <f t="shared" si="84"/>
        <v>Medium</v>
      </c>
      <c r="J807">
        <v>8.08</v>
      </c>
      <c r="K807">
        <f t="shared" si="89"/>
        <v>45.82</v>
      </c>
      <c r="L807" t="str">
        <f t="shared" si="90"/>
        <v>July</v>
      </c>
      <c r="M807">
        <f>YEAR(C807)</f>
        <v>2025</v>
      </c>
      <c r="N807">
        <v>80</v>
      </c>
      <c r="O807" t="str">
        <f>IF(N807&gt;=200,"Platinum",IF(N807&gt;=100,"Gold",IF(N807&gt;=50,"Silver","Regular")))</f>
        <v>Silver</v>
      </c>
      <c r="P807" s="4" t="str">
        <f t="shared" si="85"/>
        <v>Thursday</v>
      </c>
      <c r="Q807" s="4" t="str">
        <f t="shared" si="86"/>
        <v>Medium Order</v>
      </c>
      <c r="R807" s="4" t="str">
        <f t="shared" si="87"/>
        <v>Weekday</v>
      </c>
      <c r="S807" s="4" t="str">
        <f t="shared" si="88"/>
        <v>Regular</v>
      </c>
    </row>
    <row r="808" spans="1:19" x14ac:dyDescent="0.3">
      <c r="A808">
        <v>1822</v>
      </c>
      <c r="B808" t="s">
        <v>31</v>
      </c>
      <c r="C808" s="1">
        <v>45577</v>
      </c>
      <c r="D808" t="s">
        <v>27</v>
      </c>
      <c r="E808" t="s">
        <v>10</v>
      </c>
      <c r="F808">
        <v>3</v>
      </c>
      <c r="G808">
        <v>12.03</v>
      </c>
      <c r="H808">
        <v>36.090000000000003</v>
      </c>
      <c r="I808" t="str">
        <f t="shared" si="84"/>
        <v>Medium</v>
      </c>
      <c r="J808">
        <v>5.41</v>
      </c>
      <c r="K808">
        <f t="shared" si="89"/>
        <v>30.680000000000003</v>
      </c>
      <c r="L808" t="str">
        <f t="shared" si="90"/>
        <v>October</v>
      </c>
      <c r="M808">
        <f>YEAR(C808)</f>
        <v>2024</v>
      </c>
      <c r="N808">
        <v>273</v>
      </c>
      <c r="O808" t="str">
        <f>IF(N808&gt;=200,"Platinum",IF(N808&gt;=100,"Gold",IF(N808&gt;=50,"Silver","Regular")))</f>
        <v>Platinum</v>
      </c>
      <c r="P808" s="4" t="str">
        <f t="shared" si="85"/>
        <v>Saturday</v>
      </c>
      <c r="Q808" s="4" t="str">
        <f t="shared" si="86"/>
        <v>Medium Order</v>
      </c>
      <c r="R808" s="4" t="str">
        <f t="shared" si="87"/>
        <v>Weekend</v>
      </c>
      <c r="S808" s="4" t="str">
        <f t="shared" si="88"/>
        <v>Regular</v>
      </c>
    </row>
    <row r="809" spans="1:19" x14ac:dyDescent="0.3">
      <c r="A809">
        <v>9394</v>
      </c>
      <c r="B809" t="s">
        <v>15</v>
      </c>
      <c r="C809" s="1">
        <v>45233</v>
      </c>
      <c r="D809" t="s">
        <v>24</v>
      </c>
      <c r="E809" t="s">
        <v>5</v>
      </c>
      <c r="F809">
        <v>3</v>
      </c>
      <c r="G809">
        <v>8.4499999999999993</v>
      </c>
      <c r="H809">
        <v>25.35</v>
      </c>
      <c r="I809" t="str">
        <f t="shared" si="84"/>
        <v>Low</v>
      </c>
      <c r="J809">
        <v>3.8</v>
      </c>
      <c r="K809">
        <f t="shared" si="89"/>
        <v>21.55</v>
      </c>
      <c r="L809" t="str">
        <f t="shared" si="90"/>
        <v>November</v>
      </c>
      <c r="M809">
        <f>YEAR(C809)</f>
        <v>2023</v>
      </c>
      <c r="N809">
        <v>399</v>
      </c>
      <c r="O809" t="str">
        <f>IF(N809&gt;=200,"Platinum",IF(N809&gt;=100,"Gold",IF(N809&gt;=50,"Silver","Regular")))</f>
        <v>Platinum</v>
      </c>
      <c r="P809" s="4" t="str">
        <f t="shared" si="85"/>
        <v>Friday</v>
      </c>
      <c r="Q809" s="4" t="str">
        <f t="shared" si="86"/>
        <v>Medium Order</v>
      </c>
      <c r="R809" s="4" t="str">
        <f t="shared" si="87"/>
        <v>Weekday</v>
      </c>
      <c r="S809" s="4" t="str">
        <f t="shared" si="88"/>
        <v>Regular</v>
      </c>
    </row>
    <row r="810" spans="1:19" x14ac:dyDescent="0.3">
      <c r="A810">
        <v>9147</v>
      </c>
      <c r="B810" t="s">
        <v>13</v>
      </c>
      <c r="C810" s="1">
        <v>45506</v>
      </c>
      <c r="D810" t="s">
        <v>16</v>
      </c>
      <c r="E810" t="s">
        <v>10</v>
      </c>
      <c r="F810">
        <v>5</v>
      </c>
      <c r="G810">
        <v>5.03</v>
      </c>
      <c r="H810">
        <v>25.15</v>
      </c>
      <c r="I810" t="str">
        <f t="shared" si="84"/>
        <v>Low</v>
      </c>
      <c r="J810">
        <v>3.77</v>
      </c>
      <c r="K810">
        <f t="shared" si="89"/>
        <v>21.38</v>
      </c>
      <c r="L810" t="str">
        <f t="shared" si="90"/>
        <v>August</v>
      </c>
      <c r="M810">
        <f>YEAR(C810)</f>
        <v>2024</v>
      </c>
      <c r="N810">
        <v>393</v>
      </c>
      <c r="O810" t="str">
        <f>IF(N810&gt;=200,"Platinum",IF(N810&gt;=100,"Gold",IF(N810&gt;=50,"Silver","Regular")))</f>
        <v>Platinum</v>
      </c>
      <c r="P810" s="4" t="str">
        <f t="shared" si="85"/>
        <v>Friday</v>
      </c>
      <c r="Q810" s="4" t="str">
        <f t="shared" si="86"/>
        <v>Medium Order</v>
      </c>
      <c r="R810" s="4" t="str">
        <f t="shared" si="87"/>
        <v>Weekday</v>
      </c>
      <c r="S810" s="4" t="str">
        <f t="shared" si="88"/>
        <v>Regular</v>
      </c>
    </row>
    <row r="811" spans="1:19" x14ac:dyDescent="0.3">
      <c r="A811">
        <v>7353</v>
      </c>
      <c r="B811" t="s">
        <v>13</v>
      </c>
      <c r="C811" s="1">
        <v>45750</v>
      </c>
      <c r="D811" t="s">
        <v>6</v>
      </c>
      <c r="E811" t="s">
        <v>26</v>
      </c>
      <c r="F811">
        <v>3</v>
      </c>
      <c r="G811">
        <v>13.32</v>
      </c>
      <c r="H811">
        <v>39.96</v>
      </c>
      <c r="I811" t="str">
        <f t="shared" si="84"/>
        <v>Medium</v>
      </c>
      <c r="J811">
        <v>5.99</v>
      </c>
      <c r="K811">
        <f t="shared" si="89"/>
        <v>33.97</v>
      </c>
      <c r="L811" t="str">
        <f t="shared" si="90"/>
        <v>April</v>
      </c>
      <c r="M811">
        <f>YEAR(C811)</f>
        <v>2025</v>
      </c>
      <c r="N811">
        <v>380</v>
      </c>
      <c r="O811" t="str">
        <f>IF(N811&gt;=200,"Platinum",IF(N811&gt;=100,"Gold",IF(N811&gt;=50,"Silver","Regular")))</f>
        <v>Platinum</v>
      </c>
      <c r="P811" s="4" t="str">
        <f t="shared" si="85"/>
        <v>Thursday</v>
      </c>
      <c r="Q811" s="4" t="str">
        <f t="shared" si="86"/>
        <v>Medium Order</v>
      </c>
      <c r="R811" s="4" t="str">
        <f t="shared" si="87"/>
        <v>Weekday</v>
      </c>
      <c r="S811" s="4" t="str">
        <f t="shared" si="88"/>
        <v>Regular</v>
      </c>
    </row>
    <row r="812" spans="1:19" x14ac:dyDescent="0.3">
      <c r="A812">
        <v>8749</v>
      </c>
      <c r="B812" t="s">
        <v>8</v>
      </c>
      <c r="C812" s="1">
        <v>45772</v>
      </c>
      <c r="D812" t="s">
        <v>9</v>
      </c>
      <c r="E812" t="s">
        <v>30</v>
      </c>
      <c r="F812">
        <v>1</v>
      </c>
      <c r="G812">
        <v>14.61</v>
      </c>
      <c r="H812">
        <v>14.61</v>
      </c>
      <c r="I812" t="str">
        <f t="shared" si="84"/>
        <v>Low</v>
      </c>
      <c r="J812">
        <v>2.19</v>
      </c>
      <c r="K812">
        <f t="shared" si="89"/>
        <v>12.42</v>
      </c>
      <c r="L812" t="str">
        <f t="shared" si="90"/>
        <v>April</v>
      </c>
      <c r="M812">
        <f>YEAR(C812)</f>
        <v>2025</v>
      </c>
      <c r="N812">
        <v>496</v>
      </c>
      <c r="O812" t="str">
        <f>IF(N812&gt;=200,"Platinum",IF(N812&gt;=100,"Gold",IF(N812&gt;=50,"Silver","Regular")))</f>
        <v>Platinum</v>
      </c>
      <c r="P812" s="4" t="str">
        <f t="shared" si="85"/>
        <v>Friday</v>
      </c>
      <c r="Q812" s="4" t="str">
        <f t="shared" si="86"/>
        <v>Small Order</v>
      </c>
      <c r="R812" s="4" t="str">
        <f t="shared" si="87"/>
        <v>Weekday</v>
      </c>
      <c r="S812" s="4" t="str">
        <f t="shared" si="88"/>
        <v>Regular</v>
      </c>
    </row>
    <row r="813" spans="1:19" x14ac:dyDescent="0.3">
      <c r="A813">
        <v>8009</v>
      </c>
      <c r="B813" t="s">
        <v>20</v>
      </c>
      <c r="C813" s="1">
        <v>45302</v>
      </c>
      <c r="D813" t="s">
        <v>6</v>
      </c>
      <c r="E813" t="s">
        <v>18</v>
      </c>
      <c r="F813">
        <v>1</v>
      </c>
      <c r="G813">
        <v>19.28</v>
      </c>
      <c r="H813">
        <v>19.28</v>
      </c>
      <c r="I813" t="str">
        <f t="shared" si="84"/>
        <v>Low</v>
      </c>
      <c r="J813">
        <v>2.89</v>
      </c>
      <c r="K813">
        <f t="shared" si="89"/>
        <v>16.39</v>
      </c>
      <c r="L813" t="str">
        <f t="shared" si="90"/>
        <v>January</v>
      </c>
      <c r="M813">
        <f>YEAR(C813)</f>
        <v>2024</v>
      </c>
      <c r="N813">
        <v>168</v>
      </c>
      <c r="O813" t="str">
        <f>IF(N813&gt;=200,"Platinum",IF(N813&gt;=100,"Gold",IF(N813&gt;=50,"Silver","Regular")))</f>
        <v>Gold</v>
      </c>
      <c r="P813" s="4" t="str">
        <f t="shared" si="85"/>
        <v>Thursday</v>
      </c>
      <c r="Q813" s="4" t="str">
        <f t="shared" si="86"/>
        <v>Small Order</v>
      </c>
      <c r="R813" s="4" t="str">
        <f t="shared" si="87"/>
        <v>Weekday</v>
      </c>
      <c r="S813" s="4" t="str">
        <f t="shared" si="88"/>
        <v>Regular</v>
      </c>
    </row>
    <row r="814" spans="1:19" x14ac:dyDescent="0.3">
      <c r="A814">
        <v>9691</v>
      </c>
      <c r="B814" t="s">
        <v>20</v>
      </c>
      <c r="C814" s="1">
        <v>45312</v>
      </c>
      <c r="D814" t="s">
        <v>24</v>
      </c>
      <c r="E814" t="s">
        <v>36</v>
      </c>
      <c r="F814">
        <v>1</v>
      </c>
      <c r="G814">
        <v>4.67</v>
      </c>
      <c r="H814">
        <v>4.67</v>
      </c>
      <c r="I814" t="str">
        <f t="shared" si="84"/>
        <v>Low</v>
      </c>
      <c r="J814">
        <v>0.7</v>
      </c>
      <c r="K814">
        <f t="shared" si="89"/>
        <v>3.9699999999999998</v>
      </c>
      <c r="L814" t="str">
        <f t="shared" si="90"/>
        <v>January</v>
      </c>
      <c r="M814">
        <f>YEAR(C814)</f>
        <v>2024</v>
      </c>
      <c r="N814">
        <v>39</v>
      </c>
      <c r="O814" t="str">
        <f>IF(N814&gt;=200,"Platinum",IF(N814&gt;=100,"Gold",IF(N814&gt;=50,"Silver","Regular")))</f>
        <v>Regular</v>
      </c>
      <c r="P814" s="4" t="str">
        <f t="shared" si="85"/>
        <v>Sunday</v>
      </c>
      <c r="Q814" s="4" t="str">
        <f t="shared" si="86"/>
        <v>Small Order</v>
      </c>
      <c r="R814" s="4" t="str">
        <f t="shared" si="87"/>
        <v>Weekend</v>
      </c>
      <c r="S814" s="4" t="str">
        <f t="shared" si="88"/>
        <v>Regular</v>
      </c>
    </row>
    <row r="815" spans="1:19" x14ac:dyDescent="0.3">
      <c r="A815">
        <v>2245</v>
      </c>
      <c r="B815" t="s">
        <v>19</v>
      </c>
      <c r="C815" s="1">
        <v>45409</v>
      </c>
      <c r="D815" t="s">
        <v>4</v>
      </c>
      <c r="E815" t="s">
        <v>14</v>
      </c>
      <c r="F815">
        <v>3</v>
      </c>
      <c r="G815">
        <v>15.3</v>
      </c>
      <c r="H815">
        <v>45.9</v>
      </c>
      <c r="I815" t="str">
        <f t="shared" si="84"/>
        <v>Medium</v>
      </c>
      <c r="J815">
        <v>6.88</v>
      </c>
      <c r="K815">
        <f t="shared" si="89"/>
        <v>39.019999999999996</v>
      </c>
      <c r="L815" t="str">
        <f t="shared" si="90"/>
        <v>April</v>
      </c>
      <c r="M815">
        <f>YEAR(C815)</f>
        <v>2024</v>
      </c>
      <c r="N815">
        <v>24</v>
      </c>
      <c r="O815" t="str">
        <f>IF(N815&gt;=200,"Platinum",IF(N815&gt;=100,"Gold",IF(N815&gt;=50,"Silver","Regular")))</f>
        <v>Regular</v>
      </c>
      <c r="P815" s="4" t="str">
        <f t="shared" si="85"/>
        <v>Saturday</v>
      </c>
      <c r="Q815" s="4" t="str">
        <f t="shared" si="86"/>
        <v>Medium Order</v>
      </c>
      <c r="R815" s="4" t="str">
        <f t="shared" si="87"/>
        <v>Weekend</v>
      </c>
      <c r="S815" s="4" t="str">
        <f t="shared" si="88"/>
        <v>Regular</v>
      </c>
    </row>
    <row r="816" spans="1:19" x14ac:dyDescent="0.3">
      <c r="A816">
        <v>3541</v>
      </c>
      <c r="B816" t="s">
        <v>0</v>
      </c>
      <c r="C816" s="1">
        <v>45359</v>
      </c>
      <c r="D816" t="s">
        <v>4</v>
      </c>
      <c r="E816" t="s">
        <v>22</v>
      </c>
      <c r="F816">
        <v>5</v>
      </c>
      <c r="G816">
        <v>4.55</v>
      </c>
      <c r="H816">
        <v>22.75</v>
      </c>
      <c r="I816" t="str">
        <f t="shared" si="84"/>
        <v>Low</v>
      </c>
      <c r="J816">
        <v>3.41</v>
      </c>
      <c r="K816">
        <f t="shared" si="89"/>
        <v>19.34</v>
      </c>
      <c r="L816" t="str">
        <f t="shared" si="90"/>
        <v>March</v>
      </c>
      <c r="M816">
        <f>YEAR(C816)</f>
        <v>2024</v>
      </c>
      <c r="N816">
        <v>72</v>
      </c>
      <c r="O816" t="str">
        <f>IF(N816&gt;=200,"Platinum",IF(N816&gt;=100,"Gold",IF(N816&gt;=50,"Silver","Regular")))</f>
        <v>Silver</v>
      </c>
      <c r="P816" s="4" t="str">
        <f t="shared" si="85"/>
        <v>Friday</v>
      </c>
      <c r="Q816" s="4" t="str">
        <f t="shared" si="86"/>
        <v>Medium Order</v>
      </c>
      <c r="R816" s="4" t="str">
        <f t="shared" si="87"/>
        <v>Weekday</v>
      </c>
      <c r="S816" s="4" t="str">
        <f t="shared" si="88"/>
        <v>Regular</v>
      </c>
    </row>
    <row r="817" spans="1:19" x14ac:dyDescent="0.3">
      <c r="A817">
        <v>6000</v>
      </c>
      <c r="B817" t="s">
        <v>3</v>
      </c>
      <c r="C817" s="1">
        <v>45782</v>
      </c>
      <c r="D817" t="s">
        <v>24</v>
      </c>
      <c r="E817" t="s">
        <v>26</v>
      </c>
      <c r="F817">
        <v>4</v>
      </c>
      <c r="G817">
        <v>8.09</v>
      </c>
      <c r="H817">
        <v>32.36</v>
      </c>
      <c r="I817" t="str">
        <f t="shared" si="84"/>
        <v>Low</v>
      </c>
      <c r="J817">
        <v>4.8499999999999996</v>
      </c>
      <c r="K817">
        <f t="shared" si="89"/>
        <v>27.509999999999998</v>
      </c>
      <c r="L817" t="str">
        <f t="shared" si="90"/>
        <v>May</v>
      </c>
      <c r="M817">
        <f>YEAR(C817)</f>
        <v>2025</v>
      </c>
      <c r="N817">
        <v>413</v>
      </c>
      <c r="O817" t="str">
        <f>IF(N817&gt;=200,"Platinum",IF(N817&gt;=100,"Gold",IF(N817&gt;=50,"Silver","Regular")))</f>
        <v>Platinum</v>
      </c>
      <c r="P817" s="4" t="str">
        <f t="shared" si="85"/>
        <v>Monday</v>
      </c>
      <c r="Q817" s="4" t="str">
        <f t="shared" si="86"/>
        <v>Medium Order</v>
      </c>
      <c r="R817" s="4" t="str">
        <f t="shared" si="87"/>
        <v>Weekday</v>
      </c>
      <c r="S817" s="4" t="str">
        <f t="shared" si="88"/>
        <v>Regular</v>
      </c>
    </row>
    <row r="818" spans="1:19" x14ac:dyDescent="0.3">
      <c r="A818">
        <v>9586</v>
      </c>
      <c r="B818" t="s">
        <v>19</v>
      </c>
      <c r="C818" s="1">
        <v>45551</v>
      </c>
      <c r="D818" t="s">
        <v>16</v>
      </c>
      <c r="E818" t="s">
        <v>36</v>
      </c>
      <c r="F818">
        <v>1</v>
      </c>
      <c r="G818">
        <v>11.81</v>
      </c>
      <c r="H818">
        <v>11.81</v>
      </c>
      <c r="I818" t="str">
        <f t="shared" si="84"/>
        <v>Low</v>
      </c>
      <c r="J818">
        <v>1.77</v>
      </c>
      <c r="K818">
        <f t="shared" si="89"/>
        <v>10.040000000000001</v>
      </c>
      <c r="L818" t="str">
        <f t="shared" si="90"/>
        <v>September</v>
      </c>
      <c r="M818">
        <f>YEAR(C818)</f>
        <v>2024</v>
      </c>
      <c r="N818">
        <v>375</v>
      </c>
      <c r="O818" t="str">
        <f>IF(N818&gt;=200,"Platinum",IF(N818&gt;=100,"Gold",IF(N818&gt;=50,"Silver","Regular")))</f>
        <v>Platinum</v>
      </c>
      <c r="P818" s="4" t="str">
        <f t="shared" si="85"/>
        <v>Monday</v>
      </c>
      <c r="Q818" s="4" t="str">
        <f t="shared" si="86"/>
        <v>Small Order</v>
      </c>
      <c r="R818" s="4" t="str">
        <f t="shared" si="87"/>
        <v>Weekday</v>
      </c>
      <c r="S818" s="4" t="str">
        <f t="shared" si="88"/>
        <v>Regular</v>
      </c>
    </row>
    <row r="819" spans="1:19" x14ac:dyDescent="0.3">
      <c r="A819">
        <v>8967</v>
      </c>
      <c r="B819" t="s">
        <v>31</v>
      </c>
      <c r="C819" s="1">
        <v>45294</v>
      </c>
      <c r="D819" t="s">
        <v>17</v>
      </c>
      <c r="E819" t="s">
        <v>21</v>
      </c>
      <c r="F819">
        <v>1</v>
      </c>
      <c r="G819">
        <v>7.74</v>
      </c>
      <c r="H819">
        <v>7.74</v>
      </c>
      <c r="I819" t="str">
        <f t="shared" si="84"/>
        <v>Low</v>
      </c>
      <c r="J819">
        <v>1.1599999999999999</v>
      </c>
      <c r="K819">
        <f t="shared" si="89"/>
        <v>6.58</v>
      </c>
      <c r="L819" t="str">
        <f t="shared" si="90"/>
        <v>January</v>
      </c>
      <c r="M819">
        <f>YEAR(C819)</f>
        <v>2024</v>
      </c>
      <c r="N819">
        <v>217</v>
      </c>
      <c r="O819" t="str">
        <f>IF(N819&gt;=200,"Platinum",IF(N819&gt;=100,"Gold",IF(N819&gt;=50,"Silver","Regular")))</f>
        <v>Platinum</v>
      </c>
      <c r="P819" s="4" t="str">
        <f t="shared" si="85"/>
        <v>Wednesday</v>
      </c>
      <c r="Q819" s="4" t="str">
        <f t="shared" si="86"/>
        <v>Small Order</v>
      </c>
      <c r="R819" s="4" t="str">
        <f t="shared" si="87"/>
        <v>Weekday</v>
      </c>
      <c r="S819" s="4" t="str">
        <f t="shared" si="88"/>
        <v>Regular</v>
      </c>
    </row>
    <row r="820" spans="1:19" x14ac:dyDescent="0.3">
      <c r="A820">
        <v>3885</v>
      </c>
      <c r="B820" t="s">
        <v>15</v>
      </c>
      <c r="C820" s="1">
        <v>45714</v>
      </c>
      <c r="D820" t="s">
        <v>27</v>
      </c>
      <c r="E820" t="s">
        <v>12</v>
      </c>
      <c r="F820">
        <v>1</v>
      </c>
      <c r="G820">
        <v>15.48</v>
      </c>
      <c r="H820">
        <v>15.48</v>
      </c>
      <c r="I820" t="str">
        <f t="shared" si="84"/>
        <v>Low</v>
      </c>
      <c r="J820">
        <v>2.3199999999999998</v>
      </c>
      <c r="K820">
        <f t="shared" si="89"/>
        <v>13.16</v>
      </c>
      <c r="L820" t="str">
        <f t="shared" si="90"/>
        <v>February</v>
      </c>
      <c r="M820">
        <f>YEAR(C820)</f>
        <v>2025</v>
      </c>
      <c r="N820">
        <v>290</v>
      </c>
      <c r="O820" t="str">
        <f>IF(N820&gt;=200,"Platinum",IF(N820&gt;=100,"Gold",IF(N820&gt;=50,"Silver","Regular")))</f>
        <v>Platinum</v>
      </c>
      <c r="P820" s="4" t="str">
        <f t="shared" si="85"/>
        <v>Wednesday</v>
      </c>
      <c r="Q820" s="4" t="str">
        <f t="shared" si="86"/>
        <v>Small Order</v>
      </c>
      <c r="R820" s="4" t="str">
        <f t="shared" si="87"/>
        <v>Weekday</v>
      </c>
      <c r="S820" s="4" t="str">
        <f t="shared" si="88"/>
        <v>Regular</v>
      </c>
    </row>
    <row r="821" spans="1:19" x14ac:dyDescent="0.3">
      <c r="A821">
        <v>3807</v>
      </c>
      <c r="B821" t="s">
        <v>20</v>
      </c>
      <c r="C821" s="1">
        <v>45209</v>
      </c>
      <c r="D821" t="s">
        <v>24</v>
      </c>
      <c r="E821" t="s">
        <v>2</v>
      </c>
      <c r="F821">
        <v>1</v>
      </c>
      <c r="G821">
        <v>29.96</v>
      </c>
      <c r="H821">
        <v>29.96</v>
      </c>
      <c r="I821" t="str">
        <f t="shared" si="84"/>
        <v>Low</v>
      </c>
      <c r="J821">
        <v>4.49</v>
      </c>
      <c r="K821">
        <f t="shared" si="89"/>
        <v>25.47</v>
      </c>
      <c r="L821" t="str">
        <f t="shared" si="90"/>
        <v>October</v>
      </c>
      <c r="M821">
        <f>YEAR(C821)</f>
        <v>2023</v>
      </c>
      <c r="N821">
        <v>394</v>
      </c>
      <c r="O821" t="str">
        <f>IF(N821&gt;=200,"Platinum",IF(N821&gt;=100,"Gold",IF(N821&gt;=50,"Silver","Regular")))</f>
        <v>Platinum</v>
      </c>
      <c r="P821" s="4" t="str">
        <f t="shared" si="85"/>
        <v>Tuesday</v>
      </c>
      <c r="Q821" s="4" t="str">
        <f t="shared" si="86"/>
        <v>Small Order</v>
      </c>
      <c r="R821" s="4" t="str">
        <f t="shared" si="87"/>
        <v>Weekday</v>
      </c>
      <c r="S821" s="4" t="str">
        <f t="shared" si="88"/>
        <v>Regular</v>
      </c>
    </row>
    <row r="822" spans="1:19" x14ac:dyDescent="0.3">
      <c r="A822">
        <v>8632</v>
      </c>
      <c r="B822" t="s">
        <v>31</v>
      </c>
      <c r="C822" s="1">
        <v>45673</v>
      </c>
      <c r="D822" t="s">
        <v>6</v>
      </c>
      <c r="E822" t="s">
        <v>26</v>
      </c>
      <c r="F822">
        <v>2</v>
      </c>
      <c r="G822">
        <v>7.34</v>
      </c>
      <c r="H822">
        <v>14.68</v>
      </c>
      <c r="I822" t="str">
        <f t="shared" si="84"/>
        <v>Low</v>
      </c>
      <c r="J822">
        <v>2.2000000000000002</v>
      </c>
      <c r="K822">
        <f t="shared" si="89"/>
        <v>12.48</v>
      </c>
      <c r="L822" t="str">
        <f t="shared" si="90"/>
        <v>January</v>
      </c>
      <c r="M822">
        <f>YEAR(C822)</f>
        <v>2025</v>
      </c>
      <c r="N822">
        <v>134</v>
      </c>
      <c r="O822" t="str">
        <f>IF(N822&gt;=200,"Platinum",IF(N822&gt;=100,"Gold",IF(N822&gt;=50,"Silver","Regular")))</f>
        <v>Gold</v>
      </c>
      <c r="P822" s="4" t="str">
        <f t="shared" si="85"/>
        <v>Thursday</v>
      </c>
      <c r="Q822" s="4" t="str">
        <f t="shared" si="86"/>
        <v>Small Order</v>
      </c>
      <c r="R822" s="4" t="str">
        <f t="shared" si="87"/>
        <v>Weekday</v>
      </c>
      <c r="S822" s="4" t="str">
        <f t="shared" si="88"/>
        <v>Regular</v>
      </c>
    </row>
    <row r="823" spans="1:19" x14ac:dyDescent="0.3">
      <c r="A823">
        <v>5905</v>
      </c>
      <c r="B823" t="s">
        <v>19</v>
      </c>
      <c r="C823" s="1">
        <v>45868</v>
      </c>
      <c r="D823" t="s">
        <v>16</v>
      </c>
      <c r="E823" t="s">
        <v>21</v>
      </c>
      <c r="F823">
        <v>2</v>
      </c>
      <c r="G823">
        <v>18.25</v>
      </c>
      <c r="H823">
        <v>36.5</v>
      </c>
      <c r="I823" t="str">
        <f t="shared" si="84"/>
        <v>Medium</v>
      </c>
      <c r="J823">
        <v>5.47</v>
      </c>
      <c r="K823">
        <f t="shared" si="89"/>
        <v>31.03</v>
      </c>
      <c r="L823" t="str">
        <f t="shared" si="90"/>
        <v>July</v>
      </c>
      <c r="M823">
        <f>YEAR(C823)</f>
        <v>2025</v>
      </c>
      <c r="N823">
        <v>480</v>
      </c>
      <c r="O823" t="str">
        <f>IF(N823&gt;=200,"Platinum",IF(N823&gt;=100,"Gold",IF(N823&gt;=50,"Silver","Regular")))</f>
        <v>Platinum</v>
      </c>
      <c r="P823" s="4" t="str">
        <f t="shared" si="85"/>
        <v>Wednesday</v>
      </c>
      <c r="Q823" s="4" t="str">
        <f t="shared" si="86"/>
        <v>Small Order</v>
      </c>
      <c r="R823" s="4" t="str">
        <f t="shared" si="87"/>
        <v>Weekday</v>
      </c>
      <c r="S823" s="4" t="str">
        <f t="shared" si="88"/>
        <v>Regular</v>
      </c>
    </row>
    <row r="824" spans="1:19" x14ac:dyDescent="0.3">
      <c r="A824">
        <v>3704</v>
      </c>
      <c r="B824" t="s">
        <v>0</v>
      </c>
      <c r="C824" s="1">
        <v>45797</v>
      </c>
      <c r="D824" t="s">
        <v>16</v>
      </c>
      <c r="E824" t="s">
        <v>18</v>
      </c>
      <c r="F824">
        <v>2</v>
      </c>
      <c r="G824">
        <v>15.95</v>
      </c>
      <c r="H824">
        <v>31.9</v>
      </c>
      <c r="I824" t="str">
        <f t="shared" si="84"/>
        <v>Low</v>
      </c>
      <c r="J824">
        <v>4.78</v>
      </c>
      <c r="K824">
        <f t="shared" si="89"/>
        <v>27.119999999999997</v>
      </c>
      <c r="L824" t="str">
        <f t="shared" si="90"/>
        <v>May</v>
      </c>
      <c r="M824">
        <f>YEAR(C824)</f>
        <v>2025</v>
      </c>
      <c r="N824">
        <v>282</v>
      </c>
      <c r="O824" t="str">
        <f>IF(N824&gt;=200,"Platinum",IF(N824&gt;=100,"Gold",IF(N824&gt;=50,"Silver","Regular")))</f>
        <v>Platinum</v>
      </c>
      <c r="P824" s="4" t="str">
        <f t="shared" si="85"/>
        <v>Tuesday</v>
      </c>
      <c r="Q824" s="4" t="str">
        <f t="shared" si="86"/>
        <v>Small Order</v>
      </c>
      <c r="R824" s="4" t="str">
        <f t="shared" si="87"/>
        <v>Weekday</v>
      </c>
      <c r="S824" s="4" t="str">
        <f t="shared" si="88"/>
        <v>Regular</v>
      </c>
    </row>
    <row r="825" spans="1:19" x14ac:dyDescent="0.3">
      <c r="A825">
        <v>9589</v>
      </c>
      <c r="B825" t="s">
        <v>15</v>
      </c>
      <c r="C825" s="1">
        <v>45633</v>
      </c>
      <c r="D825" t="s">
        <v>11</v>
      </c>
      <c r="E825" t="s">
        <v>21</v>
      </c>
      <c r="F825">
        <v>4</v>
      </c>
      <c r="G825">
        <v>3.07</v>
      </c>
      <c r="H825">
        <v>12.28</v>
      </c>
      <c r="I825" t="str">
        <f t="shared" si="84"/>
        <v>Low</v>
      </c>
      <c r="J825">
        <v>1.84</v>
      </c>
      <c r="K825">
        <f t="shared" si="89"/>
        <v>10.44</v>
      </c>
      <c r="L825" t="str">
        <f t="shared" si="90"/>
        <v>December</v>
      </c>
      <c r="M825">
        <f>YEAR(C825)</f>
        <v>2024</v>
      </c>
      <c r="N825">
        <v>372</v>
      </c>
      <c r="O825" t="str">
        <f>IF(N825&gt;=200,"Platinum",IF(N825&gt;=100,"Gold",IF(N825&gt;=50,"Silver","Regular")))</f>
        <v>Platinum</v>
      </c>
      <c r="P825" s="4" t="str">
        <f t="shared" si="85"/>
        <v>Saturday</v>
      </c>
      <c r="Q825" s="4" t="str">
        <f t="shared" si="86"/>
        <v>Medium Order</v>
      </c>
      <c r="R825" s="4" t="str">
        <f t="shared" si="87"/>
        <v>Weekend</v>
      </c>
      <c r="S825" s="4" t="str">
        <f t="shared" si="88"/>
        <v>Regular</v>
      </c>
    </row>
    <row r="826" spans="1:19" x14ac:dyDescent="0.3">
      <c r="A826">
        <v>9537</v>
      </c>
      <c r="B826" t="s">
        <v>19</v>
      </c>
      <c r="C826" s="1">
        <v>45276</v>
      </c>
      <c r="D826" t="s">
        <v>27</v>
      </c>
      <c r="E826" t="s">
        <v>35</v>
      </c>
      <c r="F826">
        <v>2</v>
      </c>
      <c r="G826">
        <v>12.08</v>
      </c>
      <c r="H826">
        <v>24.16</v>
      </c>
      <c r="I826" t="str">
        <f t="shared" si="84"/>
        <v>Low</v>
      </c>
      <c r="J826">
        <v>3.62</v>
      </c>
      <c r="K826">
        <f t="shared" si="89"/>
        <v>20.54</v>
      </c>
      <c r="L826" t="str">
        <f t="shared" si="90"/>
        <v>December</v>
      </c>
      <c r="M826">
        <f>YEAR(C826)</f>
        <v>2023</v>
      </c>
      <c r="N826">
        <v>254</v>
      </c>
      <c r="O826" t="str">
        <f>IF(N826&gt;=200,"Platinum",IF(N826&gt;=100,"Gold",IF(N826&gt;=50,"Silver","Regular")))</f>
        <v>Platinum</v>
      </c>
      <c r="P826" s="4" t="str">
        <f t="shared" si="85"/>
        <v>Saturday</v>
      </c>
      <c r="Q826" s="4" t="str">
        <f t="shared" si="86"/>
        <v>Small Order</v>
      </c>
      <c r="R826" s="4" t="str">
        <f t="shared" si="87"/>
        <v>Weekend</v>
      </c>
      <c r="S826" s="4" t="str">
        <f t="shared" si="88"/>
        <v>Regular</v>
      </c>
    </row>
    <row r="827" spans="1:19" x14ac:dyDescent="0.3">
      <c r="A827">
        <v>6598</v>
      </c>
      <c r="B827" t="s">
        <v>13</v>
      </c>
      <c r="C827" s="1">
        <v>45740</v>
      </c>
      <c r="D827" t="s">
        <v>9</v>
      </c>
      <c r="E827" t="s">
        <v>37</v>
      </c>
      <c r="F827">
        <v>2</v>
      </c>
      <c r="G827">
        <v>2.87</v>
      </c>
      <c r="H827">
        <v>5.74</v>
      </c>
      <c r="I827" t="str">
        <f t="shared" si="84"/>
        <v>Low</v>
      </c>
      <c r="J827">
        <v>0.86</v>
      </c>
      <c r="K827">
        <f t="shared" si="89"/>
        <v>4.88</v>
      </c>
      <c r="L827" t="str">
        <f t="shared" si="90"/>
        <v>March</v>
      </c>
      <c r="M827">
        <f>YEAR(C827)</f>
        <v>2025</v>
      </c>
      <c r="N827">
        <v>499</v>
      </c>
      <c r="O827" t="str">
        <f>IF(N827&gt;=200,"Platinum",IF(N827&gt;=100,"Gold",IF(N827&gt;=50,"Silver","Regular")))</f>
        <v>Platinum</v>
      </c>
      <c r="P827" s="4" t="str">
        <f t="shared" si="85"/>
        <v>Monday</v>
      </c>
      <c r="Q827" s="4" t="str">
        <f t="shared" si="86"/>
        <v>Small Order</v>
      </c>
      <c r="R827" s="4" t="str">
        <f t="shared" si="87"/>
        <v>Weekday</v>
      </c>
      <c r="S827" s="4" t="str">
        <f t="shared" si="88"/>
        <v>Regular</v>
      </c>
    </row>
    <row r="828" spans="1:19" x14ac:dyDescent="0.3">
      <c r="A828">
        <v>1838</v>
      </c>
      <c r="B828" t="s">
        <v>20</v>
      </c>
      <c r="C828" s="1">
        <v>45587</v>
      </c>
      <c r="D828" t="s">
        <v>4</v>
      </c>
      <c r="E828" t="s">
        <v>21</v>
      </c>
      <c r="F828">
        <v>5</v>
      </c>
      <c r="G828">
        <v>5.7</v>
      </c>
      <c r="H828">
        <v>28.5</v>
      </c>
      <c r="I828" t="str">
        <f t="shared" si="84"/>
        <v>Low</v>
      </c>
      <c r="J828">
        <v>4.2699999999999996</v>
      </c>
      <c r="K828">
        <f t="shared" si="89"/>
        <v>24.23</v>
      </c>
      <c r="L828" t="str">
        <f t="shared" si="90"/>
        <v>October</v>
      </c>
      <c r="M828">
        <f>YEAR(C828)</f>
        <v>2024</v>
      </c>
      <c r="N828">
        <v>390</v>
      </c>
      <c r="O828" t="str">
        <f>IF(N828&gt;=200,"Platinum",IF(N828&gt;=100,"Gold",IF(N828&gt;=50,"Silver","Regular")))</f>
        <v>Platinum</v>
      </c>
      <c r="P828" s="4" t="str">
        <f t="shared" si="85"/>
        <v>Tuesday</v>
      </c>
      <c r="Q828" s="4" t="str">
        <f t="shared" si="86"/>
        <v>Medium Order</v>
      </c>
      <c r="R828" s="4" t="str">
        <f t="shared" si="87"/>
        <v>Weekday</v>
      </c>
      <c r="S828" s="4" t="str">
        <f t="shared" si="88"/>
        <v>Regular</v>
      </c>
    </row>
    <row r="829" spans="1:19" x14ac:dyDescent="0.3">
      <c r="A829">
        <v>3646</v>
      </c>
      <c r="B829" t="s">
        <v>25</v>
      </c>
      <c r="C829" s="1">
        <v>45563</v>
      </c>
      <c r="D829" t="s">
        <v>23</v>
      </c>
      <c r="E829" t="s">
        <v>36</v>
      </c>
      <c r="F829">
        <v>2</v>
      </c>
      <c r="G829">
        <v>11.28</v>
      </c>
      <c r="H829">
        <v>22.56</v>
      </c>
      <c r="I829" t="str">
        <f t="shared" si="84"/>
        <v>Low</v>
      </c>
      <c r="J829">
        <v>3.38</v>
      </c>
      <c r="K829">
        <f t="shared" si="89"/>
        <v>19.18</v>
      </c>
      <c r="L829" t="str">
        <f t="shared" si="90"/>
        <v>September</v>
      </c>
      <c r="M829">
        <f>YEAR(C829)</f>
        <v>2024</v>
      </c>
      <c r="N829">
        <v>132</v>
      </c>
      <c r="O829" t="str">
        <f>IF(N829&gt;=200,"Platinum",IF(N829&gt;=100,"Gold",IF(N829&gt;=50,"Silver","Regular")))</f>
        <v>Gold</v>
      </c>
      <c r="P829" s="4" t="str">
        <f t="shared" si="85"/>
        <v>Saturday</v>
      </c>
      <c r="Q829" s="4" t="str">
        <f t="shared" si="86"/>
        <v>Small Order</v>
      </c>
      <c r="R829" s="4" t="str">
        <f t="shared" si="87"/>
        <v>Weekend</v>
      </c>
      <c r="S829" s="4" t="str">
        <f t="shared" si="88"/>
        <v>Regular</v>
      </c>
    </row>
    <row r="830" spans="1:19" x14ac:dyDescent="0.3">
      <c r="A830">
        <v>8573</v>
      </c>
      <c r="B830" t="s">
        <v>25</v>
      </c>
      <c r="C830" s="1">
        <v>45439</v>
      </c>
      <c r="D830" t="s">
        <v>17</v>
      </c>
      <c r="E830" t="s">
        <v>7</v>
      </c>
      <c r="F830">
        <v>2</v>
      </c>
      <c r="G830">
        <v>13.45</v>
      </c>
      <c r="H830">
        <v>26.9</v>
      </c>
      <c r="I830" t="str">
        <f t="shared" si="84"/>
        <v>Low</v>
      </c>
      <c r="J830">
        <v>4.03</v>
      </c>
      <c r="K830">
        <f t="shared" si="89"/>
        <v>22.869999999999997</v>
      </c>
      <c r="L830" t="str">
        <f t="shared" si="90"/>
        <v>May</v>
      </c>
      <c r="M830">
        <f>YEAR(C830)</f>
        <v>2024</v>
      </c>
      <c r="N830">
        <v>21</v>
      </c>
      <c r="O830" t="str">
        <f>IF(N830&gt;=200,"Platinum",IF(N830&gt;=100,"Gold",IF(N830&gt;=50,"Silver","Regular")))</f>
        <v>Regular</v>
      </c>
      <c r="P830" s="4" t="str">
        <f t="shared" si="85"/>
        <v>Monday</v>
      </c>
      <c r="Q830" s="4" t="str">
        <f t="shared" si="86"/>
        <v>Small Order</v>
      </c>
      <c r="R830" s="4" t="str">
        <f t="shared" si="87"/>
        <v>Weekday</v>
      </c>
      <c r="S830" s="4" t="str">
        <f t="shared" si="88"/>
        <v>Regular</v>
      </c>
    </row>
    <row r="831" spans="1:19" x14ac:dyDescent="0.3">
      <c r="A831">
        <v>4968</v>
      </c>
      <c r="B831" t="s">
        <v>19</v>
      </c>
      <c r="C831" s="1">
        <v>45169</v>
      </c>
      <c r="D831" t="s">
        <v>34</v>
      </c>
      <c r="E831" t="s">
        <v>18</v>
      </c>
      <c r="F831">
        <v>5</v>
      </c>
      <c r="G831">
        <v>4.9800000000000004</v>
      </c>
      <c r="H831">
        <v>24.9</v>
      </c>
      <c r="I831" t="str">
        <f t="shared" si="84"/>
        <v>Low</v>
      </c>
      <c r="J831">
        <v>3.73</v>
      </c>
      <c r="K831">
        <f t="shared" si="89"/>
        <v>21.169999999999998</v>
      </c>
      <c r="L831" t="str">
        <f t="shared" si="90"/>
        <v>August</v>
      </c>
      <c r="M831">
        <f>YEAR(C831)</f>
        <v>2023</v>
      </c>
      <c r="N831">
        <v>356</v>
      </c>
      <c r="O831" t="str">
        <f>IF(N831&gt;=200,"Platinum",IF(N831&gt;=100,"Gold",IF(N831&gt;=50,"Silver","Regular")))</f>
        <v>Platinum</v>
      </c>
      <c r="P831" s="4" t="str">
        <f t="shared" si="85"/>
        <v>Thursday</v>
      </c>
      <c r="Q831" s="4" t="str">
        <f t="shared" si="86"/>
        <v>Medium Order</v>
      </c>
      <c r="R831" s="4" t="str">
        <f t="shared" si="87"/>
        <v>Weekday</v>
      </c>
      <c r="S831" s="4" t="str">
        <f t="shared" si="88"/>
        <v>Regular</v>
      </c>
    </row>
    <row r="832" spans="1:19" x14ac:dyDescent="0.3">
      <c r="A832">
        <v>7524</v>
      </c>
      <c r="B832" t="s">
        <v>0</v>
      </c>
      <c r="C832" s="1">
        <v>45778</v>
      </c>
      <c r="D832" t="s">
        <v>17</v>
      </c>
      <c r="E832" t="s">
        <v>14</v>
      </c>
      <c r="F832">
        <v>1</v>
      </c>
      <c r="G832">
        <v>17.29</v>
      </c>
      <c r="H832">
        <v>17.29</v>
      </c>
      <c r="I832" t="str">
        <f t="shared" si="84"/>
        <v>Low</v>
      </c>
      <c r="J832">
        <v>2.59</v>
      </c>
      <c r="K832">
        <f t="shared" si="89"/>
        <v>14.7</v>
      </c>
      <c r="L832" t="str">
        <f t="shared" si="90"/>
        <v>May</v>
      </c>
      <c r="M832">
        <f>YEAR(C832)</f>
        <v>2025</v>
      </c>
      <c r="N832">
        <v>249</v>
      </c>
      <c r="O832" t="str">
        <f>IF(N832&gt;=200,"Platinum",IF(N832&gt;=100,"Gold",IF(N832&gt;=50,"Silver","Regular")))</f>
        <v>Platinum</v>
      </c>
      <c r="P832" s="4" t="str">
        <f t="shared" si="85"/>
        <v>Thursday</v>
      </c>
      <c r="Q832" s="4" t="str">
        <f t="shared" si="86"/>
        <v>Small Order</v>
      </c>
      <c r="R832" s="4" t="str">
        <f t="shared" si="87"/>
        <v>Weekday</v>
      </c>
      <c r="S832" s="4" t="str">
        <f t="shared" si="88"/>
        <v>Regular</v>
      </c>
    </row>
    <row r="833" spans="1:19" x14ac:dyDescent="0.3">
      <c r="A833">
        <v>3396</v>
      </c>
      <c r="B833" t="s">
        <v>15</v>
      </c>
      <c r="C833" s="1">
        <v>45697</v>
      </c>
      <c r="D833" t="s">
        <v>9</v>
      </c>
      <c r="E833" t="s">
        <v>7</v>
      </c>
      <c r="F833">
        <v>4</v>
      </c>
      <c r="G833">
        <v>4.8899999999999997</v>
      </c>
      <c r="H833">
        <v>19.559999999999999</v>
      </c>
      <c r="I833" t="str">
        <f t="shared" si="84"/>
        <v>Low</v>
      </c>
      <c r="J833">
        <v>2.93</v>
      </c>
      <c r="K833">
        <f t="shared" si="89"/>
        <v>16.63</v>
      </c>
      <c r="L833" t="str">
        <f t="shared" si="90"/>
        <v>February</v>
      </c>
      <c r="M833">
        <f>YEAR(C833)</f>
        <v>2025</v>
      </c>
      <c r="N833">
        <v>308</v>
      </c>
      <c r="O833" t="str">
        <f>IF(N833&gt;=200,"Platinum",IF(N833&gt;=100,"Gold",IF(N833&gt;=50,"Silver","Regular")))</f>
        <v>Platinum</v>
      </c>
      <c r="P833" s="4" t="str">
        <f t="shared" si="85"/>
        <v>Sunday</v>
      </c>
      <c r="Q833" s="4" t="str">
        <f t="shared" si="86"/>
        <v>Medium Order</v>
      </c>
      <c r="R833" s="4" t="str">
        <f t="shared" si="87"/>
        <v>Weekend</v>
      </c>
      <c r="S833" s="4" t="str">
        <f t="shared" si="88"/>
        <v>Regular</v>
      </c>
    </row>
    <row r="834" spans="1:19" x14ac:dyDescent="0.3">
      <c r="A834">
        <v>1686</v>
      </c>
      <c r="B834" t="s">
        <v>19</v>
      </c>
      <c r="C834" s="1">
        <v>45390</v>
      </c>
      <c r="D834" t="s">
        <v>6</v>
      </c>
      <c r="E834" t="s">
        <v>33</v>
      </c>
      <c r="F834">
        <v>5</v>
      </c>
      <c r="G834">
        <v>2.35</v>
      </c>
      <c r="H834">
        <v>11.75</v>
      </c>
      <c r="I834" t="str">
        <f t="shared" ref="I834:I897" si="91">IF(J834=0,"No Discount",IF(J834&lt;=5,"Low",IF(J834&lt;=10,"Medium",IF(J834&lt;=20,"High","Very High"))))</f>
        <v>Low</v>
      </c>
      <c r="J834">
        <v>1.76</v>
      </c>
      <c r="K834">
        <f t="shared" si="89"/>
        <v>9.99</v>
      </c>
      <c r="L834" t="str">
        <f t="shared" si="90"/>
        <v>April</v>
      </c>
      <c r="M834">
        <f>YEAR(C834)</f>
        <v>2024</v>
      </c>
      <c r="N834">
        <v>9</v>
      </c>
      <c r="O834" t="str">
        <f>IF(N834&gt;=200,"Platinum",IF(N834&gt;=100,"Gold",IF(N834&gt;=50,"Silver","Regular")))</f>
        <v>Regular</v>
      </c>
      <c r="P834" s="4" t="str">
        <f t="shared" ref="P834:P897" si="92">TEXT(C834,"dddd")</f>
        <v>Monday</v>
      </c>
      <c r="Q834" s="4" t="str">
        <f t="shared" ref="Q834:Q897" si="93">IF(F834&lt;=2,"Small Order",IF(F834&lt;=5,"Medium Order",IF(F834&lt;=10,"Large Order","Bulk Order")))</f>
        <v>Medium Order</v>
      </c>
      <c r="R834" s="4" t="str">
        <f t="shared" ref="R834:R897" si="94">IF(WEEKDAY(C834,2)&gt;5,"Weekend","Weekday")</f>
        <v>Weekday</v>
      </c>
      <c r="S834" s="4" t="str">
        <f t="shared" ref="S834:S897" si="95">IF(K834&gt;=100,"High Value","Regular")</f>
        <v>Regular</v>
      </c>
    </row>
    <row r="835" spans="1:19" x14ac:dyDescent="0.3">
      <c r="A835">
        <v>7636</v>
      </c>
      <c r="B835" t="s">
        <v>15</v>
      </c>
      <c r="C835" s="1">
        <v>45634</v>
      </c>
      <c r="D835" t="s">
        <v>27</v>
      </c>
      <c r="E835" t="s">
        <v>12</v>
      </c>
      <c r="F835">
        <v>1</v>
      </c>
      <c r="G835">
        <v>7.01</v>
      </c>
      <c r="H835">
        <v>7.01</v>
      </c>
      <c r="I835" t="str">
        <f t="shared" si="91"/>
        <v>Low</v>
      </c>
      <c r="J835">
        <v>1.05</v>
      </c>
      <c r="K835">
        <f t="shared" ref="K835:K898" si="96">MAX(0,H835-J835)</f>
        <v>5.96</v>
      </c>
      <c r="L835" t="str">
        <f t="shared" ref="L835:L898" si="97">TEXT(C835,"mmmm")</f>
        <v>December</v>
      </c>
      <c r="M835">
        <f>YEAR(C835)</f>
        <v>2024</v>
      </c>
      <c r="N835">
        <v>271</v>
      </c>
      <c r="O835" t="str">
        <f>IF(N835&gt;=200,"Platinum",IF(N835&gt;=100,"Gold",IF(N835&gt;=50,"Silver","Regular")))</f>
        <v>Platinum</v>
      </c>
      <c r="P835" s="4" t="str">
        <f t="shared" si="92"/>
        <v>Sunday</v>
      </c>
      <c r="Q835" s="4" t="str">
        <f t="shared" si="93"/>
        <v>Small Order</v>
      </c>
      <c r="R835" s="4" t="str">
        <f t="shared" si="94"/>
        <v>Weekend</v>
      </c>
      <c r="S835" s="4" t="str">
        <f t="shared" si="95"/>
        <v>Regular</v>
      </c>
    </row>
    <row r="836" spans="1:19" x14ac:dyDescent="0.3">
      <c r="A836">
        <v>7850</v>
      </c>
      <c r="B836" t="s">
        <v>31</v>
      </c>
      <c r="C836" s="1">
        <v>45337</v>
      </c>
      <c r="D836" t="s">
        <v>27</v>
      </c>
      <c r="E836" t="s">
        <v>21</v>
      </c>
      <c r="F836">
        <v>4</v>
      </c>
      <c r="G836">
        <v>4.49</v>
      </c>
      <c r="H836">
        <v>17.96</v>
      </c>
      <c r="I836" t="str">
        <f t="shared" si="91"/>
        <v>Low</v>
      </c>
      <c r="J836">
        <v>2.69</v>
      </c>
      <c r="K836">
        <f t="shared" si="96"/>
        <v>15.270000000000001</v>
      </c>
      <c r="L836" t="str">
        <f t="shared" si="97"/>
        <v>February</v>
      </c>
      <c r="M836">
        <f>YEAR(C836)</f>
        <v>2024</v>
      </c>
      <c r="N836">
        <v>109</v>
      </c>
      <c r="O836" t="str">
        <f>IF(N836&gt;=200,"Platinum",IF(N836&gt;=100,"Gold",IF(N836&gt;=50,"Silver","Regular")))</f>
        <v>Gold</v>
      </c>
      <c r="P836" s="4" t="str">
        <f t="shared" si="92"/>
        <v>Thursday</v>
      </c>
      <c r="Q836" s="4" t="str">
        <f t="shared" si="93"/>
        <v>Medium Order</v>
      </c>
      <c r="R836" s="4" t="str">
        <f t="shared" si="94"/>
        <v>Weekday</v>
      </c>
      <c r="S836" s="4" t="str">
        <f t="shared" si="95"/>
        <v>Regular</v>
      </c>
    </row>
    <row r="837" spans="1:19" x14ac:dyDescent="0.3">
      <c r="A837">
        <v>8916</v>
      </c>
      <c r="B837" t="s">
        <v>19</v>
      </c>
      <c r="C837" s="1">
        <v>45657</v>
      </c>
      <c r="D837" t="s">
        <v>24</v>
      </c>
      <c r="E837" t="s">
        <v>21</v>
      </c>
      <c r="F837">
        <v>3</v>
      </c>
      <c r="G837">
        <v>2.96</v>
      </c>
      <c r="H837">
        <v>8.8800000000000008</v>
      </c>
      <c r="I837" t="str">
        <f t="shared" si="91"/>
        <v>Low</v>
      </c>
      <c r="J837">
        <v>1.33</v>
      </c>
      <c r="K837">
        <f t="shared" si="96"/>
        <v>7.5500000000000007</v>
      </c>
      <c r="L837" t="str">
        <f t="shared" si="97"/>
        <v>December</v>
      </c>
      <c r="M837">
        <f>YEAR(C837)</f>
        <v>2024</v>
      </c>
      <c r="N837">
        <v>446</v>
      </c>
      <c r="O837" t="str">
        <f>IF(N837&gt;=200,"Platinum",IF(N837&gt;=100,"Gold",IF(N837&gt;=50,"Silver","Regular")))</f>
        <v>Platinum</v>
      </c>
      <c r="P837" s="4" t="str">
        <f t="shared" si="92"/>
        <v>Tuesday</v>
      </c>
      <c r="Q837" s="4" t="str">
        <f t="shared" si="93"/>
        <v>Medium Order</v>
      </c>
      <c r="R837" s="4" t="str">
        <f t="shared" si="94"/>
        <v>Weekday</v>
      </c>
      <c r="S837" s="4" t="str">
        <f t="shared" si="95"/>
        <v>Regular</v>
      </c>
    </row>
    <row r="838" spans="1:19" x14ac:dyDescent="0.3">
      <c r="A838">
        <v>2964</v>
      </c>
      <c r="B838" t="s">
        <v>20</v>
      </c>
      <c r="C838" s="1">
        <v>45215</v>
      </c>
      <c r="D838" t="s">
        <v>16</v>
      </c>
      <c r="E838" t="s">
        <v>36</v>
      </c>
      <c r="F838">
        <v>1</v>
      </c>
      <c r="G838">
        <v>15.49</v>
      </c>
      <c r="H838">
        <v>15.49</v>
      </c>
      <c r="I838" t="str">
        <f t="shared" si="91"/>
        <v>Low</v>
      </c>
      <c r="J838">
        <v>2.3199999999999998</v>
      </c>
      <c r="K838">
        <f t="shared" si="96"/>
        <v>13.17</v>
      </c>
      <c r="L838" t="str">
        <f t="shared" si="97"/>
        <v>October</v>
      </c>
      <c r="M838">
        <f>YEAR(C838)</f>
        <v>2023</v>
      </c>
      <c r="N838">
        <v>179</v>
      </c>
      <c r="O838" t="str">
        <f>IF(N838&gt;=200,"Platinum",IF(N838&gt;=100,"Gold",IF(N838&gt;=50,"Silver","Regular")))</f>
        <v>Gold</v>
      </c>
      <c r="P838" s="4" t="str">
        <f t="shared" si="92"/>
        <v>Monday</v>
      </c>
      <c r="Q838" s="4" t="str">
        <f t="shared" si="93"/>
        <v>Small Order</v>
      </c>
      <c r="R838" s="4" t="str">
        <f t="shared" si="94"/>
        <v>Weekday</v>
      </c>
      <c r="S838" s="4" t="str">
        <f t="shared" si="95"/>
        <v>Regular</v>
      </c>
    </row>
    <row r="839" spans="1:19" x14ac:dyDescent="0.3">
      <c r="A839">
        <v>4974</v>
      </c>
      <c r="B839" t="s">
        <v>3</v>
      </c>
      <c r="C839" s="1">
        <v>45685</v>
      </c>
      <c r="D839" t="s">
        <v>34</v>
      </c>
      <c r="E839" t="s">
        <v>35</v>
      </c>
      <c r="F839">
        <v>2</v>
      </c>
      <c r="G839">
        <v>8.68</v>
      </c>
      <c r="H839">
        <v>17.36</v>
      </c>
      <c r="I839" t="str">
        <f t="shared" si="91"/>
        <v>Low</v>
      </c>
      <c r="J839">
        <v>2.6</v>
      </c>
      <c r="K839">
        <f t="shared" si="96"/>
        <v>14.76</v>
      </c>
      <c r="L839" t="str">
        <f t="shared" si="97"/>
        <v>January</v>
      </c>
      <c r="M839">
        <f>YEAR(C839)</f>
        <v>2025</v>
      </c>
      <c r="N839">
        <v>347</v>
      </c>
      <c r="O839" t="str">
        <f>IF(N839&gt;=200,"Platinum",IF(N839&gt;=100,"Gold",IF(N839&gt;=50,"Silver","Regular")))</f>
        <v>Platinum</v>
      </c>
      <c r="P839" s="4" t="str">
        <f t="shared" si="92"/>
        <v>Tuesday</v>
      </c>
      <c r="Q839" s="4" t="str">
        <f t="shared" si="93"/>
        <v>Small Order</v>
      </c>
      <c r="R839" s="4" t="str">
        <f t="shared" si="94"/>
        <v>Weekday</v>
      </c>
      <c r="S839" s="4" t="str">
        <f t="shared" si="95"/>
        <v>Regular</v>
      </c>
    </row>
    <row r="840" spans="1:19" x14ac:dyDescent="0.3">
      <c r="A840">
        <v>5956</v>
      </c>
      <c r="B840" t="s">
        <v>20</v>
      </c>
      <c r="C840" s="1">
        <v>45620</v>
      </c>
      <c r="D840" t="s">
        <v>16</v>
      </c>
      <c r="E840" t="s">
        <v>10</v>
      </c>
      <c r="F840">
        <v>1</v>
      </c>
      <c r="G840">
        <v>10.55</v>
      </c>
      <c r="H840">
        <v>10.55</v>
      </c>
      <c r="I840" t="str">
        <f t="shared" si="91"/>
        <v>Low</v>
      </c>
      <c r="J840">
        <v>1.58</v>
      </c>
      <c r="K840">
        <f t="shared" si="96"/>
        <v>8.9700000000000006</v>
      </c>
      <c r="L840" t="str">
        <f t="shared" si="97"/>
        <v>November</v>
      </c>
      <c r="M840">
        <f>YEAR(C840)</f>
        <v>2024</v>
      </c>
      <c r="N840">
        <v>285</v>
      </c>
      <c r="O840" t="str">
        <f>IF(N840&gt;=200,"Platinum",IF(N840&gt;=100,"Gold",IF(N840&gt;=50,"Silver","Regular")))</f>
        <v>Platinum</v>
      </c>
      <c r="P840" s="4" t="str">
        <f t="shared" si="92"/>
        <v>Sunday</v>
      </c>
      <c r="Q840" s="4" t="str">
        <f t="shared" si="93"/>
        <v>Small Order</v>
      </c>
      <c r="R840" s="4" t="str">
        <f t="shared" si="94"/>
        <v>Weekend</v>
      </c>
      <c r="S840" s="4" t="str">
        <f t="shared" si="95"/>
        <v>Regular</v>
      </c>
    </row>
    <row r="841" spans="1:19" x14ac:dyDescent="0.3">
      <c r="A841">
        <v>2922</v>
      </c>
      <c r="B841" t="s">
        <v>8</v>
      </c>
      <c r="C841" s="1">
        <v>45725</v>
      </c>
      <c r="D841" t="s">
        <v>11</v>
      </c>
      <c r="E841" t="s">
        <v>36</v>
      </c>
      <c r="F841">
        <v>1</v>
      </c>
      <c r="G841">
        <v>8.08</v>
      </c>
      <c r="H841">
        <v>8.08</v>
      </c>
      <c r="I841" t="str">
        <f t="shared" si="91"/>
        <v>Low</v>
      </c>
      <c r="J841">
        <v>1.21</v>
      </c>
      <c r="K841">
        <f t="shared" si="96"/>
        <v>6.87</v>
      </c>
      <c r="L841" t="str">
        <f t="shared" si="97"/>
        <v>March</v>
      </c>
      <c r="M841">
        <f>YEAR(C841)</f>
        <v>2025</v>
      </c>
      <c r="N841">
        <v>379</v>
      </c>
      <c r="O841" t="str">
        <f>IF(N841&gt;=200,"Platinum",IF(N841&gt;=100,"Gold",IF(N841&gt;=50,"Silver","Regular")))</f>
        <v>Platinum</v>
      </c>
      <c r="P841" s="4" t="str">
        <f t="shared" si="92"/>
        <v>Sunday</v>
      </c>
      <c r="Q841" s="4" t="str">
        <f t="shared" si="93"/>
        <v>Small Order</v>
      </c>
      <c r="R841" s="4" t="str">
        <f t="shared" si="94"/>
        <v>Weekend</v>
      </c>
      <c r="S841" s="4" t="str">
        <f t="shared" si="95"/>
        <v>Regular</v>
      </c>
    </row>
    <row r="842" spans="1:19" x14ac:dyDescent="0.3">
      <c r="A842">
        <v>8777</v>
      </c>
      <c r="B842" t="s">
        <v>0</v>
      </c>
      <c r="C842" s="1">
        <v>45494</v>
      </c>
      <c r="D842" t="s">
        <v>4</v>
      </c>
      <c r="E842" t="s">
        <v>35</v>
      </c>
      <c r="F842">
        <v>2</v>
      </c>
      <c r="G842">
        <v>7.98</v>
      </c>
      <c r="H842">
        <v>15.96</v>
      </c>
      <c r="I842" t="str">
        <f t="shared" si="91"/>
        <v>Low</v>
      </c>
      <c r="J842">
        <v>2.39</v>
      </c>
      <c r="K842">
        <f t="shared" si="96"/>
        <v>13.57</v>
      </c>
      <c r="L842" t="str">
        <f t="shared" si="97"/>
        <v>July</v>
      </c>
      <c r="M842">
        <f>YEAR(C842)</f>
        <v>2024</v>
      </c>
      <c r="N842">
        <v>317</v>
      </c>
      <c r="O842" t="str">
        <f>IF(N842&gt;=200,"Platinum",IF(N842&gt;=100,"Gold",IF(N842&gt;=50,"Silver","Regular")))</f>
        <v>Platinum</v>
      </c>
      <c r="P842" s="4" t="str">
        <f t="shared" si="92"/>
        <v>Sunday</v>
      </c>
      <c r="Q842" s="4" t="str">
        <f t="shared" si="93"/>
        <v>Small Order</v>
      </c>
      <c r="R842" s="4" t="str">
        <f t="shared" si="94"/>
        <v>Weekend</v>
      </c>
      <c r="S842" s="4" t="str">
        <f t="shared" si="95"/>
        <v>Regular</v>
      </c>
    </row>
    <row r="843" spans="1:19" x14ac:dyDescent="0.3">
      <c r="A843">
        <v>9261</v>
      </c>
      <c r="B843" t="s">
        <v>19</v>
      </c>
      <c r="C843" s="1">
        <v>45508</v>
      </c>
      <c r="D843" t="s">
        <v>27</v>
      </c>
      <c r="E843" t="s">
        <v>37</v>
      </c>
      <c r="F843">
        <v>2</v>
      </c>
      <c r="G843">
        <v>7.48</v>
      </c>
      <c r="H843">
        <v>14.96</v>
      </c>
      <c r="I843" t="str">
        <f t="shared" si="91"/>
        <v>Low</v>
      </c>
      <c r="J843">
        <v>2.2400000000000002</v>
      </c>
      <c r="K843">
        <f t="shared" si="96"/>
        <v>12.72</v>
      </c>
      <c r="L843" t="str">
        <f t="shared" si="97"/>
        <v>August</v>
      </c>
      <c r="M843">
        <f>YEAR(C843)</f>
        <v>2024</v>
      </c>
      <c r="N843">
        <v>273</v>
      </c>
      <c r="O843" t="str">
        <f>IF(N843&gt;=200,"Platinum",IF(N843&gt;=100,"Gold",IF(N843&gt;=50,"Silver","Regular")))</f>
        <v>Platinum</v>
      </c>
      <c r="P843" s="4" t="str">
        <f t="shared" si="92"/>
        <v>Sunday</v>
      </c>
      <c r="Q843" s="4" t="str">
        <f t="shared" si="93"/>
        <v>Small Order</v>
      </c>
      <c r="R843" s="4" t="str">
        <f t="shared" si="94"/>
        <v>Weekend</v>
      </c>
      <c r="S843" s="4" t="str">
        <f t="shared" si="95"/>
        <v>Regular</v>
      </c>
    </row>
    <row r="844" spans="1:19" x14ac:dyDescent="0.3">
      <c r="A844">
        <v>4678</v>
      </c>
      <c r="B844" t="s">
        <v>25</v>
      </c>
      <c r="C844" s="1">
        <v>45166</v>
      </c>
      <c r="D844" t="s">
        <v>34</v>
      </c>
      <c r="E844" t="s">
        <v>36</v>
      </c>
      <c r="F844">
        <v>2</v>
      </c>
      <c r="G844">
        <v>8.5500000000000007</v>
      </c>
      <c r="H844">
        <v>17.100000000000001</v>
      </c>
      <c r="I844" t="str">
        <f t="shared" si="91"/>
        <v>Low</v>
      </c>
      <c r="J844">
        <v>2.56</v>
      </c>
      <c r="K844">
        <f t="shared" si="96"/>
        <v>14.540000000000001</v>
      </c>
      <c r="L844" t="str">
        <f t="shared" si="97"/>
        <v>August</v>
      </c>
      <c r="M844">
        <f>YEAR(C844)</f>
        <v>2023</v>
      </c>
      <c r="N844">
        <v>351</v>
      </c>
      <c r="O844" t="str">
        <f>IF(N844&gt;=200,"Platinum",IF(N844&gt;=100,"Gold",IF(N844&gt;=50,"Silver","Regular")))</f>
        <v>Platinum</v>
      </c>
      <c r="P844" s="4" t="str">
        <f t="shared" si="92"/>
        <v>Monday</v>
      </c>
      <c r="Q844" s="4" t="str">
        <f t="shared" si="93"/>
        <v>Small Order</v>
      </c>
      <c r="R844" s="4" t="str">
        <f t="shared" si="94"/>
        <v>Weekday</v>
      </c>
      <c r="S844" s="4" t="str">
        <f t="shared" si="95"/>
        <v>Regular</v>
      </c>
    </row>
    <row r="845" spans="1:19" x14ac:dyDescent="0.3">
      <c r="A845">
        <v>5193</v>
      </c>
      <c r="B845" t="s">
        <v>25</v>
      </c>
      <c r="C845" s="1">
        <v>45312</v>
      </c>
      <c r="D845" t="s">
        <v>17</v>
      </c>
      <c r="E845" t="s">
        <v>29</v>
      </c>
      <c r="F845">
        <v>1</v>
      </c>
      <c r="G845">
        <v>8.35</v>
      </c>
      <c r="H845">
        <v>8.35</v>
      </c>
      <c r="I845" t="str">
        <f t="shared" si="91"/>
        <v>Low</v>
      </c>
      <c r="J845">
        <v>1.25</v>
      </c>
      <c r="K845">
        <f t="shared" si="96"/>
        <v>7.1</v>
      </c>
      <c r="L845" t="str">
        <f t="shared" si="97"/>
        <v>January</v>
      </c>
      <c r="M845">
        <f>YEAR(C845)</f>
        <v>2024</v>
      </c>
      <c r="N845">
        <v>317</v>
      </c>
      <c r="O845" t="str">
        <f>IF(N845&gt;=200,"Platinum",IF(N845&gt;=100,"Gold",IF(N845&gt;=50,"Silver","Regular")))</f>
        <v>Platinum</v>
      </c>
      <c r="P845" s="4" t="str">
        <f t="shared" si="92"/>
        <v>Sunday</v>
      </c>
      <c r="Q845" s="4" t="str">
        <f t="shared" si="93"/>
        <v>Small Order</v>
      </c>
      <c r="R845" s="4" t="str">
        <f t="shared" si="94"/>
        <v>Weekend</v>
      </c>
      <c r="S845" s="4" t="str">
        <f t="shared" si="95"/>
        <v>Regular</v>
      </c>
    </row>
    <row r="846" spans="1:19" x14ac:dyDescent="0.3">
      <c r="A846">
        <v>9108</v>
      </c>
      <c r="B846" t="s">
        <v>3</v>
      </c>
      <c r="C846" s="1">
        <v>45609</v>
      </c>
      <c r="D846" t="s">
        <v>6</v>
      </c>
      <c r="E846" t="s">
        <v>14</v>
      </c>
      <c r="F846">
        <v>5</v>
      </c>
      <c r="G846">
        <v>3.26</v>
      </c>
      <c r="H846">
        <v>16.3</v>
      </c>
      <c r="I846" t="str">
        <f t="shared" si="91"/>
        <v>Low</v>
      </c>
      <c r="J846">
        <v>2.44</v>
      </c>
      <c r="K846">
        <f t="shared" si="96"/>
        <v>13.860000000000001</v>
      </c>
      <c r="L846" t="str">
        <f t="shared" si="97"/>
        <v>November</v>
      </c>
      <c r="M846">
        <f>YEAR(C846)</f>
        <v>2024</v>
      </c>
      <c r="N846">
        <v>371</v>
      </c>
      <c r="O846" t="str">
        <f>IF(N846&gt;=200,"Platinum",IF(N846&gt;=100,"Gold",IF(N846&gt;=50,"Silver","Regular")))</f>
        <v>Platinum</v>
      </c>
      <c r="P846" s="4" t="str">
        <f t="shared" si="92"/>
        <v>Wednesday</v>
      </c>
      <c r="Q846" s="4" t="str">
        <f t="shared" si="93"/>
        <v>Medium Order</v>
      </c>
      <c r="R846" s="4" t="str">
        <f t="shared" si="94"/>
        <v>Weekday</v>
      </c>
      <c r="S846" s="4" t="str">
        <f t="shared" si="95"/>
        <v>Regular</v>
      </c>
    </row>
    <row r="847" spans="1:19" x14ac:dyDescent="0.3">
      <c r="A847">
        <v>5002</v>
      </c>
      <c r="B847" t="s">
        <v>13</v>
      </c>
      <c r="C847" s="1">
        <v>45432</v>
      </c>
      <c r="D847" t="s">
        <v>34</v>
      </c>
      <c r="E847" t="s">
        <v>7</v>
      </c>
      <c r="F847">
        <v>1</v>
      </c>
      <c r="G847">
        <v>14.03</v>
      </c>
      <c r="H847">
        <v>14.03</v>
      </c>
      <c r="I847" t="str">
        <f t="shared" si="91"/>
        <v>Low</v>
      </c>
      <c r="J847">
        <v>2.1</v>
      </c>
      <c r="K847">
        <f t="shared" si="96"/>
        <v>11.93</v>
      </c>
      <c r="L847" t="str">
        <f t="shared" si="97"/>
        <v>May</v>
      </c>
      <c r="M847">
        <f>YEAR(C847)</f>
        <v>2024</v>
      </c>
      <c r="N847">
        <v>414</v>
      </c>
      <c r="O847" t="str">
        <f>IF(N847&gt;=200,"Platinum",IF(N847&gt;=100,"Gold",IF(N847&gt;=50,"Silver","Regular")))</f>
        <v>Platinum</v>
      </c>
      <c r="P847" s="4" t="str">
        <f t="shared" si="92"/>
        <v>Monday</v>
      </c>
      <c r="Q847" s="4" t="str">
        <f t="shared" si="93"/>
        <v>Small Order</v>
      </c>
      <c r="R847" s="4" t="str">
        <f t="shared" si="94"/>
        <v>Weekday</v>
      </c>
      <c r="S847" s="4" t="str">
        <f t="shared" si="95"/>
        <v>Regular</v>
      </c>
    </row>
    <row r="848" spans="1:19" x14ac:dyDescent="0.3">
      <c r="A848">
        <v>4456</v>
      </c>
      <c r="B848" t="s">
        <v>25</v>
      </c>
      <c r="C848" s="1">
        <v>45854</v>
      </c>
      <c r="D848" t="s">
        <v>9</v>
      </c>
      <c r="E848" t="s">
        <v>35</v>
      </c>
      <c r="F848">
        <v>1</v>
      </c>
      <c r="G848">
        <v>12.16</v>
      </c>
      <c r="H848">
        <v>12.16</v>
      </c>
      <c r="I848" t="str">
        <f t="shared" si="91"/>
        <v>Low</v>
      </c>
      <c r="J848">
        <v>1.82</v>
      </c>
      <c r="K848">
        <f t="shared" si="96"/>
        <v>10.34</v>
      </c>
      <c r="L848" t="str">
        <f t="shared" si="97"/>
        <v>July</v>
      </c>
      <c r="M848">
        <f>YEAR(C848)</f>
        <v>2025</v>
      </c>
      <c r="N848">
        <v>295</v>
      </c>
      <c r="O848" t="str">
        <f>IF(N848&gt;=200,"Platinum",IF(N848&gt;=100,"Gold",IF(N848&gt;=50,"Silver","Regular")))</f>
        <v>Platinum</v>
      </c>
      <c r="P848" s="4" t="str">
        <f t="shared" si="92"/>
        <v>Wednesday</v>
      </c>
      <c r="Q848" s="4" t="str">
        <f t="shared" si="93"/>
        <v>Small Order</v>
      </c>
      <c r="R848" s="4" t="str">
        <f t="shared" si="94"/>
        <v>Weekday</v>
      </c>
      <c r="S848" s="4" t="str">
        <f t="shared" si="95"/>
        <v>Regular</v>
      </c>
    </row>
    <row r="849" spans="1:19" x14ac:dyDescent="0.3">
      <c r="A849">
        <v>4993</v>
      </c>
      <c r="B849" t="s">
        <v>0</v>
      </c>
      <c r="C849" s="1">
        <v>45499</v>
      </c>
      <c r="D849" t="s">
        <v>17</v>
      </c>
      <c r="E849" t="s">
        <v>29</v>
      </c>
      <c r="F849">
        <v>1</v>
      </c>
      <c r="G849">
        <v>11.36</v>
      </c>
      <c r="H849">
        <v>11.36</v>
      </c>
      <c r="I849" t="str">
        <f t="shared" si="91"/>
        <v>Low</v>
      </c>
      <c r="J849">
        <v>1.7</v>
      </c>
      <c r="K849">
        <f t="shared" si="96"/>
        <v>9.66</v>
      </c>
      <c r="L849" t="str">
        <f t="shared" si="97"/>
        <v>July</v>
      </c>
      <c r="M849">
        <f>YEAR(C849)</f>
        <v>2024</v>
      </c>
      <c r="N849">
        <v>257</v>
      </c>
      <c r="O849" t="str">
        <f>IF(N849&gt;=200,"Platinum",IF(N849&gt;=100,"Gold",IF(N849&gt;=50,"Silver","Regular")))</f>
        <v>Platinum</v>
      </c>
      <c r="P849" s="4" t="str">
        <f t="shared" si="92"/>
        <v>Friday</v>
      </c>
      <c r="Q849" s="4" t="str">
        <f t="shared" si="93"/>
        <v>Small Order</v>
      </c>
      <c r="R849" s="4" t="str">
        <f t="shared" si="94"/>
        <v>Weekday</v>
      </c>
      <c r="S849" s="4" t="str">
        <f t="shared" si="95"/>
        <v>Regular</v>
      </c>
    </row>
    <row r="850" spans="1:19" x14ac:dyDescent="0.3">
      <c r="A850">
        <v>1274</v>
      </c>
      <c r="B850" t="s">
        <v>31</v>
      </c>
      <c r="C850" s="1">
        <v>45556</v>
      </c>
      <c r="D850" t="s">
        <v>27</v>
      </c>
      <c r="E850" t="s">
        <v>10</v>
      </c>
      <c r="F850">
        <v>1</v>
      </c>
      <c r="G850">
        <v>7.82</v>
      </c>
      <c r="H850">
        <v>7.82</v>
      </c>
      <c r="I850" t="str">
        <f t="shared" si="91"/>
        <v>Low</v>
      </c>
      <c r="J850">
        <v>1.17</v>
      </c>
      <c r="K850">
        <f t="shared" si="96"/>
        <v>6.65</v>
      </c>
      <c r="L850" t="str">
        <f t="shared" si="97"/>
        <v>September</v>
      </c>
      <c r="M850">
        <f>YEAR(C850)</f>
        <v>2024</v>
      </c>
      <c r="N850">
        <v>37</v>
      </c>
      <c r="O850" t="str">
        <f>IF(N850&gt;=200,"Platinum",IF(N850&gt;=100,"Gold",IF(N850&gt;=50,"Silver","Regular")))</f>
        <v>Regular</v>
      </c>
      <c r="P850" s="4" t="str">
        <f t="shared" si="92"/>
        <v>Saturday</v>
      </c>
      <c r="Q850" s="4" t="str">
        <f t="shared" si="93"/>
        <v>Small Order</v>
      </c>
      <c r="R850" s="4" t="str">
        <f t="shared" si="94"/>
        <v>Weekend</v>
      </c>
      <c r="S850" s="4" t="str">
        <f t="shared" si="95"/>
        <v>Regular</v>
      </c>
    </row>
    <row r="851" spans="1:19" x14ac:dyDescent="0.3">
      <c r="A851">
        <v>4349</v>
      </c>
      <c r="B851" t="s">
        <v>25</v>
      </c>
      <c r="C851" s="1">
        <v>45379</v>
      </c>
      <c r="D851" t="s">
        <v>11</v>
      </c>
      <c r="E851" t="s">
        <v>26</v>
      </c>
      <c r="F851">
        <v>4</v>
      </c>
      <c r="G851">
        <v>2.59</v>
      </c>
      <c r="H851">
        <v>10.36</v>
      </c>
      <c r="I851" t="str">
        <f t="shared" si="91"/>
        <v>Low</v>
      </c>
      <c r="J851">
        <v>1.55</v>
      </c>
      <c r="K851">
        <f t="shared" si="96"/>
        <v>8.8099999999999987</v>
      </c>
      <c r="L851" t="str">
        <f t="shared" si="97"/>
        <v>March</v>
      </c>
      <c r="M851">
        <f>YEAR(C851)</f>
        <v>2024</v>
      </c>
      <c r="N851">
        <v>490</v>
      </c>
      <c r="O851" t="str">
        <f>IF(N851&gt;=200,"Platinum",IF(N851&gt;=100,"Gold",IF(N851&gt;=50,"Silver","Regular")))</f>
        <v>Platinum</v>
      </c>
      <c r="P851" s="4" t="str">
        <f t="shared" si="92"/>
        <v>Thursday</v>
      </c>
      <c r="Q851" s="4" t="str">
        <f t="shared" si="93"/>
        <v>Medium Order</v>
      </c>
      <c r="R851" s="4" t="str">
        <f t="shared" si="94"/>
        <v>Weekday</v>
      </c>
      <c r="S851" s="4" t="str">
        <f t="shared" si="95"/>
        <v>Regular</v>
      </c>
    </row>
    <row r="852" spans="1:19" x14ac:dyDescent="0.3">
      <c r="A852">
        <v>7806</v>
      </c>
      <c r="B852" t="s">
        <v>3</v>
      </c>
      <c r="C852" s="1">
        <v>45499</v>
      </c>
      <c r="D852" t="s">
        <v>17</v>
      </c>
      <c r="E852" t="s">
        <v>10</v>
      </c>
      <c r="F852">
        <v>3</v>
      </c>
      <c r="G852">
        <v>3.41</v>
      </c>
      <c r="H852">
        <v>10.23</v>
      </c>
      <c r="I852" t="str">
        <f t="shared" si="91"/>
        <v>Low</v>
      </c>
      <c r="J852">
        <v>1.53</v>
      </c>
      <c r="K852">
        <f t="shared" si="96"/>
        <v>8.7000000000000011</v>
      </c>
      <c r="L852" t="str">
        <f t="shared" si="97"/>
        <v>July</v>
      </c>
      <c r="M852">
        <f>YEAR(C852)</f>
        <v>2024</v>
      </c>
      <c r="N852">
        <v>211</v>
      </c>
      <c r="O852" t="str">
        <f>IF(N852&gt;=200,"Platinum",IF(N852&gt;=100,"Gold",IF(N852&gt;=50,"Silver","Regular")))</f>
        <v>Platinum</v>
      </c>
      <c r="P852" s="4" t="str">
        <f t="shared" si="92"/>
        <v>Friday</v>
      </c>
      <c r="Q852" s="4" t="str">
        <f t="shared" si="93"/>
        <v>Medium Order</v>
      </c>
      <c r="R852" s="4" t="str">
        <f t="shared" si="94"/>
        <v>Weekday</v>
      </c>
      <c r="S852" s="4" t="str">
        <f t="shared" si="95"/>
        <v>Regular</v>
      </c>
    </row>
    <row r="853" spans="1:19" x14ac:dyDescent="0.3">
      <c r="A853">
        <v>5813</v>
      </c>
      <c r="B853" t="s">
        <v>13</v>
      </c>
      <c r="C853" s="1">
        <v>45394</v>
      </c>
      <c r="D853" t="s">
        <v>27</v>
      </c>
      <c r="E853" t="s">
        <v>14</v>
      </c>
      <c r="F853">
        <v>1</v>
      </c>
      <c r="G853">
        <v>10.5</v>
      </c>
      <c r="H853">
        <v>10.5</v>
      </c>
      <c r="I853" t="str">
        <f t="shared" si="91"/>
        <v>Low</v>
      </c>
      <c r="J853">
        <v>1.57</v>
      </c>
      <c r="K853">
        <f t="shared" si="96"/>
        <v>8.93</v>
      </c>
      <c r="L853" t="str">
        <f t="shared" si="97"/>
        <v>April</v>
      </c>
      <c r="M853">
        <f>YEAR(C853)</f>
        <v>2024</v>
      </c>
      <c r="N853">
        <v>298</v>
      </c>
      <c r="O853" t="str">
        <f>IF(N853&gt;=200,"Platinum",IF(N853&gt;=100,"Gold",IF(N853&gt;=50,"Silver","Regular")))</f>
        <v>Platinum</v>
      </c>
      <c r="P853" s="4" t="str">
        <f t="shared" si="92"/>
        <v>Friday</v>
      </c>
      <c r="Q853" s="4" t="str">
        <f t="shared" si="93"/>
        <v>Small Order</v>
      </c>
      <c r="R853" s="4" t="str">
        <f t="shared" si="94"/>
        <v>Weekday</v>
      </c>
      <c r="S853" s="4" t="str">
        <f t="shared" si="95"/>
        <v>Regular</v>
      </c>
    </row>
    <row r="854" spans="1:19" x14ac:dyDescent="0.3">
      <c r="A854">
        <v>9233</v>
      </c>
      <c r="B854" t="s">
        <v>0</v>
      </c>
      <c r="C854" s="1">
        <v>45861</v>
      </c>
      <c r="D854" t="s">
        <v>6</v>
      </c>
      <c r="E854" t="s">
        <v>12</v>
      </c>
      <c r="F854">
        <v>1</v>
      </c>
      <c r="G854">
        <v>6.89</v>
      </c>
      <c r="H854">
        <v>6.89</v>
      </c>
      <c r="I854" t="str">
        <f t="shared" si="91"/>
        <v>Low</v>
      </c>
      <c r="J854">
        <v>1.03</v>
      </c>
      <c r="K854">
        <f t="shared" si="96"/>
        <v>5.8599999999999994</v>
      </c>
      <c r="L854" t="str">
        <f t="shared" si="97"/>
        <v>July</v>
      </c>
      <c r="M854">
        <f>YEAR(C854)</f>
        <v>2025</v>
      </c>
      <c r="N854">
        <v>435</v>
      </c>
      <c r="O854" t="str">
        <f>IF(N854&gt;=200,"Platinum",IF(N854&gt;=100,"Gold",IF(N854&gt;=50,"Silver","Regular")))</f>
        <v>Platinum</v>
      </c>
      <c r="P854" s="4" t="str">
        <f t="shared" si="92"/>
        <v>Wednesday</v>
      </c>
      <c r="Q854" s="4" t="str">
        <f t="shared" si="93"/>
        <v>Small Order</v>
      </c>
      <c r="R854" s="4" t="str">
        <f t="shared" si="94"/>
        <v>Weekday</v>
      </c>
      <c r="S854" s="4" t="str">
        <f t="shared" si="95"/>
        <v>Regular</v>
      </c>
    </row>
    <row r="855" spans="1:19" x14ac:dyDescent="0.3">
      <c r="A855">
        <v>4608</v>
      </c>
      <c r="B855" t="s">
        <v>15</v>
      </c>
      <c r="C855" s="1">
        <v>45150</v>
      </c>
      <c r="D855" t="s">
        <v>16</v>
      </c>
      <c r="E855" t="s">
        <v>22</v>
      </c>
      <c r="F855">
        <v>1</v>
      </c>
      <c r="G855">
        <v>6.89</v>
      </c>
      <c r="H855">
        <v>6.89</v>
      </c>
      <c r="I855" t="str">
        <f t="shared" si="91"/>
        <v>Low</v>
      </c>
      <c r="J855">
        <v>1.03</v>
      </c>
      <c r="K855">
        <f t="shared" si="96"/>
        <v>5.8599999999999994</v>
      </c>
      <c r="L855" t="str">
        <f t="shared" si="97"/>
        <v>August</v>
      </c>
      <c r="M855">
        <f>YEAR(C855)</f>
        <v>2023</v>
      </c>
      <c r="N855">
        <v>281</v>
      </c>
      <c r="O855" t="str">
        <f>IF(N855&gt;=200,"Platinum",IF(N855&gt;=100,"Gold",IF(N855&gt;=50,"Silver","Regular")))</f>
        <v>Platinum</v>
      </c>
      <c r="P855" s="4" t="str">
        <f t="shared" si="92"/>
        <v>Saturday</v>
      </c>
      <c r="Q855" s="4" t="str">
        <f t="shared" si="93"/>
        <v>Small Order</v>
      </c>
      <c r="R855" s="4" t="str">
        <f t="shared" si="94"/>
        <v>Weekend</v>
      </c>
      <c r="S855" s="4" t="str">
        <f t="shared" si="95"/>
        <v>Regular</v>
      </c>
    </row>
    <row r="856" spans="1:19" x14ac:dyDescent="0.3">
      <c r="A856">
        <v>5102</v>
      </c>
      <c r="B856" t="s">
        <v>19</v>
      </c>
      <c r="C856" s="1">
        <v>45165</v>
      </c>
      <c r="D856" t="s">
        <v>24</v>
      </c>
      <c r="E856" t="s">
        <v>22</v>
      </c>
      <c r="F856">
        <v>1</v>
      </c>
      <c r="G856">
        <v>3.88</v>
      </c>
      <c r="H856">
        <v>3.88</v>
      </c>
      <c r="I856" t="str">
        <f t="shared" si="91"/>
        <v>Low</v>
      </c>
      <c r="J856">
        <v>0.57999999999999996</v>
      </c>
      <c r="K856">
        <f t="shared" si="96"/>
        <v>3.3</v>
      </c>
      <c r="L856" t="str">
        <f t="shared" si="97"/>
        <v>August</v>
      </c>
      <c r="M856">
        <f>YEAR(C856)</f>
        <v>2023</v>
      </c>
      <c r="N856">
        <v>89</v>
      </c>
      <c r="O856" t="str">
        <f>IF(N856&gt;=200,"Platinum",IF(N856&gt;=100,"Gold",IF(N856&gt;=50,"Silver","Regular")))</f>
        <v>Silver</v>
      </c>
      <c r="P856" s="4" t="str">
        <f t="shared" si="92"/>
        <v>Sunday</v>
      </c>
      <c r="Q856" s="4" t="str">
        <f t="shared" si="93"/>
        <v>Small Order</v>
      </c>
      <c r="R856" s="4" t="str">
        <f t="shared" si="94"/>
        <v>Weekend</v>
      </c>
      <c r="S856" s="4" t="str">
        <f t="shared" si="95"/>
        <v>Regular</v>
      </c>
    </row>
    <row r="857" spans="1:19" x14ac:dyDescent="0.3">
      <c r="A857">
        <v>8491</v>
      </c>
      <c r="B857" t="s">
        <v>13</v>
      </c>
      <c r="C857" s="1">
        <v>45331</v>
      </c>
      <c r="D857" t="s">
        <v>16</v>
      </c>
      <c r="E857" t="s">
        <v>26</v>
      </c>
      <c r="F857">
        <v>1</v>
      </c>
      <c r="G857">
        <v>7.63</v>
      </c>
      <c r="H857">
        <v>7.63</v>
      </c>
      <c r="I857" t="str">
        <f t="shared" si="91"/>
        <v>Low</v>
      </c>
      <c r="J857">
        <v>1.1399999999999999</v>
      </c>
      <c r="K857">
        <f t="shared" si="96"/>
        <v>6.49</v>
      </c>
      <c r="L857" t="str">
        <f t="shared" si="97"/>
        <v>February</v>
      </c>
      <c r="M857">
        <f>YEAR(C857)</f>
        <v>2024</v>
      </c>
      <c r="N857">
        <v>375</v>
      </c>
      <c r="O857" t="str">
        <f>IF(N857&gt;=200,"Platinum",IF(N857&gt;=100,"Gold",IF(N857&gt;=50,"Silver","Regular")))</f>
        <v>Platinum</v>
      </c>
      <c r="P857" s="4" t="str">
        <f t="shared" si="92"/>
        <v>Friday</v>
      </c>
      <c r="Q857" s="4" t="str">
        <f t="shared" si="93"/>
        <v>Small Order</v>
      </c>
      <c r="R857" s="4" t="str">
        <f t="shared" si="94"/>
        <v>Weekday</v>
      </c>
      <c r="S857" s="4" t="str">
        <f t="shared" si="95"/>
        <v>Regular</v>
      </c>
    </row>
    <row r="858" spans="1:19" x14ac:dyDescent="0.3">
      <c r="A858">
        <v>5272</v>
      </c>
      <c r="B858" t="s">
        <v>0</v>
      </c>
      <c r="C858" s="1">
        <v>45442</v>
      </c>
      <c r="D858" t="s">
        <v>34</v>
      </c>
      <c r="E858" t="s">
        <v>18</v>
      </c>
      <c r="F858">
        <v>1</v>
      </c>
      <c r="G858">
        <v>7.5</v>
      </c>
      <c r="H858">
        <v>7.5</v>
      </c>
      <c r="I858" t="str">
        <f t="shared" si="91"/>
        <v>Low</v>
      </c>
      <c r="J858">
        <v>1.1200000000000001</v>
      </c>
      <c r="K858">
        <f t="shared" si="96"/>
        <v>6.38</v>
      </c>
      <c r="L858" t="str">
        <f t="shared" si="97"/>
        <v>May</v>
      </c>
      <c r="M858">
        <f>YEAR(C858)</f>
        <v>2024</v>
      </c>
      <c r="N858">
        <v>489</v>
      </c>
      <c r="O858" t="str">
        <f>IF(N858&gt;=200,"Platinum",IF(N858&gt;=100,"Gold",IF(N858&gt;=50,"Silver","Regular")))</f>
        <v>Platinum</v>
      </c>
      <c r="P858" s="4" t="str">
        <f t="shared" si="92"/>
        <v>Thursday</v>
      </c>
      <c r="Q858" s="4" t="str">
        <f t="shared" si="93"/>
        <v>Small Order</v>
      </c>
      <c r="R858" s="4" t="str">
        <f t="shared" si="94"/>
        <v>Weekday</v>
      </c>
      <c r="S858" s="4" t="str">
        <f t="shared" si="95"/>
        <v>Regular</v>
      </c>
    </row>
    <row r="859" spans="1:19" x14ac:dyDescent="0.3">
      <c r="A859">
        <v>6559</v>
      </c>
      <c r="B859" t="s">
        <v>25</v>
      </c>
      <c r="C859" s="1">
        <v>45766</v>
      </c>
      <c r="D859" t="s">
        <v>17</v>
      </c>
      <c r="E859" t="s">
        <v>26</v>
      </c>
      <c r="F859">
        <v>3</v>
      </c>
      <c r="G859">
        <v>1.63</v>
      </c>
      <c r="H859">
        <v>4.8899999999999997</v>
      </c>
      <c r="I859" t="str">
        <f t="shared" si="91"/>
        <v>Low</v>
      </c>
      <c r="J859">
        <v>0.73</v>
      </c>
      <c r="K859">
        <f t="shared" si="96"/>
        <v>4.16</v>
      </c>
      <c r="L859" t="str">
        <f t="shared" si="97"/>
        <v>April</v>
      </c>
      <c r="M859">
        <f>YEAR(C859)</f>
        <v>2025</v>
      </c>
      <c r="N859">
        <v>424</v>
      </c>
      <c r="O859" t="str">
        <f>IF(N859&gt;=200,"Platinum",IF(N859&gt;=100,"Gold",IF(N859&gt;=50,"Silver","Regular")))</f>
        <v>Platinum</v>
      </c>
      <c r="P859" s="4" t="str">
        <f t="shared" si="92"/>
        <v>Saturday</v>
      </c>
      <c r="Q859" s="4" t="str">
        <f t="shared" si="93"/>
        <v>Medium Order</v>
      </c>
      <c r="R859" s="4" t="str">
        <f t="shared" si="94"/>
        <v>Weekend</v>
      </c>
      <c r="S859" s="4" t="str">
        <f t="shared" si="95"/>
        <v>Regular</v>
      </c>
    </row>
    <row r="860" spans="1:19" x14ac:dyDescent="0.3">
      <c r="A860">
        <v>4084</v>
      </c>
      <c r="B860" t="s">
        <v>13</v>
      </c>
      <c r="C860" s="1">
        <v>45394</v>
      </c>
      <c r="D860" t="s">
        <v>11</v>
      </c>
      <c r="E860" t="s">
        <v>21</v>
      </c>
      <c r="F860">
        <v>3</v>
      </c>
      <c r="G860">
        <v>1.34</v>
      </c>
      <c r="H860">
        <v>4.0199999999999996</v>
      </c>
      <c r="I860" t="str">
        <f t="shared" si="91"/>
        <v>Low</v>
      </c>
      <c r="J860">
        <v>0.6</v>
      </c>
      <c r="K860">
        <f t="shared" si="96"/>
        <v>3.4199999999999995</v>
      </c>
      <c r="L860" t="str">
        <f t="shared" si="97"/>
        <v>April</v>
      </c>
      <c r="M860">
        <f>YEAR(C860)</f>
        <v>2024</v>
      </c>
      <c r="N860">
        <v>176</v>
      </c>
      <c r="O860" t="str">
        <f>IF(N860&gt;=200,"Platinum",IF(N860&gt;=100,"Gold",IF(N860&gt;=50,"Silver","Regular")))</f>
        <v>Gold</v>
      </c>
      <c r="P860" s="4" t="str">
        <f t="shared" si="92"/>
        <v>Friday</v>
      </c>
      <c r="Q860" s="4" t="str">
        <f t="shared" si="93"/>
        <v>Medium Order</v>
      </c>
      <c r="R860" s="4" t="str">
        <f t="shared" si="94"/>
        <v>Weekday</v>
      </c>
      <c r="S860" s="4" t="str">
        <f t="shared" si="95"/>
        <v>Regular</v>
      </c>
    </row>
    <row r="861" spans="1:19" x14ac:dyDescent="0.3">
      <c r="A861">
        <v>5451</v>
      </c>
      <c r="B861" t="s">
        <v>0</v>
      </c>
      <c r="C861" s="1">
        <v>45405</v>
      </c>
      <c r="D861" t="s">
        <v>27</v>
      </c>
      <c r="E861" t="s">
        <v>12</v>
      </c>
      <c r="F861">
        <v>1</v>
      </c>
      <c r="G861">
        <v>3.82</v>
      </c>
      <c r="H861">
        <v>3.82</v>
      </c>
      <c r="I861" t="str">
        <f t="shared" si="91"/>
        <v>Low</v>
      </c>
      <c r="J861">
        <v>0.56999999999999995</v>
      </c>
      <c r="K861">
        <f t="shared" si="96"/>
        <v>3.25</v>
      </c>
      <c r="L861" t="str">
        <f t="shared" si="97"/>
        <v>April</v>
      </c>
      <c r="M861">
        <f>YEAR(C861)</f>
        <v>2024</v>
      </c>
      <c r="N861">
        <v>118</v>
      </c>
      <c r="O861" t="str">
        <f>IF(N861&gt;=200,"Platinum",IF(N861&gt;=100,"Gold",IF(N861&gt;=50,"Silver","Regular")))</f>
        <v>Gold</v>
      </c>
      <c r="P861" s="4" t="str">
        <f t="shared" si="92"/>
        <v>Tuesday</v>
      </c>
      <c r="Q861" s="4" t="str">
        <f t="shared" si="93"/>
        <v>Small Order</v>
      </c>
      <c r="R861" s="4" t="str">
        <f t="shared" si="94"/>
        <v>Weekday</v>
      </c>
      <c r="S861" s="4" t="str">
        <f t="shared" si="95"/>
        <v>Regular</v>
      </c>
    </row>
    <row r="862" spans="1:19" x14ac:dyDescent="0.3">
      <c r="A862">
        <v>4700</v>
      </c>
      <c r="B862" t="s">
        <v>15</v>
      </c>
      <c r="C862" s="1">
        <v>45377</v>
      </c>
      <c r="D862" t="s">
        <v>16</v>
      </c>
      <c r="E862" t="s">
        <v>22</v>
      </c>
      <c r="F862">
        <v>1</v>
      </c>
      <c r="G862">
        <v>1.61</v>
      </c>
      <c r="H862">
        <v>1.61</v>
      </c>
      <c r="I862" t="str">
        <f t="shared" si="91"/>
        <v>Low</v>
      </c>
      <c r="J862">
        <v>0.24</v>
      </c>
      <c r="K862">
        <f t="shared" si="96"/>
        <v>1.37</v>
      </c>
      <c r="L862" t="str">
        <f t="shared" si="97"/>
        <v>March</v>
      </c>
      <c r="M862">
        <f>YEAR(C862)</f>
        <v>2024</v>
      </c>
      <c r="N862">
        <v>428</v>
      </c>
      <c r="O862" t="str">
        <f>IF(N862&gt;=200,"Platinum",IF(N862&gt;=100,"Gold",IF(N862&gt;=50,"Silver","Regular")))</f>
        <v>Platinum</v>
      </c>
      <c r="P862" s="4" t="str">
        <f t="shared" si="92"/>
        <v>Tuesday</v>
      </c>
      <c r="Q862" s="4" t="str">
        <f t="shared" si="93"/>
        <v>Small Order</v>
      </c>
      <c r="R862" s="4" t="str">
        <f t="shared" si="94"/>
        <v>Weekday</v>
      </c>
      <c r="S862" s="4" t="str">
        <f t="shared" si="95"/>
        <v>Regular</v>
      </c>
    </row>
    <row r="863" spans="1:19" x14ac:dyDescent="0.3">
      <c r="A863">
        <v>4401</v>
      </c>
      <c r="B863" t="s">
        <v>20</v>
      </c>
      <c r="C863" s="1">
        <v>45496</v>
      </c>
      <c r="D863" t="s">
        <v>1</v>
      </c>
      <c r="E863" t="s">
        <v>28</v>
      </c>
      <c r="F863">
        <v>3</v>
      </c>
      <c r="G863">
        <v>4.5</v>
      </c>
      <c r="H863">
        <v>13.5</v>
      </c>
      <c r="I863" t="str">
        <f t="shared" si="91"/>
        <v>Low</v>
      </c>
      <c r="J863">
        <v>2.0099999999999998</v>
      </c>
      <c r="K863">
        <f t="shared" si="96"/>
        <v>11.49</v>
      </c>
      <c r="L863" t="str">
        <f t="shared" si="97"/>
        <v>July</v>
      </c>
      <c r="M863">
        <f>YEAR(C863)</f>
        <v>2024</v>
      </c>
      <c r="N863">
        <v>95</v>
      </c>
      <c r="O863" t="str">
        <f>IF(N863&gt;=200,"Platinum",IF(N863&gt;=100,"Gold",IF(N863&gt;=50,"Silver","Regular")))</f>
        <v>Silver</v>
      </c>
      <c r="P863" s="4" t="str">
        <f t="shared" si="92"/>
        <v>Tuesday</v>
      </c>
      <c r="Q863" s="4" t="str">
        <f t="shared" si="93"/>
        <v>Medium Order</v>
      </c>
      <c r="R863" s="4" t="str">
        <f t="shared" si="94"/>
        <v>Weekday</v>
      </c>
      <c r="S863" s="4" t="str">
        <f t="shared" si="95"/>
        <v>Regular</v>
      </c>
    </row>
    <row r="864" spans="1:19" x14ac:dyDescent="0.3">
      <c r="A864">
        <v>4737</v>
      </c>
      <c r="B864" t="s">
        <v>20</v>
      </c>
      <c r="C864" s="1">
        <v>45421</v>
      </c>
      <c r="D864" t="s">
        <v>27</v>
      </c>
      <c r="E864" t="s">
        <v>7</v>
      </c>
      <c r="F864">
        <v>2</v>
      </c>
      <c r="G864">
        <v>1.18</v>
      </c>
      <c r="H864">
        <v>2.36</v>
      </c>
      <c r="I864" t="str">
        <f t="shared" si="91"/>
        <v>Low</v>
      </c>
      <c r="J864">
        <v>0.35</v>
      </c>
      <c r="K864">
        <f t="shared" si="96"/>
        <v>2.0099999999999998</v>
      </c>
      <c r="L864" t="str">
        <f t="shared" si="97"/>
        <v>May</v>
      </c>
      <c r="M864">
        <f>YEAR(C864)</f>
        <v>2024</v>
      </c>
      <c r="N864">
        <v>426</v>
      </c>
      <c r="O864" t="str">
        <f>IF(N864&gt;=200,"Platinum",IF(N864&gt;=100,"Gold",IF(N864&gt;=50,"Silver","Regular")))</f>
        <v>Platinum</v>
      </c>
      <c r="P864" s="4" t="str">
        <f t="shared" si="92"/>
        <v>Thursday</v>
      </c>
      <c r="Q864" s="4" t="str">
        <f t="shared" si="93"/>
        <v>Small Order</v>
      </c>
      <c r="R864" s="4" t="str">
        <f t="shared" si="94"/>
        <v>Weekday</v>
      </c>
      <c r="S864" s="4" t="str">
        <f t="shared" si="95"/>
        <v>Regular</v>
      </c>
    </row>
    <row r="865" spans="1:19" x14ac:dyDescent="0.3">
      <c r="A865">
        <v>4862</v>
      </c>
      <c r="B865" t="s">
        <v>8</v>
      </c>
      <c r="C865" s="1">
        <v>45444</v>
      </c>
      <c r="D865" t="s">
        <v>16</v>
      </c>
      <c r="E865" t="s">
        <v>22</v>
      </c>
      <c r="F865">
        <v>2</v>
      </c>
      <c r="G865">
        <v>1.08</v>
      </c>
      <c r="H865">
        <v>2.16</v>
      </c>
      <c r="I865" t="str">
        <f t="shared" si="91"/>
        <v>Low</v>
      </c>
      <c r="J865">
        <v>0.32</v>
      </c>
      <c r="K865">
        <f t="shared" si="96"/>
        <v>1.84</v>
      </c>
      <c r="L865" t="str">
        <f t="shared" si="97"/>
        <v>June</v>
      </c>
      <c r="M865">
        <f>YEAR(C865)</f>
        <v>2024</v>
      </c>
      <c r="N865">
        <v>102</v>
      </c>
      <c r="O865" t="str">
        <f>IF(N865&gt;=200,"Platinum",IF(N865&gt;=100,"Gold",IF(N865&gt;=50,"Silver","Regular")))</f>
        <v>Gold</v>
      </c>
      <c r="P865" s="4" t="str">
        <f t="shared" si="92"/>
        <v>Saturday</v>
      </c>
      <c r="Q865" s="4" t="str">
        <f t="shared" si="93"/>
        <v>Small Order</v>
      </c>
      <c r="R865" s="4" t="str">
        <f t="shared" si="94"/>
        <v>Weekend</v>
      </c>
      <c r="S865" s="4" t="str">
        <f t="shared" si="95"/>
        <v>Regular</v>
      </c>
    </row>
    <row r="866" spans="1:19" x14ac:dyDescent="0.3">
      <c r="A866">
        <v>3060</v>
      </c>
      <c r="B866" t="s">
        <v>19</v>
      </c>
      <c r="C866" s="1">
        <v>45244</v>
      </c>
      <c r="D866" t="s">
        <v>4</v>
      </c>
      <c r="E866" t="s">
        <v>14</v>
      </c>
      <c r="F866">
        <v>1</v>
      </c>
      <c r="G866">
        <v>17.170000000000002</v>
      </c>
      <c r="H866">
        <v>17.170000000000002</v>
      </c>
      <c r="I866" t="str">
        <f t="shared" si="91"/>
        <v>Low</v>
      </c>
      <c r="J866">
        <v>2.52</v>
      </c>
      <c r="K866">
        <f t="shared" si="96"/>
        <v>14.650000000000002</v>
      </c>
      <c r="L866" t="str">
        <f t="shared" si="97"/>
        <v>November</v>
      </c>
      <c r="M866">
        <f>YEAR(C866)</f>
        <v>2023</v>
      </c>
      <c r="N866">
        <v>213</v>
      </c>
      <c r="O866" t="str">
        <f>IF(N866&gt;=200,"Platinum",IF(N866&gt;=100,"Gold",IF(N866&gt;=50,"Silver","Regular")))</f>
        <v>Platinum</v>
      </c>
      <c r="P866" s="4" t="str">
        <f t="shared" si="92"/>
        <v>Tuesday</v>
      </c>
      <c r="Q866" s="4" t="str">
        <f t="shared" si="93"/>
        <v>Small Order</v>
      </c>
      <c r="R866" s="4" t="str">
        <f t="shared" si="94"/>
        <v>Weekday</v>
      </c>
      <c r="S866" s="4" t="str">
        <f t="shared" si="95"/>
        <v>Regular</v>
      </c>
    </row>
    <row r="867" spans="1:19" x14ac:dyDescent="0.3">
      <c r="A867">
        <v>2845</v>
      </c>
      <c r="B867" t="s">
        <v>31</v>
      </c>
      <c r="C867" s="1">
        <v>45401</v>
      </c>
      <c r="D867" t="s">
        <v>6</v>
      </c>
      <c r="E867" t="s">
        <v>7</v>
      </c>
      <c r="F867">
        <v>1</v>
      </c>
      <c r="G867">
        <v>1.03</v>
      </c>
      <c r="H867">
        <v>1.03</v>
      </c>
      <c r="I867" t="str">
        <f t="shared" si="91"/>
        <v>Low</v>
      </c>
      <c r="J867">
        <v>0.15</v>
      </c>
      <c r="K867">
        <f t="shared" si="96"/>
        <v>0.88</v>
      </c>
      <c r="L867" t="str">
        <f t="shared" si="97"/>
        <v>April</v>
      </c>
      <c r="M867">
        <f>YEAR(C867)</f>
        <v>2024</v>
      </c>
      <c r="N867">
        <v>177</v>
      </c>
      <c r="O867" t="str">
        <f>IF(N867&gt;=200,"Platinum",IF(N867&gt;=100,"Gold",IF(N867&gt;=50,"Silver","Regular")))</f>
        <v>Gold</v>
      </c>
      <c r="P867" s="4" t="str">
        <f t="shared" si="92"/>
        <v>Friday</v>
      </c>
      <c r="Q867" s="4" t="str">
        <f t="shared" si="93"/>
        <v>Small Order</v>
      </c>
      <c r="R867" s="4" t="str">
        <f t="shared" si="94"/>
        <v>Weekday</v>
      </c>
      <c r="S867" s="4" t="str">
        <f t="shared" si="95"/>
        <v>Regular</v>
      </c>
    </row>
    <row r="868" spans="1:19" x14ac:dyDescent="0.3">
      <c r="A868">
        <v>4949</v>
      </c>
      <c r="B868" t="s">
        <v>13</v>
      </c>
      <c r="C868" s="1">
        <v>45533</v>
      </c>
      <c r="D868" t="s">
        <v>24</v>
      </c>
      <c r="E868" t="s">
        <v>7</v>
      </c>
      <c r="F868">
        <v>3</v>
      </c>
      <c r="G868">
        <v>9.25</v>
      </c>
      <c r="H868">
        <v>27.75</v>
      </c>
      <c r="I868" t="str">
        <f t="shared" si="91"/>
        <v>Low</v>
      </c>
      <c r="J868">
        <v>4.04</v>
      </c>
      <c r="K868">
        <f t="shared" si="96"/>
        <v>23.71</v>
      </c>
      <c r="L868" t="str">
        <f t="shared" si="97"/>
        <v>August</v>
      </c>
      <c r="M868">
        <f>YEAR(C868)</f>
        <v>2024</v>
      </c>
      <c r="N868">
        <v>291</v>
      </c>
      <c r="O868" t="str">
        <f>IF(N868&gt;=200,"Platinum",IF(N868&gt;=100,"Gold",IF(N868&gt;=50,"Silver","Regular")))</f>
        <v>Platinum</v>
      </c>
      <c r="P868" s="4" t="str">
        <f t="shared" si="92"/>
        <v>Thursday</v>
      </c>
      <c r="Q868" s="4" t="str">
        <f t="shared" si="93"/>
        <v>Medium Order</v>
      </c>
      <c r="R868" s="4" t="str">
        <f t="shared" si="94"/>
        <v>Weekday</v>
      </c>
      <c r="S868" s="4" t="str">
        <f t="shared" si="95"/>
        <v>Regular</v>
      </c>
    </row>
    <row r="869" spans="1:19" x14ac:dyDescent="0.3">
      <c r="A869">
        <v>6224</v>
      </c>
      <c r="B869" t="s">
        <v>0</v>
      </c>
      <c r="C869" s="1">
        <v>45593</v>
      </c>
      <c r="D869" t="s">
        <v>6</v>
      </c>
      <c r="E869" t="s">
        <v>12</v>
      </c>
      <c r="F869">
        <v>3</v>
      </c>
      <c r="G869">
        <v>5.2</v>
      </c>
      <c r="H869">
        <v>15.6</v>
      </c>
      <c r="I869" t="str">
        <f t="shared" si="91"/>
        <v>Low</v>
      </c>
      <c r="J869">
        <v>2.27</v>
      </c>
      <c r="K869">
        <f t="shared" si="96"/>
        <v>13.33</v>
      </c>
      <c r="L869" t="str">
        <f t="shared" si="97"/>
        <v>October</v>
      </c>
      <c r="M869">
        <f>YEAR(C869)</f>
        <v>2024</v>
      </c>
      <c r="N869">
        <v>160</v>
      </c>
      <c r="O869" t="str">
        <f>IF(N869&gt;=200,"Platinum",IF(N869&gt;=100,"Gold",IF(N869&gt;=50,"Silver","Regular")))</f>
        <v>Gold</v>
      </c>
      <c r="P869" s="4" t="str">
        <f t="shared" si="92"/>
        <v>Monday</v>
      </c>
      <c r="Q869" s="4" t="str">
        <f t="shared" si="93"/>
        <v>Medium Order</v>
      </c>
      <c r="R869" s="4" t="str">
        <f t="shared" si="94"/>
        <v>Weekday</v>
      </c>
      <c r="S869" s="4" t="str">
        <f t="shared" si="95"/>
        <v>Regular</v>
      </c>
    </row>
    <row r="870" spans="1:19" x14ac:dyDescent="0.3">
      <c r="A870">
        <v>6977</v>
      </c>
      <c r="B870" t="s">
        <v>0</v>
      </c>
      <c r="C870" s="1">
        <v>45271</v>
      </c>
      <c r="D870" t="s">
        <v>4</v>
      </c>
      <c r="E870" t="s">
        <v>7</v>
      </c>
      <c r="F870">
        <v>2</v>
      </c>
      <c r="G870">
        <v>15.66</v>
      </c>
      <c r="H870">
        <v>31.32</v>
      </c>
      <c r="I870" t="str">
        <f t="shared" si="91"/>
        <v>Low</v>
      </c>
      <c r="J870">
        <v>4.5199999999999996</v>
      </c>
      <c r="K870">
        <f t="shared" si="96"/>
        <v>26.8</v>
      </c>
      <c r="L870" t="str">
        <f t="shared" si="97"/>
        <v>December</v>
      </c>
      <c r="M870">
        <f>YEAR(C870)</f>
        <v>2023</v>
      </c>
      <c r="N870">
        <v>67</v>
      </c>
      <c r="O870" t="str">
        <f>IF(N870&gt;=200,"Platinum",IF(N870&gt;=100,"Gold",IF(N870&gt;=50,"Silver","Regular")))</f>
        <v>Silver</v>
      </c>
      <c r="P870" s="4" t="str">
        <f t="shared" si="92"/>
        <v>Monday</v>
      </c>
      <c r="Q870" s="4" t="str">
        <f t="shared" si="93"/>
        <v>Small Order</v>
      </c>
      <c r="R870" s="4" t="str">
        <f t="shared" si="94"/>
        <v>Weekday</v>
      </c>
      <c r="S870" s="4" t="str">
        <f t="shared" si="95"/>
        <v>Regular</v>
      </c>
    </row>
    <row r="871" spans="1:19" x14ac:dyDescent="0.3">
      <c r="A871">
        <v>6383</v>
      </c>
      <c r="B871" t="s">
        <v>13</v>
      </c>
      <c r="C871" s="1">
        <v>45807</v>
      </c>
      <c r="D871" t="s">
        <v>24</v>
      </c>
      <c r="E871" t="s">
        <v>33</v>
      </c>
      <c r="F871">
        <v>1</v>
      </c>
      <c r="G871">
        <v>21.56</v>
      </c>
      <c r="H871">
        <v>21.56</v>
      </c>
      <c r="I871" t="str">
        <f t="shared" si="91"/>
        <v>Low</v>
      </c>
      <c r="J871">
        <v>3.09</v>
      </c>
      <c r="K871">
        <f t="shared" si="96"/>
        <v>18.47</v>
      </c>
      <c r="L871" t="str">
        <f t="shared" si="97"/>
        <v>May</v>
      </c>
      <c r="M871">
        <f>YEAR(C871)</f>
        <v>2025</v>
      </c>
      <c r="N871">
        <v>404</v>
      </c>
      <c r="O871" t="str">
        <f>IF(N871&gt;=200,"Platinum",IF(N871&gt;=100,"Gold",IF(N871&gt;=50,"Silver","Regular")))</f>
        <v>Platinum</v>
      </c>
      <c r="P871" s="4" t="str">
        <f t="shared" si="92"/>
        <v>Friday</v>
      </c>
      <c r="Q871" s="4" t="str">
        <f t="shared" si="93"/>
        <v>Small Order</v>
      </c>
      <c r="R871" s="4" t="str">
        <f t="shared" si="94"/>
        <v>Weekday</v>
      </c>
      <c r="S871" s="4" t="str">
        <f t="shared" si="95"/>
        <v>Regular</v>
      </c>
    </row>
    <row r="872" spans="1:19" x14ac:dyDescent="0.3">
      <c r="A872">
        <v>3858</v>
      </c>
      <c r="B872" t="s">
        <v>49</v>
      </c>
      <c r="C872" s="1">
        <v>45573</v>
      </c>
      <c r="D872" t="s">
        <v>11</v>
      </c>
      <c r="E872" t="s">
        <v>14</v>
      </c>
      <c r="F872">
        <v>1</v>
      </c>
      <c r="G872">
        <v>18.72</v>
      </c>
      <c r="H872">
        <v>18.72</v>
      </c>
      <c r="I872" t="str">
        <f t="shared" si="91"/>
        <v>Low</v>
      </c>
      <c r="J872">
        <v>2.68</v>
      </c>
      <c r="K872">
        <f t="shared" si="96"/>
        <v>16.04</v>
      </c>
      <c r="L872" t="str">
        <f t="shared" si="97"/>
        <v>October</v>
      </c>
      <c r="M872">
        <f>YEAR(C872)</f>
        <v>2024</v>
      </c>
      <c r="N872">
        <v>372</v>
      </c>
      <c r="O872" t="str">
        <f>IF(N872&gt;=200,"Platinum",IF(N872&gt;=100,"Gold",IF(N872&gt;=50,"Silver","Regular")))</f>
        <v>Platinum</v>
      </c>
      <c r="P872" s="4" t="str">
        <f t="shared" si="92"/>
        <v>Tuesday</v>
      </c>
      <c r="Q872" s="4" t="str">
        <f t="shared" si="93"/>
        <v>Small Order</v>
      </c>
      <c r="R872" s="4" t="str">
        <f t="shared" si="94"/>
        <v>Weekday</v>
      </c>
      <c r="S872" s="4" t="str">
        <f t="shared" si="95"/>
        <v>Regular</v>
      </c>
    </row>
    <row r="873" spans="1:19" x14ac:dyDescent="0.3">
      <c r="A873">
        <v>5933</v>
      </c>
      <c r="B873" t="s">
        <v>0</v>
      </c>
      <c r="C873" s="1">
        <v>45353</v>
      </c>
      <c r="D873" t="s">
        <v>4</v>
      </c>
      <c r="E873" t="s">
        <v>7</v>
      </c>
      <c r="F873">
        <v>2</v>
      </c>
      <c r="G873">
        <v>7.01</v>
      </c>
      <c r="H873">
        <v>14.02</v>
      </c>
      <c r="I873" t="str">
        <f t="shared" si="91"/>
        <v>Low</v>
      </c>
      <c r="J873">
        <v>2</v>
      </c>
      <c r="K873">
        <f t="shared" si="96"/>
        <v>12.02</v>
      </c>
      <c r="L873" t="str">
        <f t="shared" si="97"/>
        <v>March</v>
      </c>
      <c r="M873">
        <f>YEAR(C873)</f>
        <v>2024</v>
      </c>
      <c r="N873">
        <v>482</v>
      </c>
      <c r="O873" t="str">
        <f>IF(N873&gt;=200,"Platinum",IF(N873&gt;=100,"Gold",IF(N873&gt;=50,"Silver","Regular")))</f>
        <v>Platinum</v>
      </c>
      <c r="P873" s="4" t="str">
        <f t="shared" si="92"/>
        <v>Saturday</v>
      </c>
      <c r="Q873" s="4" t="str">
        <f t="shared" si="93"/>
        <v>Small Order</v>
      </c>
      <c r="R873" s="4" t="str">
        <f t="shared" si="94"/>
        <v>Weekend</v>
      </c>
      <c r="S873" s="4" t="str">
        <f t="shared" si="95"/>
        <v>Regular</v>
      </c>
    </row>
    <row r="874" spans="1:19" x14ac:dyDescent="0.3">
      <c r="A874">
        <v>1962</v>
      </c>
      <c r="B874" t="s">
        <v>13</v>
      </c>
      <c r="C874" s="1">
        <v>45551</v>
      </c>
      <c r="D874" t="s">
        <v>4</v>
      </c>
      <c r="E874" t="s">
        <v>29</v>
      </c>
      <c r="F874">
        <v>1</v>
      </c>
      <c r="G874">
        <v>25.7</v>
      </c>
      <c r="H874">
        <v>25.7</v>
      </c>
      <c r="I874" t="str">
        <f t="shared" si="91"/>
        <v>Low</v>
      </c>
      <c r="J874">
        <v>3.66</v>
      </c>
      <c r="K874">
        <f t="shared" si="96"/>
        <v>22.04</v>
      </c>
      <c r="L874" t="str">
        <f t="shared" si="97"/>
        <v>September</v>
      </c>
      <c r="M874">
        <f>YEAR(C874)</f>
        <v>2024</v>
      </c>
      <c r="N874">
        <v>81</v>
      </c>
      <c r="O874" t="str">
        <f>IF(N874&gt;=200,"Platinum",IF(N874&gt;=100,"Gold",IF(N874&gt;=50,"Silver","Regular")))</f>
        <v>Silver</v>
      </c>
      <c r="P874" s="4" t="str">
        <f t="shared" si="92"/>
        <v>Monday</v>
      </c>
      <c r="Q874" s="4" t="str">
        <f t="shared" si="93"/>
        <v>Small Order</v>
      </c>
      <c r="R874" s="4" t="str">
        <f t="shared" si="94"/>
        <v>Weekday</v>
      </c>
      <c r="S874" s="4" t="str">
        <f t="shared" si="95"/>
        <v>Regular</v>
      </c>
    </row>
    <row r="875" spans="1:19" x14ac:dyDescent="0.3">
      <c r="A875">
        <v>1166</v>
      </c>
      <c r="B875" t="s">
        <v>15</v>
      </c>
      <c r="C875" s="1">
        <v>45546</v>
      </c>
      <c r="D875" t="s">
        <v>27</v>
      </c>
      <c r="E875" t="s">
        <v>7</v>
      </c>
      <c r="F875">
        <v>2</v>
      </c>
      <c r="G875">
        <v>3.74</v>
      </c>
      <c r="H875">
        <v>7.48</v>
      </c>
      <c r="I875" t="str">
        <f t="shared" si="91"/>
        <v>Low</v>
      </c>
      <c r="J875">
        <v>1.05</v>
      </c>
      <c r="K875">
        <f t="shared" si="96"/>
        <v>6.4300000000000006</v>
      </c>
      <c r="L875" t="str">
        <f t="shared" si="97"/>
        <v>September</v>
      </c>
      <c r="M875">
        <f>YEAR(C875)</f>
        <v>2024</v>
      </c>
      <c r="N875">
        <v>52</v>
      </c>
      <c r="O875" t="str">
        <f>IF(N875&gt;=200,"Platinum",IF(N875&gt;=100,"Gold",IF(N875&gt;=50,"Silver","Regular")))</f>
        <v>Silver</v>
      </c>
      <c r="P875" s="4" t="str">
        <f t="shared" si="92"/>
        <v>Wednesday</v>
      </c>
      <c r="Q875" s="4" t="str">
        <f t="shared" si="93"/>
        <v>Small Order</v>
      </c>
      <c r="R875" s="4" t="str">
        <f t="shared" si="94"/>
        <v>Weekday</v>
      </c>
      <c r="S875" s="4" t="str">
        <f t="shared" si="95"/>
        <v>Regular</v>
      </c>
    </row>
    <row r="876" spans="1:19" x14ac:dyDescent="0.3">
      <c r="A876">
        <v>4681</v>
      </c>
      <c r="B876" t="s">
        <v>25</v>
      </c>
      <c r="C876" s="1">
        <v>45798</v>
      </c>
      <c r="D876" t="s">
        <v>9</v>
      </c>
      <c r="E876" t="s">
        <v>37</v>
      </c>
      <c r="F876">
        <v>4</v>
      </c>
      <c r="G876">
        <v>8.43</v>
      </c>
      <c r="H876">
        <v>33.72</v>
      </c>
      <c r="I876" t="str">
        <f t="shared" si="91"/>
        <v>Low</v>
      </c>
      <c r="J876">
        <v>4.6500000000000004</v>
      </c>
      <c r="K876">
        <f t="shared" si="96"/>
        <v>29.07</v>
      </c>
      <c r="L876" t="str">
        <f t="shared" si="97"/>
        <v>May</v>
      </c>
      <c r="M876">
        <f>YEAR(C876)</f>
        <v>2025</v>
      </c>
      <c r="N876">
        <v>370</v>
      </c>
      <c r="O876" t="str">
        <f>IF(N876&gt;=200,"Platinum",IF(N876&gt;=100,"Gold",IF(N876&gt;=50,"Silver","Regular")))</f>
        <v>Platinum</v>
      </c>
      <c r="P876" s="4" t="str">
        <f t="shared" si="92"/>
        <v>Wednesday</v>
      </c>
      <c r="Q876" s="4" t="str">
        <f t="shared" si="93"/>
        <v>Medium Order</v>
      </c>
      <c r="R876" s="4" t="str">
        <f t="shared" si="94"/>
        <v>Weekday</v>
      </c>
      <c r="S876" s="4" t="str">
        <f t="shared" si="95"/>
        <v>Regular</v>
      </c>
    </row>
    <row r="877" spans="1:19" x14ac:dyDescent="0.3">
      <c r="A877">
        <v>7086</v>
      </c>
      <c r="B877" t="s">
        <v>20</v>
      </c>
      <c r="C877" s="1">
        <v>45229</v>
      </c>
      <c r="D877" t="s">
        <v>4</v>
      </c>
      <c r="E877" t="s">
        <v>26</v>
      </c>
      <c r="F877">
        <v>1</v>
      </c>
      <c r="G877">
        <v>28.38</v>
      </c>
      <c r="H877">
        <v>28.38</v>
      </c>
      <c r="I877" t="str">
        <f t="shared" si="91"/>
        <v>Low</v>
      </c>
      <c r="J877">
        <v>3.9</v>
      </c>
      <c r="K877">
        <f t="shared" si="96"/>
        <v>24.48</v>
      </c>
      <c r="L877" t="str">
        <f t="shared" si="97"/>
        <v>October</v>
      </c>
      <c r="M877">
        <f>YEAR(C877)</f>
        <v>2023</v>
      </c>
      <c r="N877">
        <v>491</v>
      </c>
      <c r="O877" t="str">
        <f>IF(N877&gt;=200,"Platinum",IF(N877&gt;=100,"Gold",IF(N877&gt;=50,"Silver","Regular")))</f>
        <v>Platinum</v>
      </c>
      <c r="P877" s="4" t="str">
        <f t="shared" si="92"/>
        <v>Monday</v>
      </c>
      <c r="Q877" s="4" t="str">
        <f t="shared" si="93"/>
        <v>Small Order</v>
      </c>
      <c r="R877" s="4" t="str">
        <f t="shared" si="94"/>
        <v>Weekday</v>
      </c>
      <c r="S877" s="4" t="str">
        <f t="shared" si="95"/>
        <v>Regular</v>
      </c>
    </row>
    <row r="878" spans="1:19" x14ac:dyDescent="0.3">
      <c r="A878">
        <v>4657</v>
      </c>
      <c r="B878" t="s">
        <v>3</v>
      </c>
      <c r="C878" s="1">
        <v>45253</v>
      </c>
      <c r="D878" t="s">
        <v>6</v>
      </c>
      <c r="E878" t="s">
        <v>7</v>
      </c>
      <c r="F878">
        <v>4</v>
      </c>
      <c r="G878">
        <v>7.38</v>
      </c>
      <c r="H878">
        <v>29.52</v>
      </c>
      <c r="I878" t="str">
        <f t="shared" si="91"/>
        <v>Low</v>
      </c>
      <c r="J878">
        <v>4.04</v>
      </c>
      <c r="K878">
        <f t="shared" si="96"/>
        <v>25.48</v>
      </c>
      <c r="L878" t="str">
        <f t="shared" si="97"/>
        <v>November</v>
      </c>
      <c r="M878">
        <f>YEAR(C878)</f>
        <v>2023</v>
      </c>
      <c r="N878">
        <v>301</v>
      </c>
      <c r="O878" t="str">
        <f>IF(N878&gt;=200,"Platinum",IF(N878&gt;=100,"Gold",IF(N878&gt;=50,"Silver","Regular")))</f>
        <v>Platinum</v>
      </c>
      <c r="P878" s="4" t="str">
        <f t="shared" si="92"/>
        <v>Thursday</v>
      </c>
      <c r="Q878" s="4" t="str">
        <f t="shared" si="93"/>
        <v>Medium Order</v>
      </c>
      <c r="R878" s="4" t="str">
        <f t="shared" si="94"/>
        <v>Weekday</v>
      </c>
      <c r="S878" s="4" t="str">
        <f t="shared" si="95"/>
        <v>Regular</v>
      </c>
    </row>
    <row r="879" spans="1:19" x14ac:dyDescent="0.3">
      <c r="A879">
        <v>8508</v>
      </c>
      <c r="B879" t="s">
        <v>0</v>
      </c>
      <c r="C879" s="1">
        <v>45627</v>
      </c>
      <c r="D879" t="s">
        <v>9</v>
      </c>
      <c r="E879" t="s">
        <v>26</v>
      </c>
      <c r="F879">
        <v>3</v>
      </c>
      <c r="G879">
        <v>7.42</v>
      </c>
      <c r="H879">
        <v>22.26</v>
      </c>
      <c r="I879" t="str">
        <f t="shared" si="91"/>
        <v>Low</v>
      </c>
      <c r="J879">
        <v>3.04</v>
      </c>
      <c r="K879">
        <f t="shared" si="96"/>
        <v>19.220000000000002</v>
      </c>
      <c r="L879" t="str">
        <f t="shared" si="97"/>
        <v>December</v>
      </c>
      <c r="M879">
        <f>YEAR(C879)</f>
        <v>2024</v>
      </c>
      <c r="N879">
        <v>398</v>
      </c>
      <c r="O879" t="str">
        <f>IF(N879&gt;=200,"Platinum",IF(N879&gt;=100,"Gold",IF(N879&gt;=50,"Silver","Regular")))</f>
        <v>Platinum</v>
      </c>
      <c r="P879" s="4" t="str">
        <f t="shared" si="92"/>
        <v>Sunday</v>
      </c>
      <c r="Q879" s="4" t="str">
        <f t="shared" si="93"/>
        <v>Medium Order</v>
      </c>
      <c r="R879" s="4" t="str">
        <f t="shared" si="94"/>
        <v>Weekend</v>
      </c>
      <c r="S879" s="4" t="str">
        <f t="shared" si="95"/>
        <v>Regular</v>
      </c>
    </row>
    <row r="880" spans="1:19" x14ac:dyDescent="0.3">
      <c r="A880">
        <v>7442</v>
      </c>
      <c r="B880" t="s">
        <v>15</v>
      </c>
      <c r="C880" s="1">
        <v>45537</v>
      </c>
      <c r="D880" t="s">
        <v>11</v>
      </c>
      <c r="E880" t="s">
        <v>30</v>
      </c>
      <c r="F880">
        <v>3</v>
      </c>
      <c r="G880">
        <v>10.199999999999999</v>
      </c>
      <c r="H880">
        <v>30.6</v>
      </c>
      <c r="I880" t="str">
        <f t="shared" si="91"/>
        <v>Low</v>
      </c>
      <c r="J880">
        <v>4.17</v>
      </c>
      <c r="K880">
        <f t="shared" si="96"/>
        <v>26.43</v>
      </c>
      <c r="L880" t="str">
        <f t="shared" si="97"/>
        <v>September</v>
      </c>
      <c r="M880">
        <f>YEAR(C880)</f>
        <v>2024</v>
      </c>
      <c r="N880">
        <v>402</v>
      </c>
      <c r="O880" t="str">
        <f>IF(N880&gt;=200,"Platinum",IF(N880&gt;=100,"Gold",IF(N880&gt;=50,"Silver","Regular")))</f>
        <v>Platinum</v>
      </c>
      <c r="P880" s="4" t="str">
        <f t="shared" si="92"/>
        <v>Monday</v>
      </c>
      <c r="Q880" s="4" t="str">
        <f t="shared" si="93"/>
        <v>Medium Order</v>
      </c>
      <c r="R880" s="4" t="str">
        <f t="shared" si="94"/>
        <v>Weekday</v>
      </c>
      <c r="S880" s="4" t="str">
        <f t="shared" si="95"/>
        <v>Regular</v>
      </c>
    </row>
    <row r="881" spans="1:19" x14ac:dyDescent="0.3">
      <c r="A881">
        <v>5380</v>
      </c>
      <c r="B881" t="s">
        <v>25</v>
      </c>
      <c r="C881" s="1">
        <v>45811</v>
      </c>
      <c r="D881" t="s">
        <v>1</v>
      </c>
      <c r="E881" t="s">
        <v>30</v>
      </c>
      <c r="F881">
        <v>2</v>
      </c>
      <c r="G881">
        <v>6.13</v>
      </c>
      <c r="H881">
        <v>12.26</v>
      </c>
      <c r="I881" t="str">
        <f t="shared" si="91"/>
        <v>Low</v>
      </c>
      <c r="J881">
        <v>1.62</v>
      </c>
      <c r="K881">
        <f t="shared" si="96"/>
        <v>10.64</v>
      </c>
      <c r="L881" t="str">
        <f t="shared" si="97"/>
        <v>June</v>
      </c>
      <c r="M881">
        <f>YEAR(C881)</f>
        <v>2025</v>
      </c>
      <c r="N881">
        <v>4</v>
      </c>
      <c r="O881" t="str">
        <f>IF(N881&gt;=200,"Platinum",IF(N881&gt;=100,"Gold",IF(N881&gt;=50,"Silver","Regular")))</f>
        <v>Regular</v>
      </c>
      <c r="P881" s="4" t="str">
        <f t="shared" si="92"/>
        <v>Tuesday</v>
      </c>
      <c r="Q881" s="4" t="str">
        <f t="shared" si="93"/>
        <v>Small Order</v>
      </c>
      <c r="R881" s="4" t="str">
        <f t="shared" si="94"/>
        <v>Weekday</v>
      </c>
      <c r="S881" s="4" t="str">
        <f t="shared" si="95"/>
        <v>Regular</v>
      </c>
    </row>
    <row r="882" spans="1:19" x14ac:dyDescent="0.3">
      <c r="A882">
        <v>4490</v>
      </c>
      <c r="B882" t="s">
        <v>8</v>
      </c>
      <c r="C882" s="1">
        <v>45632</v>
      </c>
      <c r="D882" t="s">
        <v>34</v>
      </c>
      <c r="E882" t="s">
        <v>18</v>
      </c>
      <c r="F882">
        <v>5</v>
      </c>
      <c r="G882">
        <v>5.31</v>
      </c>
      <c r="H882">
        <v>26.55</v>
      </c>
      <c r="I882" t="str">
        <f t="shared" si="91"/>
        <v>Low</v>
      </c>
      <c r="J882">
        <v>3.49</v>
      </c>
      <c r="K882">
        <f t="shared" si="96"/>
        <v>23.060000000000002</v>
      </c>
      <c r="L882" t="str">
        <f t="shared" si="97"/>
        <v>December</v>
      </c>
      <c r="M882">
        <f>YEAR(C882)</f>
        <v>2024</v>
      </c>
      <c r="N882">
        <v>419</v>
      </c>
      <c r="O882" t="str">
        <f>IF(N882&gt;=200,"Platinum",IF(N882&gt;=100,"Gold",IF(N882&gt;=50,"Silver","Regular")))</f>
        <v>Platinum</v>
      </c>
      <c r="P882" s="4" t="str">
        <f t="shared" si="92"/>
        <v>Friday</v>
      </c>
      <c r="Q882" s="4" t="str">
        <f t="shared" si="93"/>
        <v>Medium Order</v>
      </c>
      <c r="R882" s="4" t="str">
        <f t="shared" si="94"/>
        <v>Weekday</v>
      </c>
      <c r="S882" s="4" t="str">
        <f t="shared" si="95"/>
        <v>Regular</v>
      </c>
    </row>
    <row r="883" spans="1:19" x14ac:dyDescent="0.3">
      <c r="A883">
        <v>4728</v>
      </c>
      <c r="B883" t="s">
        <v>15</v>
      </c>
      <c r="C883" s="1">
        <v>45705</v>
      </c>
      <c r="D883" t="s">
        <v>16</v>
      </c>
      <c r="E883" t="s">
        <v>33</v>
      </c>
      <c r="F883">
        <v>4</v>
      </c>
      <c r="G883">
        <v>9.44</v>
      </c>
      <c r="H883">
        <v>37.76</v>
      </c>
      <c r="I883" t="str">
        <f t="shared" si="91"/>
        <v>Low</v>
      </c>
      <c r="J883">
        <v>4.92</v>
      </c>
      <c r="K883">
        <f t="shared" si="96"/>
        <v>32.839999999999996</v>
      </c>
      <c r="L883" t="str">
        <f t="shared" si="97"/>
        <v>February</v>
      </c>
      <c r="M883">
        <f>YEAR(C883)</f>
        <v>2025</v>
      </c>
      <c r="N883">
        <v>494</v>
      </c>
      <c r="O883" t="str">
        <f>IF(N883&gt;=200,"Platinum",IF(N883&gt;=100,"Gold",IF(N883&gt;=50,"Silver","Regular")))</f>
        <v>Platinum</v>
      </c>
      <c r="P883" s="4" t="str">
        <f t="shared" si="92"/>
        <v>Monday</v>
      </c>
      <c r="Q883" s="4" t="str">
        <f t="shared" si="93"/>
        <v>Medium Order</v>
      </c>
      <c r="R883" s="4" t="str">
        <f t="shared" si="94"/>
        <v>Weekday</v>
      </c>
      <c r="S883" s="4" t="str">
        <f t="shared" si="95"/>
        <v>Regular</v>
      </c>
    </row>
    <row r="884" spans="1:19" x14ac:dyDescent="0.3">
      <c r="A884">
        <v>9837</v>
      </c>
      <c r="B884" t="s">
        <v>15</v>
      </c>
      <c r="C884" s="1">
        <v>45825</v>
      </c>
      <c r="D884" t="s">
        <v>6</v>
      </c>
      <c r="E884" t="s">
        <v>29</v>
      </c>
      <c r="F884">
        <v>2</v>
      </c>
      <c r="G884">
        <v>14.35</v>
      </c>
      <c r="H884">
        <v>28.7</v>
      </c>
      <c r="I884" t="str">
        <f t="shared" si="91"/>
        <v>Low</v>
      </c>
      <c r="J884">
        <v>3.66</v>
      </c>
      <c r="K884">
        <f t="shared" si="96"/>
        <v>25.04</v>
      </c>
      <c r="L884" t="str">
        <f t="shared" si="97"/>
        <v>June</v>
      </c>
      <c r="M884">
        <f>YEAR(C884)</f>
        <v>2025</v>
      </c>
      <c r="N884">
        <v>394</v>
      </c>
      <c r="O884" t="str">
        <f>IF(N884&gt;=200,"Platinum",IF(N884&gt;=100,"Gold",IF(N884&gt;=50,"Silver","Regular")))</f>
        <v>Platinum</v>
      </c>
      <c r="P884" s="4" t="str">
        <f t="shared" si="92"/>
        <v>Tuesday</v>
      </c>
      <c r="Q884" s="4" t="str">
        <f t="shared" si="93"/>
        <v>Small Order</v>
      </c>
      <c r="R884" s="4" t="str">
        <f t="shared" si="94"/>
        <v>Weekday</v>
      </c>
      <c r="S884" s="4" t="str">
        <f t="shared" si="95"/>
        <v>Regular</v>
      </c>
    </row>
    <row r="885" spans="1:19" x14ac:dyDescent="0.3">
      <c r="A885">
        <v>5991</v>
      </c>
      <c r="B885" t="s">
        <v>3</v>
      </c>
      <c r="C885" s="1">
        <v>45150</v>
      </c>
      <c r="D885" t="s">
        <v>34</v>
      </c>
      <c r="E885" t="s">
        <v>28</v>
      </c>
      <c r="F885">
        <v>3</v>
      </c>
      <c r="G885">
        <v>13.06</v>
      </c>
      <c r="H885">
        <v>39.18</v>
      </c>
      <c r="I885" t="str">
        <f t="shared" si="91"/>
        <v>Low</v>
      </c>
      <c r="J885">
        <v>4.97</v>
      </c>
      <c r="K885">
        <f t="shared" si="96"/>
        <v>34.21</v>
      </c>
      <c r="L885" t="str">
        <f t="shared" si="97"/>
        <v>August</v>
      </c>
      <c r="M885">
        <f>YEAR(C885)</f>
        <v>2023</v>
      </c>
      <c r="N885">
        <v>76</v>
      </c>
      <c r="O885" t="str">
        <f>IF(N885&gt;=200,"Platinum",IF(N885&gt;=100,"Gold",IF(N885&gt;=50,"Silver","Regular")))</f>
        <v>Silver</v>
      </c>
      <c r="P885" s="4" t="str">
        <f t="shared" si="92"/>
        <v>Saturday</v>
      </c>
      <c r="Q885" s="4" t="str">
        <f t="shared" si="93"/>
        <v>Medium Order</v>
      </c>
      <c r="R885" s="4" t="str">
        <f t="shared" si="94"/>
        <v>Weekend</v>
      </c>
      <c r="S885" s="4" t="str">
        <f t="shared" si="95"/>
        <v>Regular</v>
      </c>
    </row>
    <row r="886" spans="1:19" x14ac:dyDescent="0.3">
      <c r="A886">
        <v>3317</v>
      </c>
      <c r="B886" t="s">
        <v>3</v>
      </c>
      <c r="C886" s="1">
        <v>45857</v>
      </c>
      <c r="D886" t="s">
        <v>17</v>
      </c>
      <c r="E886" t="s">
        <v>29</v>
      </c>
      <c r="F886">
        <v>4</v>
      </c>
      <c r="G886">
        <v>4.4400000000000004</v>
      </c>
      <c r="H886">
        <v>17.760000000000002</v>
      </c>
      <c r="I886" t="str">
        <f t="shared" si="91"/>
        <v>Low</v>
      </c>
      <c r="J886">
        <v>2.21</v>
      </c>
      <c r="K886">
        <f t="shared" si="96"/>
        <v>15.55</v>
      </c>
      <c r="L886" t="str">
        <f t="shared" si="97"/>
        <v>July</v>
      </c>
      <c r="M886">
        <f>YEAR(C886)</f>
        <v>2025</v>
      </c>
      <c r="N886">
        <v>129</v>
      </c>
      <c r="O886" t="str">
        <f>IF(N886&gt;=200,"Platinum",IF(N886&gt;=100,"Gold",IF(N886&gt;=50,"Silver","Regular")))</f>
        <v>Gold</v>
      </c>
      <c r="P886" s="4" t="str">
        <f t="shared" si="92"/>
        <v>Saturday</v>
      </c>
      <c r="Q886" s="4" t="str">
        <f t="shared" si="93"/>
        <v>Medium Order</v>
      </c>
      <c r="R886" s="4" t="str">
        <f t="shared" si="94"/>
        <v>Weekend</v>
      </c>
      <c r="S886" s="4" t="str">
        <f t="shared" si="95"/>
        <v>Regular</v>
      </c>
    </row>
    <row r="887" spans="1:19" x14ac:dyDescent="0.3">
      <c r="A887">
        <v>4830</v>
      </c>
      <c r="B887" t="s">
        <v>3</v>
      </c>
      <c r="C887" s="1">
        <v>45511</v>
      </c>
      <c r="D887" t="s">
        <v>9</v>
      </c>
      <c r="E887" t="s">
        <v>33</v>
      </c>
      <c r="F887">
        <v>2</v>
      </c>
      <c r="G887">
        <v>16.25</v>
      </c>
      <c r="H887">
        <v>32.5</v>
      </c>
      <c r="I887" t="str">
        <f t="shared" si="91"/>
        <v>Low</v>
      </c>
      <c r="J887">
        <v>4</v>
      </c>
      <c r="K887">
        <f t="shared" si="96"/>
        <v>28.5</v>
      </c>
      <c r="L887" t="str">
        <f t="shared" si="97"/>
        <v>August</v>
      </c>
      <c r="M887">
        <f>YEAR(C887)</f>
        <v>2024</v>
      </c>
      <c r="N887">
        <v>127</v>
      </c>
      <c r="O887" t="str">
        <f>IF(N887&gt;=200,"Platinum",IF(N887&gt;=100,"Gold",IF(N887&gt;=50,"Silver","Regular")))</f>
        <v>Gold</v>
      </c>
      <c r="P887" s="4" t="str">
        <f t="shared" si="92"/>
        <v>Wednesday</v>
      </c>
      <c r="Q887" s="4" t="str">
        <f t="shared" si="93"/>
        <v>Small Order</v>
      </c>
      <c r="R887" s="4" t="str">
        <f t="shared" si="94"/>
        <v>Weekday</v>
      </c>
      <c r="S887" s="4" t="str">
        <f t="shared" si="95"/>
        <v>Regular</v>
      </c>
    </row>
    <row r="888" spans="1:19" x14ac:dyDescent="0.3">
      <c r="A888">
        <v>1990</v>
      </c>
      <c r="B888" t="s">
        <v>3</v>
      </c>
      <c r="C888" s="1">
        <v>45624</v>
      </c>
      <c r="D888" t="s">
        <v>24</v>
      </c>
      <c r="E888" t="s">
        <v>37</v>
      </c>
      <c r="F888">
        <v>1</v>
      </c>
      <c r="G888">
        <v>15.45</v>
      </c>
      <c r="H888">
        <v>15.45</v>
      </c>
      <c r="I888" t="str">
        <f t="shared" si="91"/>
        <v>Low</v>
      </c>
      <c r="J888">
        <v>1.9</v>
      </c>
      <c r="K888">
        <f t="shared" si="96"/>
        <v>13.549999999999999</v>
      </c>
      <c r="L888" t="str">
        <f t="shared" si="97"/>
        <v>November</v>
      </c>
      <c r="M888">
        <f>YEAR(C888)</f>
        <v>2024</v>
      </c>
      <c r="N888">
        <v>26</v>
      </c>
      <c r="O888" t="str">
        <f>IF(N888&gt;=200,"Platinum",IF(N888&gt;=100,"Gold",IF(N888&gt;=50,"Silver","Regular")))</f>
        <v>Regular</v>
      </c>
      <c r="P888" s="4" t="str">
        <f t="shared" si="92"/>
        <v>Thursday</v>
      </c>
      <c r="Q888" s="4" t="str">
        <f t="shared" si="93"/>
        <v>Small Order</v>
      </c>
      <c r="R888" s="4" t="str">
        <f t="shared" si="94"/>
        <v>Weekday</v>
      </c>
      <c r="S888" s="4" t="str">
        <f t="shared" si="95"/>
        <v>Regular</v>
      </c>
    </row>
    <row r="889" spans="1:19" x14ac:dyDescent="0.3">
      <c r="A889">
        <v>1452</v>
      </c>
      <c r="B889" t="s">
        <v>25</v>
      </c>
      <c r="C889" s="1">
        <v>45234</v>
      </c>
      <c r="D889" t="s">
        <v>1</v>
      </c>
      <c r="E889" t="s">
        <v>21</v>
      </c>
      <c r="F889">
        <v>1</v>
      </c>
      <c r="G889">
        <v>17.53</v>
      </c>
      <c r="H889">
        <v>17.53</v>
      </c>
      <c r="I889" t="str">
        <f t="shared" si="91"/>
        <v>Low</v>
      </c>
      <c r="J889">
        <v>2.15</v>
      </c>
      <c r="K889">
        <f t="shared" si="96"/>
        <v>15.38</v>
      </c>
      <c r="L889" t="str">
        <f t="shared" si="97"/>
        <v>November</v>
      </c>
      <c r="M889">
        <f>YEAR(C889)</f>
        <v>2023</v>
      </c>
      <c r="N889">
        <v>99</v>
      </c>
      <c r="O889" t="str">
        <f>IF(N889&gt;=200,"Platinum",IF(N889&gt;=100,"Gold",IF(N889&gt;=50,"Silver","Regular")))</f>
        <v>Silver</v>
      </c>
      <c r="P889" s="4" t="str">
        <f t="shared" si="92"/>
        <v>Saturday</v>
      </c>
      <c r="Q889" s="4" t="str">
        <f t="shared" si="93"/>
        <v>Small Order</v>
      </c>
      <c r="R889" s="4" t="str">
        <f t="shared" si="94"/>
        <v>Weekend</v>
      </c>
      <c r="S889" s="4" t="str">
        <f t="shared" si="95"/>
        <v>Regular</v>
      </c>
    </row>
    <row r="890" spans="1:19" x14ac:dyDescent="0.3">
      <c r="A890">
        <v>4814</v>
      </c>
      <c r="B890" t="s">
        <v>15</v>
      </c>
      <c r="C890" s="1">
        <v>45185</v>
      </c>
      <c r="D890" t="s">
        <v>9</v>
      </c>
      <c r="E890" t="s">
        <v>12</v>
      </c>
      <c r="F890">
        <v>3</v>
      </c>
      <c r="G890">
        <v>11.56</v>
      </c>
      <c r="H890">
        <v>34.68</v>
      </c>
      <c r="I890" t="str">
        <f t="shared" si="91"/>
        <v>Low</v>
      </c>
      <c r="J890">
        <v>4.25</v>
      </c>
      <c r="K890">
        <f t="shared" si="96"/>
        <v>30.43</v>
      </c>
      <c r="L890" t="str">
        <f t="shared" si="97"/>
        <v>September</v>
      </c>
      <c r="M890">
        <f>YEAR(C890)</f>
        <v>2023</v>
      </c>
      <c r="N890">
        <v>456</v>
      </c>
      <c r="O890" t="str">
        <f>IF(N890&gt;=200,"Platinum",IF(N890&gt;=100,"Gold",IF(N890&gt;=50,"Silver","Regular")))</f>
        <v>Platinum</v>
      </c>
      <c r="P890" s="4" t="str">
        <f t="shared" si="92"/>
        <v>Saturday</v>
      </c>
      <c r="Q890" s="4" t="str">
        <f t="shared" si="93"/>
        <v>Medium Order</v>
      </c>
      <c r="R890" s="4" t="str">
        <f t="shared" si="94"/>
        <v>Weekend</v>
      </c>
      <c r="S890" s="4" t="str">
        <f t="shared" si="95"/>
        <v>Regular</v>
      </c>
    </row>
    <row r="891" spans="1:19" x14ac:dyDescent="0.3">
      <c r="A891">
        <v>9228</v>
      </c>
      <c r="B891" t="s">
        <v>15</v>
      </c>
      <c r="C891" s="1">
        <v>45776</v>
      </c>
      <c r="D891" t="s">
        <v>24</v>
      </c>
      <c r="E891" t="s">
        <v>14</v>
      </c>
      <c r="F891">
        <v>1</v>
      </c>
      <c r="G891">
        <v>28</v>
      </c>
      <c r="H891">
        <v>28</v>
      </c>
      <c r="I891" t="str">
        <f t="shared" si="91"/>
        <v>Low</v>
      </c>
      <c r="J891">
        <v>3.43</v>
      </c>
      <c r="K891">
        <f t="shared" si="96"/>
        <v>24.57</v>
      </c>
      <c r="L891" t="str">
        <f t="shared" si="97"/>
        <v>April</v>
      </c>
      <c r="M891">
        <f>YEAR(C891)</f>
        <v>2025</v>
      </c>
      <c r="N891">
        <v>13</v>
      </c>
      <c r="O891" t="str">
        <f>IF(N891&gt;=200,"Platinum",IF(N891&gt;=100,"Gold",IF(N891&gt;=50,"Silver","Regular")))</f>
        <v>Regular</v>
      </c>
      <c r="P891" s="4" t="str">
        <f t="shared" si="92"/>
        <v>Tuesday</v>
      </c>
      <c r="Q891" s="4" t="str">
        <f t="shared" si="93"/>
        <v>Small Order</v>
      </c>
      <c r="R891" s="4" t="str">
        <f t="shared" si="94"/>
        <v>Weekday</v>
      </c>
      <c r="S891" s="4" t="str">
        <f t="shared" si="95"/>
        <v>Regular</v>
      </c>
    </row>
    <row r="892" spans="1:19" x14ac:dyDescent="0.3">
      <c r="A892">
        <v>2865</v>
      </c>
      <c r="B892" t="s">
        <v>25</v>
      </c>
      <c r="C892" s="1">
        <v>45868</v>
      </c>
      <c r="D892" t="s">
        <v>23</v>
      </c>
      <c r="E892" t="s">
        <v>28</v>
      </c>
      <c r="F892">
        <v>2</v>
      </c>
      <c r="G892">
        <v>13.81</v>
      </c>
      <c r="H892">
        <v>27.62</v>
      </c>
      <c r="I892" t="str">
        <f t="shared" si="91"/>
        <v>Low</v>
      </c>
      <c r="J892">
        <v>3.34</v>
      </c>
      <c r="K892">
        <f t="shared" si="96"/>
        <v>24.28</v>
      </c>
      <c r="L892" t="str">
        <f t="shared" si="97"/>
        <v>July</v>
      </c>
      <c r="M892">
        <f>YEAR(C892)</f>
        <v>2025</v>
      </c>
      <c r="N892">
        <v>269</v>
      </c>
      <c r="O892" t="str">
        <f>IF(N892&gt;=200,"Platinum",IF(N892&gt;=100,"Gold",IF(N892&gt;=50,"Silver","Regular")))</f>
        <v>Platinum</v>
      </c>
      <c r="P892" s="4" t="str">
        <f t="shared" si="92"/>
        <v>Wednesday</v>
      </c>
      <c r="Q892" s="4" t="str">
        <f t="shared" si="93"/>
        <v>Small Order</v>
      </c>
      <c r="R892" s="4" t="str">
        <f t="shared" si="94"/>
        <v>Weekday</v>
      </c>
      <c r="S892" s="4" t="str">
        <f t="shared" si="95"/>
        <v>Regular</v>
      </c>
    </row>
    <row r="893" spans="1:19" x14ac:dyDescent="0.3">
      <c r="A893">
        <v>1333</v>
      </c>
      <c r="B893" t="s">
        <v>3</v>
      </c>
      <c r="C893" s="1">
        <v>45448</v>
      </c>
      <c r="D893" t="s">
        <v>9</v>
      </c>
      <c r="E893" t="s">
        <v>26</v>
      </c>
      <c r="F893">
        <v>5</v>
      </c>
      <c r="G893">
        <v>2.37</v>
      </c>
      <c r="H893">
        <v>11.85</v>
      </c>
      <c r="I893" t="str">
        <f t="shared" si="91"/>
        <v>Low</v>
      </c>
      <c r="J893">
        <v>1.43</v>
      </c>
      <c r="K893">
        <f t="shared" si="96"/>
        <v>10.42</v>
      </c>
      <c r="L893" t="str">
        <f t="shared" si="97"/>
        <v>June</v>
      </c>
      <c r="M893">
        <f>YEAR(C893)</f>
        <v>2024</v>
      </c>
      <c r="N893">
        <v>39</v>
      </c>
      <c r="O893" t="str">
        <f>IF(N893&gt;=200,"Platinum",IF(N893&gt;=100,"Gold",IF(N893&gt;=50,"Silver","Regular")))</f>
        <v>Regular</v>
      </c>
      <c r="P893" s="4" t="str">
        <f t="shared" si="92"/>
        <v>Wednesday</v>
      </c>
      <c r="Q893" s="4" t="str">
        <f t="shared" si="93"/>
        <v>Medium Order</v>
      </c>
      <c r="R893" s="4" t="str">
        <f t="shared" si="94"/>
        <v>Weekday</v>
      </c>
      <c r="S893" s="4" t="str">
        <f t="shared" si="95"/>
        <v>Regular</v>
      </c>
    </row>
    <row r="894" spans="1:19" x14ac:dyDescent="0.3">
      <c r="A894">
        <v>8454</v>
      </c>
      <c r="B894" t="s">
        <v>3</v>
      </c>
      <c r="C894" s="1">
        <v>45366</v>
      </c>
      <c r="D894" t="s">
        <v>24</v>
      </c>
      <c r="E894" t="s">
        <v>18</v>
      </c>
      <c r="F894">
        <v>1</v>
      </c>
      <c r="G894">
        <v>20.16</v>
      </c>
      <c r="H894">
        <v>20.16</v>
      </c>
      <c r="I894" t="str">
        <f t="shared" si="91"/>
        <v>Low</v>
      </c>
      <c r="J894">
        <v>2.4300000000000002</v>
      </c>
      <c r="K894">
        <f t="shared" si="96"/>
        <v>17.73</v>
      </c>
      <c r="L894" t="str">
        <f t="shared" si="97"/>
        <v>March</v>
      </c>
      <c r="M894">
        <f>YEAR(C894)</f>
        <v>2024</v>
      </c>
      <c r="N894">
        <v>13</v>
      </c>
      <c r="O894" t="str">
        <f>IF(N894&gt;=200,"Platinum",IF(N894&gt;=100,"Gold",IF(N894&gt;=50,"Silver","Regular")))</f>
        <v>Regular</v>
      </c>
      <c r="P894" s="4" t="str">
        <f t="shared" si="92"/>
        <v>Friday</v>
      </c>
      <c r="Q894" s="4" t="str">
        <f t="shared" si="93"/>
        <v>Small Order</v>
      </c>
      <c r="R894" s="4" t="str">
        <f t="shared" si="94"/>
        <v>Weekday</v>
      </c>
      <c r="S894" s="4" t="str">
        <f t="shared" si="95"/>
        <v>Regular</v>
      </c>
    </row>
    <row r="895" spans="1:19" x14ac:dyDescent="0.3">
      <c r="A895">
        <v>8498</v>
      </c>
      <c r="B895" t="s">
        <v>25</v>
      </c>
      <c r="C895" s="1">
        <v>45173</v>
      </c>
      <c r="D895" t="s">
        <v>34</v>
      </c>
      <c r="E895" t="s">
        <v>14</v>
      </c>
      <c r="F895">
        <v>5</v>
      </c>
      <c r="G895">
        <v>7.36</v>
      </c>
      <c r="H895">
        <v>36.799999999999997</v>
      </c>
      <c r="I895" t="str">
        <f t="shared" si="91"/>
        <v>Low</v>
      </c>
      <c r="J895">
        <v>4.41</v>
      </c>
      <c r="K895">
        <f t="shared" si="96"/>
        <v>32.39</v>
      </c>
      <c r="L895" t="str">
        <f t="shared" si="97"/>
        <v>September</v>
      </c>
      <c r="M895">
        <f>YEAR(C895)</f>
        <v>2023</v>
      </c>
      <c r="N895">
        <v>465</v>
      </c>
      <c r="O895" t="str">
        <f>IF(N895&gt;=200,"Platinum",IF(N895&gt;=100,"Gold",IF(N895&gt;=50,"Silver","Regular")))</f>
        <v>Platinum</v>
      </c>
      <c r="P895" s="4" t="str">
        <f t="shared" si="92"/>
        <v>Monday</v>
      </c>
      <c r="Q895" s="4" t="str">
        <f t="shared" si="93"/>
        <v>Medium Order</v>
      </c>
      <c r="R895" s="4" t="str">
        <f t="shared" si="94"/>
        <v>Weekday</v>
      </c>
      <c r="S895" s="4" t="str">
        <f t="shared" si="95"/>
        <v>Regular</v>
      </c>
    </row>
    <row r="896" spans="1:19" x14ac:dyDescent="0.3">
      <c r="A896">
        <v>7906</v>
      </c>
      <c r="B896" t="s">
        <v>19</v>
      </c>
      <c r="C896" s="1">
        <v>45340</v>
      </c>
      <c r="D896" t="s">
        <v>1</v>
      </c>
      <c r="E896" t="s">
        <v>2</v>
      </c>
      <c r="F896">
        <v>2</v>
      </c>
      <c r="G896">
        <v>16.579999999999998</v>
      </c>
      <c r="H896">
        <v>33.159999999999997</v>
      </c>
      <c r="I896" t="str">
        <f t="shared" si="91"/>
        <v>Low</v>
      </c>
      <c r="J896">
        <v>3.97</v>
      </c>
      <c r="K896">
        <f t="shared" si="96"/>
        <v>29.189999999999998</v>
      </c>
      <c r="L896" t="str">
        <f t="shared" si="97"/>
        <v>February</v>
      </c>
      <c r="M896">
        <f>YEAR(C896)</f>
        <v>2024</v>
      </c>
      <c r="N896">
        <v>86</v>
      </c>
      <c r="O896" t="str">
        <f>IF(N896&gt;=200,"Platinum",IF(N896&gt;=100,"Gold",IF(N896&gt;=50,"Silver","Regular")))</f>
        <v>Silver</v>
      </c>
      <c r="P896" s="4" t="str">
        <f t="shared" si="92"/>
        <v>Sunday</v>
      </c>
      <c r="Q896" s="4" t="str">
        <f t="shared" si="93"/>
        <v>Small Order</v>
      </c>
      <c r="R896" s="4" t="str">
        <f t="shared" si="94"/>
        <v>Weekend</v>
      </c>
      <c r="S896" s="4" t="str">
        <f t="shared" si="95"/>
        <v>Regular</v>
      </c>
    </row>
    <row r="897" spans="1:19" x14ac:dyDescent="0.3">
      <c r="A897">
        <v>2260</v>
      </c>
      <c r="B897" t="s">
        <v>0</v>
      </c>
      <c r="C897" s="1">
        <v>45377</v>
      </c>
      <c r="D897" t="s">
        <v>11</v>
      </c>
      <c r="E897" t="s">
        <v>7</v>
      </c>
      <c r="F897">
        <v>5</v>
      </c>
      <c r="G897">
        <v>3.21</v>
      </c>
      <c r="H897">
        <v>16.05</v>
      </c>
      <c r="I897" t="str">
        <f t="shared" si="91"/>
        <v>Low</v>
      </c>
      <c r="J897">
        <v>1.92</v>
      </c>
      <c r="K897">
        <f t="shared" si="96"/>
        <v>14.13</v>
      </c>
      <c r="L897" t="str">
        <f t="shared" si="97"/>
        <v>March</v>
      </c>
      <c r="M897">
        <f>YEAR(C897)</f>
        <v>2024</v>
      </c>
      <c r="N897">
        <v>185</v>
      </c>
      <c r="O897" t="str">
        <f>IF(N897&gt;=200,"Platinum",IF(N897&gt;=100,"Gold",IF(N897&gt;=50,"Silver","Regular")))</f>
        <v>Gold</v>
      </c>
      <c r="P897" s="4" t="str">
        <f t="shared" si="92"/>
        <v>Tuesday</v>
      </c>
      <c r="Q897" s="4" t="str">
        <f t="shared" si="93"/>
        <v>Medium Order</v>
      </c>
      <c r="R897" s="4" t="str">
        <f t="shared" si="94"/>
        <v>Weekday</v>
      </c>
      <c r="S897" s="4" t="str">
        <f t="shared" si="95"/>
        <v>Regular</v>
      </c>
    </row>
    <row r="898" spans="1:19" x14ac:dyDescent="0.3">
      <c r="A898">
        <v>3194</v>
      </c>
      <c r="B898" t="s">
        <v>31</v>
      </c>
      <c r="C898" s="1">
        <v>45388</v>
      </c>
      <c r="D898" t="s">
        <v>11</v>
      </c>
      <c r="E898" t="s">
        <v>12</v>
      </c>
      <c r="F898">
        <v>3</v>
      </c>
      <c r="G898">
        <v>9.8800000000000008</v>
      </c>
      <c r="H898">
        <v>29.64</v>
      </c>
      <c r="I898" t="str">
        <f t="shared" ref="I898:I961" si="98">IF(J898=0,"No Discount",IF(J898&lt;=5,"Low",IF(J898&lt;=10,"Medium",IF(J898&lt;=20,"High","Very High"))))</f>
        <v>Low</v>
      </c>
      <c r="J898">
        <v>3.54</v>
      </c>
      <c r="K898">
        <f t="shared" si="96"/>
        <v>26.1</v>
      </c>
      <c r="L898" t="str">
        <f t="shared" si="97"/>
        <v>April</v>
      </c>
      <c r="M898">
        <f>YEAR(C898)</f>
        <v>2024</v>
      </c>
      <c r="N898">
        <v>366</v>
      </c>
      <c r="O898" t="str">
        <f>IF(N898&gt;=200,"Platinum",IF(N898&gt;=100,"Gold",IF(N898&gt;=50,"Silver","Regular")))</f>
        <v>Platinum</v>
      </c>
      <c r="P898" s="4" t="str">
        <f t="shared" ref="P898:P961" si="99">TEXT(C898,"dddd")</f>
        <v>Saturday</v>
      </c>
      <c r="Q898" s="4" t="str">
        <f t="shared" ref="Q898:Q961" si="100">IF(F898&lt;=2,"Small Order",IF(F898&lt;=5,"Medium Order",IF(F898&lt;=10,"Large Order","Bulk Order")))</f>
        <v>Medium Order</v>
      </c>
      <c r="R898" s="4" t="str">
        <f t="shared" ref="R898:R961" si="101">IF(WEEKDAY(C898,2)&gt;5,"Weekend","Weekday")</f>
        <v>Weekend</v>
      </c>
      <c r="S898" s="4" t="str">
        <f t="shared" ref="S898:S961" si="102">IF(K898&gt;=100,"High Value","Regular")</f>
        <v>Regular</v>
      </c>
    </row>
    <row r="899" spans="1:19" x14ac:dyDescent="0.3">
      <c r="A899">
        <v>3500</v>
      </c>
      <c r="B899" t="s">
        <v>3</v>
      </c>
      <c r="C899" s="1">
        <v>45678</v>
      </c>
      <c r="D899" t="s">
        <v>11</v>
      </c>
      <c r="E899" t="s">
        <v>22</v>
      </c>
      <c r="F899">
        <v>1</v>
      </c>
      <c r="G899">
        <v>8.9</v>
      </c>
      <c r="H899">
        <v>8.9</v>
      </c>
      <c r="I899" t="str">
        <f t="shared" si="98"/>
        <v>Low</v>
      </c>
      <c r="J899">
        <v>1.06</v>
      </c>
      <c r="K899">
        <f t="shared" ref="K899:K962" si="103">MAX(0,H899-J899)</f>
        <v>7.84</v>
      </c>
      <c r="L899" t="str">
        <f t="shared" ref="L899:L962" si="104">TEXT(C899,"mmmm")</f>
        <v>January</v>
      </c>
      <c r="M899">
        <f>YEAR(C899)</f>
        <v>2025</v>
      </c>
      <c r="N899">
        <v>80</v>
      </c>
      <c r="O899" t="str">
        <f>IF(N899&gt;=200,"Platinum",IF(N899&gt;=100,"Gold",IF(N899&gt;=50,"Silver","Regular")))</f>
        <v>Silver</v>
      </c>
      <c r="P899" s="4" t="str">
        <f t="shared" si="99"/>
        <v>Tuesday</v>
      </c>
      <c r="Q899" s="4" t="str">
        <f t="shared" si="100"/>
        <v>Small Order</v>
      </c>
      <c r="R899" s="4" t="str">
        <f t="shared" si="101"/>
        <v>Weekday</v>
      </c>
      <c r="S899" s="4" t="str">
        <f t="shared" si="102"/>
        <v>Regular</v>
      </c>
    </row>
    <row r="900" spans="1:19" x14ac:dyDescent="0.3">
      <c r="A900">
        <v>8842</v>
      </c>
      <c r="B900" t="s">
        <v>3</v>
      </c>
      <c r="C900" s="1">
        <v>45553</v>
      </c>
      <c r="D900" t="s">
        <v>1</v>
      </c>
      <c r="E900" t="s">
        <v>5</v>
      </c>
      <c r="F900">
        <v>3</v>
      </c>
      <c r="G900">
        <v>6.66</v>
      </c>
      <c r="H900">
        <v>19.98</v>
      </c>
      <c r="I900" t="str">
        <f t="shared" si="98"/>
        <v>Low</v>
      </c>
      <c r="J900">
        <v>2.37</v>
      </c>
      <c r="K900">
        <f t="shared" si="103"/>
        <v>17.61</v>
      </c>
      <c r="L900" t="str">
        <f t="shared" si="104"/>
        <v>September</v>
      </c>
      <c r="M900">
        <f>YEAR(C900)</f>
        <v>2024</v>
      </c>
      <c r="N900">
        <v>102</v>
      </c>
      <c r="O900" t="str">
        <f>IF(N900&gt;=200,"Platinum",IF(N900&gt;=100,"Gold",IF(N900&gt;=50,"Silver","Regular")))</f>
        <v>Gold</v>
      </c>
      <c r="P900" s="4" t="str">
        <f t="shared" si="99"/>
        <v>Wednesday</v>
      </c>
      <c r="Q900" s="4" t="str">
        <f t="shared" si="100"/>
        <v>Medium Order</v>
      </c>
      <c r="R900" s="4" t="str">
        <f t="shared" si="101"/>
        <v>Weekday</v>
      </c>
      <c r="S900" s="4" t="str">
        <f t="shared" si="102"/>
        <v>Regular</v>
      </c>
    </row>
    <row r="901" spans="1:19" x14ac:dyDescent="0.3">
      <c r="A901">
        <v>6218</v>
      </c>
      <c r="B901" t="s">
        <v>13</v>
      </c>
      <c r="C901" s="1">
        <v>45271</v>
      </c>
      <c r="D901" t="s">
        <v>34</v>
      </c>
      <c r="E901" t="s">
        <v>37</v>
      </c>
      <c r="F901">
        <v>4</v>
      </c>
      <c r="G901">
        <v>9.51</v>
      </c>
      <c r="H901">
        <v>38.04</v>
      </c>
      <c r="I901" t="str">
        <f t="shared" si="98"/>
        <v>Low</v>
      </c>
      <c r="J901">
        <v>4.5</v>
      </c>
      <c r="K901">
        <f t="shared" si="103"/>
        <v>33.54</v>
      </c>
      <c r="L901" t="str">
        <f t="shared" si="104"/>
        <v>December</v>
      </c>
      <c r="M901">
        <f>YEAR(C901)</f>
        <v>2023</v>
      </c>
      <c r="N901">
        <v>99</v>
      </c>
      <c r="O901" t="str">
        <f>IF(N901&gt;=200,"Platinum",IF(N901&gt;=100,"Gold",IF(N901&gt;=50,"Silver","Regular")))</f>
        <v>Silver</v>
      </c>
      <c r="P901" s="4" t="str">
        <f t="shared" si="99"/>
        <v>Monday</v>
      </c>
      <c r="Q901" s="4" t="str">
        <f t="shared" si="100"/>
        <v>Medium Order</v>
      </c>
      <c r="R901" s="4" t="str">
        <f t="shared" si="101"/>
        <v>Weekday</v>
      </c>
      <c r="S901" s="4" t="str">
        <f t="shared" si="102"/>
        <v>Regular</v>
      </c>
    </row>
    <row r="902" spans="1:19" x14ac:dyDescent="0.3">
      <c r="A902">
        <v>9071</v>
      </c>
      <c r="B902" t="s">
        <v>0</v>
      </c>
      <c r="C902" s="1">
        <v>45235</v>
      </c>
      <c r="D902" t="s">
        <v>11</v>
      </c>
      <c r="E902" t="s">
        <v>36</v>
      </c>
      <c r="F902">
        <v>2</v>
      </c>
      <c r="G902">
        <v>15.15</v>
      </c>
      <c r="H902">
        <v>30.3</v>
      </c>
      <c r="I902" t="str">
        <f t="shared" si="98"/>
        <v>Low</v>
      </c>
      <c r="J902">
        <v>3.57</v>
      </c>
      <c r="K902">
        <f t="shared" si="103"/>
        <v>26.73</v>
      </c>
      <c r="L902" t="str">
        <f t="shared" si="104"/>
        <v>November</v>
      </c>
      <c r="M902">
        <f>YEAR(C902)</f>
        <v>2023</v>
      </c>
      <c r="N902">
        <v>460</v>
      </c>
      <c r="O902" t="str">
        <f>IF(N902&gt;=200,"Platinum",IF(N902&gt;=100,"Gold",IF(N902&gt;=50,"Silver","Regular")))</f>
        <v>Platinum</v>
      </c>
      <c r="P902" s="4" t="str">
        <f t="shared" si="99"/>
        <v>Sunday</v>
      </c>
      <c r="Q902" s="4" t="str">
        <f t="shared" si="100"/>
        <v>Small Order</v>
      </c>
      <c r="R902" s="4" t="str">
        <f t="shared" si="101"/>
        <v>Weekend</v>
      </c>
      <c r="S902" s="4" t="str">
        <f t="shared" si="102"/>
        <v>Regular</v>
      </c>
    </row>
    <row r="903" spans="1:19" x14ac:dyDescent="0.3">
      <c r="A903">
        <v>7105</v>
      </c>
      <c r="B903" t="s">
        <v>3</v>
      </c>
      <c r="C903" s="1">
        <v>45775</v>
      </c>
      <c r="D903" t="s">
        <v>4</v>
      </c>
      <c r="E903" t="s">
        <v>22</v>
      </c>
      <c r="F903">
        <v>5</v>
      </c>
      <c r="G903">
        <v>4.8099999999999996</v>
      </c>
      <c r="H903">
        <v>24.05</v>
      </c>
      <c r="I903" t="str">
        <f t="shared" si="98"/>
        <v>Low</v>
      </c>
      <c r="J903">
        <v>2.82</v>
      </c>
      <c r="K903">
        <f t="shared" si="103"/>
        <v>21.23</v>
      </c>
      <c r="L903" t="str">
        <f t="shared" si="104"/>
        <v>April</v>
      </c>
      <c r="M903">
        <f>YEAR(C903)</f>
        <v>2025</v>
      </c>
      <c r="N903">
        <v>416</v>
      </c>
      <c r="O903" t="str">
        <f>IF(N903&gt;=200,"Platinum",IF(N903&gt;=100,"Gold",IF(N903&gt;=50,"Silver","Regular")))</f>
        <v>Platinum</v>
      </c>
      <c r="P903" s="4" t="str">
        <f t="shared" si="99"/>
        <v>Monday</v>
      </c>
      <c r="Q903" s="4" t="str">
        <f t="shared" si="100"/>
        <v>Medium Order</v>
      </c>
      <c r="R903" s="4" t="str">
        <f t="shared" si="101"/>
        <v>Weekday</v>
      </c>
      <c r="S903" s="4" t="str">
        <f t="shared" si="102"/>
        <v>Regular</v>
      </c>
    </row>
    <row r="904" spans="1:19" x14ac:dyDescent="0.3">
      <c r="A904">
        <v>2337</v>
      </c>
      <c r="B904" t="s">
        <v>0</v>
      </c>
      <c r="C904" s="1">
        <v>45436</v>
      </c>
      <c r="D904" t="s">
        <v>4</v>
      </c>
      <c r="E904" t="s">
        <v>18</v>
      </c>
      <c r="F904">
        <v>2</v>
      </c>
      <c r="G904">
        <v>15.96</v>
      </c>
      <c r="H904">
        <v>31.92</v>
      </c>
      <c r="I904" t="str">
        <f t="shared" si="98"/>
        <v>Low</v>
      </c>
      <c r="J904">
        <v>3.74</v>
      </c>
      <c r="K904">
        <f t="shared" si="103"/>
        <v>28.18</v>
      </c>
      <c r="L904" t="str">
        <f t="shared" si="104"/>
        <v>May</v>
      </c>
      <c r="M904">
        <f>YEAR(C904)</f>
        <v>2024</v>
      </c>
      <c r="N904">
        <v>496</v>
      </c>
      <c r="O904" t="str">
        <f>IF(N904&gt;=200,"Platinum",IF(N904&gt;=100,"Gold",IF(N904&gt;=50,"Silver","Regular")))</f>
        <v>Platinum</v>
      </c>
      <c r="P904" s="4" t="str">
        <f t="shared" si="99"/>
        <v>Friday</v>
      </c>
      <c r="Q904" s="4" t="str">
        <f t="shared" si="100"/>
        <v>Small Order</v>
      </c>
      <c r="R904" s="4" t="str">
        <f t="shared" si="101"/>
        <v>Weekday</v>
      </c>
      <c r="S904" s="4" t="str">
        <f t="shared" si="102"/>
        <v>Regular</v>
      </c>
    </row>
    <row r="905" spans="1:19" x14ac:dyDescent="0.3">
      <c r="A905">
        <v>7684</v>
      </c>
      <c r="B905" t="s">
        <v>20</v>
      </c>
      <c r="C905" s="1">
        <v>45217</v>
      </c>
      <c r="D905" t="s">
        <v>4</v>
      </c>
      <c r="E905" t="s">
        <v>12</v>
      </c>
      <c r="F905">
        <v>4</v>
      </c>
      <c r="G905">
        <v>7.96</v>
      </c>
      <c r="H905">
        <v>31.84</v>
      </c>
      <c r="I905" t="str">
        <f t="shared" si="98"/>
        <v>Low</v>
      </c>
      <c r="J905">
        <v>3.73</v>
      </c>
      <c r="K905">
        <f t="shared" si="103"/>
        <v>28.11</v>
      </c>
      <c r="L905" t="str">
        <f t="shared" si="104"/>
        <v>October</v>
      </c>
      <c r="M905">
        <f>YEAR(C905)</f>
        <v>2023</v>
      </c>
      <c r="N905">
        <v>328</v>
      </c>
      <c r="O905" t="str">
        <f>IF(N905&gt;=200,"Platinum",IF(N905&gt;=100,"Gold",IF(N905&gt;=50,"Silver","Regular")))</f>
        <v>Platinum</v>
      </c>
      <c r="P905" s="4" t="str">
        <f t="shared" si="99"/>
        <v>Wednesday</v>
      </c>
      <c r="Q905" s="4" t="str">
        <f t="shared" si="100"/>
        <v>Medium Order</v>
      </c>
      <c r="R905" s="4" t="str">
        <f t="shared" si="101"/>
        <v>Weekday</v>
      </c>
      <c r="S905" s="4" t="str">
        <f t="shared" si="102"/>
        <v>Regular</v>
      </c>
    </row>
    <row r="906" spans="1:19" x14ac:dyDescent="0.3">
      <c r="A906">
        <v>4836</v>
      </c>
      <c r="B906" t="s">
        <v>8</v>
      </c>
      <c r="C906" s="1">
        <v>45478</v>
      </c>
      <c r="D906" t="s">
        <v>11</v>
      </c>
      <c r="E906" t="s">
        <v>7</v>
      </c>
      <c r="F906">
        <v>3</v>
      </c>
      <c r="G906">
        <v>12.5</v>
      </c>
      <c r="H906">
        <v>37.5</v>
      </c>
      <c r="I906" t="str">
        <f t="shared" si="98"/>
        <v>Low</v>
      </c>
      <c r="J906">
        <v>4.38</v>
      </c>
      <c r="K906">
        <f t="shared" si="103"/>
        <v>33.119999999999997</v>
      </c>
      <c r="L906" t="str">
        <f t="shared" si="104"/>
        <v>July</v>
      </c>
      <c r="M906">
        <f>YEAR(C906)</f>
        <v>2024</v>
      </c>
      <c r="N906">
        <v>471</v>
      </c>
      <c r="O906" t="str">
        <f>IF(N906&gt;=200,"Platinum",IF(N906&gt;=100,"Gold",IF(N906&gt;=50,"Silver","Regular")))</f>
        <v>Platinum</v>
      </c>
      <c r="P906" s="4" t="str">
        <f t="shared" si="99"/>
        <v>Friday</v>
      </c>
      <c r="Q906" s="4" t="str">
        <f t="shared" si="100"/>
        <v>Medium Order</v>
      </c>
      <c r="R906" s="4" t="str">
        <f t="shared" si="101"/>
        <v>Weekday</v>
      </c>
      <c r="S906" s="4" t="str">
        <f t="shared" si="102"/>
        <v>Regular</v>
      </c>
    </row>
    <row r="907" spans="1:19" x14ac:dyDescent="0.3">
      <c r="A907">
        <v>3187</v>
      </c>
      <c r="B907" t="s">
        <v>20</v>
      </c>
      <c r="C907" s="1">
        <v>45639</v>
      </c>
      <c r="D907" t="s">
        <v>17</v>
      </c>
      <c r="E907" t="s">
        <v>36</v>
      </c>
      <c r="F907">
        <v>1</v>
      </c>
      <c r="G907">
        <v>22.2</v>
      </c>
      <c r="H907">
        <v>22.2</v>
      </c>
      <c r="I907" t="str">
        <f t="shared" si="98"/>
        <v>Low</v>
      </c>
      <c r="J907">
        <v>2.59</v>
      </c>
      <c r="K907">
        <f t="shared" si="103"/>
        <v>19.61</v>
      </c>
      <c r="L907" t="str">
        <f t="shared" si="104"/>
        <v>December</v>
      </c>
      <c r="M907">
        <f>YEAR(C907)</f>
        <v>2024</v>
      </c>
      <c r="N907">
        <v>78</v>
      </c>
      <c r="O907" t="str">
        <f>IF(N907&gt;=200,"Platinum",IF(N907&gt;=100,"Gold",IF(N907&gt;=50,"Silver","Regular")))</f>
        <v>Silver</v>
      </c>
      <c r="P907" s="4" t="str">
        <f t="shared" si="99"/>
        <v>Friday</v>
      </c>
      <c r="Q907" s="4" t="str">
        <f t="shared" si="100"/>
        <v>Small Order</v>
      </c>
      <c r="R907" s="4" t="str">
        <f t="shared" si="101"/>
        <v>Weekday</v>
      </c>
      <c r="S907" s="4" t="str">
        <f t="shared" si="102"/>
        <v>Regular</v>
      </c>
    </row>
    <row r="908" spans="1:19" x14ac:dyDescent="0.3">
      <c r="A908">
        <v>5339</v>
      </c>
      <c r="B908" t="s">
        <v>13</v>
      </c>
      <c r="C908" s="1">
        <v>45253</v>
      </c>
      <c r="D908" t="s">
        <v>16</v>
      </c>
      <c r="E908" t="s">
        <v>21</v>
      </c>
      <c r="F908">
        <v>2</v>
      </c>
      <c r="G908">
        <v>18.84</v>
      </c>
      <c r="H908">
        <v>37.68</v>
      </c>
      <c r="I908" t="str">
        <f t="shared" si="98"/>
        <v>Low</v>
      </c>
      <c r="J908">
        <v>4.33</v>
      </c>
      <c r="K908">
        <f t="shared" si="103"/>
        <v>33.35</v>
      </c>
      <c r="L908" t="str">
        <f t="shared" si="104"/>
        <v>November</v>
      </c>
      <c r="M908">
        <f>YEAR(C908)</f>
        <v>2023</v>
      </c>
      <c r="N908">
        <v>154</v>
      </c>
      <c r="O908" t="str">
        <f>IF(N908&gt;=200,"Platinum",IF(N908&gt;=100,"Gold",IF(N908&gt;=50,"Silver","Regular")))</f>
        <v>Gold</v>
      </c>
      <c r="P908" s="4" t="str">
        <f t="shared" si="99"/>
        <v>Thursday</v>
      </c>
      <c r="Q908" s="4" t="str">
        <f t="shared" si="100"/>
        <v>Small Order</v>
      </c>
      <c r="R908" s="4" t="str">
        <f t="shared" si="101"/>
        <v>Weekday</v>
      </c>
      <c r="S908" s="4" t="str">
        <f t="shared" si="102"/>
        <v>Regular</v>
      </c>
    </row>
    <row r="909" spans="1:19" x14ac:dyDescent="0.3">
      <c r="A909">
        <v>5742</v>
      </c>
      <c r="B909" t="s">
        <v>3</v>
      </c>
      <c r="C909" s="1">
        <v>45825</v>
      </c>
      <c r="D909" t="s">
        <v>17</v>
      </c>
      <c r="E909" t="s">
        <v>12</v>
      </c>
      <c r="F909">
        <v>2</v>
      </c>
      <c r="G909">
        <v>19.850000000000001</v>
      </c>
      <c r="H909">
        <v>39.700000000000003</v>
      </c>
      <c r="I909" t="str">
        <f t="shared" si="98"/>
        <v>Low</v>
      </c>
      <c r="J909">
        <v>4.55</v>
      </c>
      <c r="K909">
        <f t="shared" si="103"/>
        <v>35.150000000000006</v>
      </c>
      <c r="L909" t="str">
        <f t="shared" si="104"/>
        <v>June</v>
      </c>
      <c r="M909">
        <f>YEAR(C909)</f>
        <v>2025</v>
      </c>
      <c r="N909">
        <v>107</v>
      </c>
      <c r="O909" t="str">
        <f>IF(N909&gt;=200,"Platinum",IF(N909&gt;=100,"Gold",IF(N909&gt;=50,"Silver","Regular")))</f>
        <v>Gold</v>
      </c>
      <c r="P909" s="4" t="str">
        <f t="shared" si="99"/>
        <v>Tuesday</v>
      </c>
      <c r="Q909" s="4" t="str">
        <f t="shared" si="100"/>
        <v>Small Order</v>
      </c>
      <c r="R909" s="4" t="str">
        <f t="shared" si="101"/>
        <v>Weekday</v>
      </c>
      <c r="S909" s="4" t="str">
        <f t="shared" si="102"/>
        <v>Regular</v>
      </c>
    </row>
    <row r="910" spans="1:19" x14ac:dyDescent="0.3">
      <c r="A910">
        <v>6198</v>
      </c>
      <c r="B910" t="s">
        <v>8</v>
      </c>
      <c r="C910" s="1">
        <v>45731</v>
      </c>
      <c r="D910" t="s">
        <v>11</v>
      </c>
      <c r="E910" t="s">
        <v>18</v>
      </c>
      <c r="F910">
        <v>2</v>
      </c>
      <c r="G910">
        <v>21.88</v>
      </c>
      <c r="H910">
        <v>43.76</v>
      </c>
      <c r="I910" t="str">
        <f t="shared" si="98"/>
        <v>Low</v>
      </c>
      <c r="J910">
        <v>4.96</v>
      </c>
      <c r="K910">
        <f t="shared" si="103"/>
        <v>38.799999999999997</v>
      </c>
      <c r="L910" t="str">
        <f t="shared" si="104"/>
        <v>March</v>
      </c>
      <c r="M910">
        <f>YEAR(C910)</f>
        <v>2025</v>
      </c>
      <c r="N910">
        <v>250</v>
      </c>
      <c r="O910" t="str">
        <f>IF(N910&gt;=200,"Platinum",IF(N910&gt;=100,"Gold",IF(N910&gt;=50,"Silver","Regular")))</f>
        <v>Platinum</v>
      </c>
      <c r="P910" s="4" t="str">
        <f t="shared" si="99"/>
        <v>Saturday</v>
      </c>
      <c r="Q910" s="4" t="str">
        <f t="shared" si="100"/>
        <v>Small Order</v>
      </c>
      <c r="R910" s="4" t="str">
        <f t="shared" si="101"/>
        <v>Weekend</v>
      </c>
      <c r="S910" s="4" t="str">
        <f t="shared" si="102"/>
        <v>Regular</v>
      </c>
    </row>
    <row r="911" spans="1:19" x14ac:dyDescent="0.3">
      <c r="A911">
        <v>8921</v>
      </c>
      <c r="B911" t="s">
        <v>25</v>
      </c>
      <c r="C911" s="1">
        <v>45506</v>
      </c>
      <c r="D911" t="s">
        <v>6</v>
      </c>
      <c r="E911" t="s">
        <v>5</v>
      </c>
      <c r="F911">
        <v>3</v>
      </c>
      <c r="G911">
        <v>8.86</v>
      </c>
      <c r="H911">
        <v>26.58</v>
      </c>
      <c r="I911" t="str">
        <f t="shared" si="98"/>
        <v>Low</v>
      </c>
      <c r="J911">
        <v>3.01</v>
      </c>
      <c r="K911">
        <f t="shared" si="103"/>
        <v>23.57</v>
      </c>
      <c r="L911" t="str">
        <f t="shared" si="104"/>
        <v>August</v>
      </c>
      <c r="M911">
        <f>YEAR(C911)</f>
        <v>2024</v>
      </c>
      <c r="N911">
        <v>39</v>
      </c>
      <c r="O911" t="str">
        <f>IF(N911&gt;=200,"Platinum",IF(N911&gt;=100,"Gold",IF(N911&gt;=50,"Silver","Regular")))</f>
        <v>Regular</v>
      </c>
      <c r="P911" s="4" t="str">
        <f t="shared" si="99"/>
        <v>Friday</v>
      </c>
      <c r="Q911" s="4" t="str">
        <f t="shared" si="100"/>
        <v>Medium Order</v>
      </c>
      <c r="R911" s="4" t="str">
        <f t="shared" si="101"/>
        <v>Weekday</v>
      </c>
      <c r="S911" s="4" t="str">
        <f t="shared" si="102"/>
        <v>Regular</v>
      </c>
    </row>
    <row r="912" spans="1:19" x14ac:dyDescent="0.3">
      <c r="A912">
        <v>2746</v>
      </c>
      <c r="B912" t="s">
        <v>19</v>
      </c>
      <c r="C912" s="1">
        <v>45749</v>
      </c>
      <c r="D912" t="s">
        <v>6</v>
      </c>
      <c r="E912" t="s">
        <v>10</v>
      </c>
      <c r="F912">
        <v>1</v>
      </c>
      <c r="G912">
        <v>27.73</v>
      </c>
      <c r="H912">
        <v>27.73</v>
      </c>
      <c r="I912" t="str">
        <f t="shared" si="98"/>
        <v>Low</v>
      </c>
      <c r="J912">
        <v>3.14</v>
      </c>
      <c r="K912">
        <f t="shared" si="103"/>
        <v>24.59</v>
      </c>
      <c r="L912" t="str">
        <f t="shared" si="104"/>
        <v>April</v>
      </c>
      <c r="M912">
        <f>YEAR(C912)</f>
        <v>2025</v>
      </c>
      <c r="N912">
        <v>433</v>
      </c>
      <c r="O912" t="str">
        <f>IF(N912&gt;=200,"Platinum",IF(N912&gt;=100,"Gold",IF(N912&gt;=50,"Silver","Regular")))</f>
        <v>Platinum</v>
      </c>
      <c r="P912" s="4" t="str">
        <f t="shared" si="99"/>
        <v>Wednesday</v>
      </c>
      <c r="Q912" s="4" t="str">
        <f t="shared" si="100"/>
        <v>Small Order</v>
      </c>
      <c r="R912" s="4" t="str">
        <f t="shared" si="101"/>
        <v>Weekday</v>
      </c>
      <c r="S912" s="4" t="str">
        <f t="shared" si="102"/>
        <v>Regular</v>
      </c>
    </row>
    <row r="913" spans="1:19" x14ac:dyDescent="0.3">
      <c r="A913">
        <v>8438</v>
      </c>
      <c r="B913" t="s">
        <v>19</v>
      </c>
      <c r="C913" s="1">
        <v>45200</v>
      </c>
      <c r="D913" t="s">
        <v>9</v>
      </c>
      <c r="E913" t="s">
        <v>10</v>
      </c>
      <c r="F913">
        <v>3</v>
      </c>
      <c r="G913">
        <v>8.5500000000000007</v>
      </c>
      <c r="H913">
        <v>25.65</v>
      </c>
      <c r="I913" t="str">
        <f t="shared" si="98"/>
        <v>Low</v>
      </c>
      <c r="J913">
        <v>2.88</v>
      </c>
      <c r="K913">
        <f t="shared" si="103"/>
        <v>22.77</v>
      </c>
      <c r="L913" t="str">
        <f t="shared" si="104"/>
        <v>October</v>
      </c>
      <c r="M913">
        <f>YEAR(C913)</f>
        <v>2023</v>
      </c>
      <c r="N913">
        <v>150</v>
      </c>
      <c r="O913" t="str">
        <f>IF(N913&gt;=200,"Platinum",IF(N913&gt;=100,"Gold",IF(N913&gt;=50,"Silver","Regular")))</f>
        <v>Gold</v>
      </c>
      <c r="P913" s="4" t="str">
        <f t="shared" si="99"/>
        <v>Sunday</v>
      </c>
      <c r="Q913" s="4" t="str">
        <f t="shared" si="100"/>
        <v>Medium Order</v>
      </c>
      <c r="R913" s="4" t="str">
        <f t="shared" si="101"/>
        <v>Weekend</v>
      </c>
      <c r="S913" s="4" t="str">
        <f t="shared" si="102"/>
        <v>Regular</v>
      </c>
    </row>
    <row r="914" spans="1:19" x14ac:dyDescent="0.3">
      <c r="A914">
        <v>6813</v>
      </c>
      <c r="B914" t="s">
        <v>0</v>
      </c>
      <c r="C914" s="1">
        <v>45764</v>
      </c>
      <c r="D914" t="s">
        <v>23</v>
      </c>
      <c r="E914" t="s">
        <v>37</v>
      </c>
      <c r="F914">
        <v>2</v>
      </c>
      <c r="G914">
        <v>14.03</v>
      </c>
      <c r="H914">
        <v>28.06</v>
      </c>
      <c r="I914" t="str">
        <f t="shared" si="98"/>
        <v>Low</v>
      </c>
      <c r="J914">
        <v>3.14</v>
      </c>
      <c r="K914">
        <f t="shared" si="103"/>
        <v>24.919999999999998</v>
      </c>
      <c r="L914" t="str">
        <f t="shared" si="104"/>
        <v>April</v>
      </c>
      <c r="M914">
        <f>YEAR(C914)</f>
        <v>2025</v>
      </c>
      <c r="N914">
        <v>160</v>
      </c>
      <c r="O914" t="str">
        <f>IF(N914&gt;=200,"Platinum",IF(N914&gt;=100,"Gold",IF(N914&gt;=50,"Silver","Regular")))</f>
        <v>Gold</v>
      </c>
      <c r="P914" s="4" t="str">
        <f t="shared" si="99"/>
        <v>Thursday</v>
      </c>
      <c r="Q914" s="4" t="str">
        <f t="shared" si="100"/>
        <v>Small Order</v>
      </c>
      <c r="R914" s="4" t="str">
        <f t="shared" si="101"/>
        <v>Weekday</v>
      </c>
      <c r="S914" s="4" t="str">
        <f t="shared" si="102"/>
        <v>Regular</v>
      </c>
    </row>
    <row r="915" spans="1:19" x14ac:dyDescent="0.3">
      <c r="A915">
        <v>2210</v>
      </c>
      <c r="B915" t="s">
        <v>13</v>
      </c>
      <c r="C915" s="1">
        <v>45488</v>
      </c>
      <c r="D915" t="s">
        <v>24</v>
      </c>
      <c r="E915" t="s">
        <v>22</v>
      </c>
      <c r="F915">
        <v>2</v>
      </c>
      <c r="G915">
        <v>17.559999999999999</v>
      </c>
      <c r="H915">
        <v>35.119999999999997</v>
      </c>
      <c r="I915" t="str">
        <f t="shared" si="98"/>
        <v>Low</v>
      </c>
      <c r="J915">
        <v>3.88</v>
      </c>
      <c r="K915">
        <f t="shared" si="103"/>
        <v>31.24</v>
      </c>
      <c r="L915" t="str">
        <f t="shared" si="104"/>
        <v>July</v>
      </c>
      <c r="M915">
        <f>YEAR(C915)</f>
        <v>2024</v>
      </c>
      <c r="N915">
        <v>294</v>
      </c>
      <c r="O915" t="str">
        <f>IF(N915&gt;=200,"Platinum",IF(N915&gt;=100,"Gold",IF(N915&gt;=50,"Silver","Regular")))</f>
        <v>Platinum</v>
      </c>
      <c r="P915" s="4" t="str">
        <f t="shared" si="99"/>
        <v>Monday</v>
      </c>
      <c r="Q915" s="4" t="str">
        <f t="shared" si="100"/>
        <v>Small Order</v>
      </c>
      <c r="R915" s="4" t="str">
        <f t="shared" si="101"/>
        <v>Weekday</v>
      </c>
      <c r="S915" s="4" t="str">
        <f t="shared" si="102"/>
        <v>Regular</v>
      </c>
    </row>
    <row r="916" spans="1:19" x14ac:dyDescent="0.3">
      <c r="A916">
        <v>9507</v>
      </c>
      <c r="B916" t="s">
        <v>8</v>
      </c>
      <c r="C916" s="1">
        <v>45352</v>
      </c>
      <c r="D916" t="s">
        <v>27</v>
      </c>
      <c r="E916" t="s">
        <v>7</v>
      </c>
      <c r="F916">
        <v>3</v>
      </c>
      <c r="G916">
        <v>7.19</v>
      </c>
      <c r="H916">
        <v>21.57</v>
      </c>
      <c r="I916" t="str">
        <f t="shared" si="98"/>
        <v>Low</v>
      </c>
      <c r="J916">
        <v>2.36</v>
      </c>
      <c r="K916">
        <f t="shared" si="103"/>
        <v>19.21</v>
      </c>
      <c r="L916" t="str">
        <f t="shared" si="104"/>
        <v>March</v>
      </c>
      <c r="M916">
        <f>YEAR(C916)</f>
        <v>2024</v>
      </c>
      <c r="N916">
        <v>261</v>
      </c>
      <c r="O916" t="str">
        <f>IF(N916&gt;=200,"Platinum",IF(N916&gt;=100,"Gold",IF(N916&gt;=50,"Silver","Regular")))</f>
        <v>Platinum</v>
      </c>
      <c r="P916" s="4" t="str">
        <f t="shared" si="99"/>
        <v>Friday</v>
      </c>
      <c r="Q916" s="4" t="str">
        <f t="shared" si="100"/>
        <v>Medium Order</v>
      </c>
      <c r="R916" s="4" t="str">
        <f t="shared" si="101"/>
        <v>Weekday</v>
      </c>
      <c r="S916" s="4" t="str">
        <f t="shared" si="102"/>
        <v>Regular</v>
      </c>
    </row>
    <row r="917" spans="1:19" x14ac:dyDescent="0.3">
      <c r="A917">
        <v>4269</v>
      </c>
      <c r="B917" t="s">
        <v>8</v>
      </c>
      <c r="C917" s="1">
        <v>45779</v>
      </c>
      <c r="D917" t="s">
        <v>23</v>
      </c>
      <c r="E917" t="s">
        <v>10</v>
      </c>
      <c r="F917">
        <v>5</v>
      </c>
      <c r="G917">
        <v>2.1800000000000002</v>
      </c>
      <c r="H917">
        <v>10.9</v>
      </c>
      <c r="I917" t="str">
        <f t="shared" si="98"/>
        <v>Low</v>
      </c>
      <c r="J917">
        <v>1.18</v>
      </c>
      <c r="K917">
        <f t="shared" si="103"/>
        <v>9.7200000000000006</v>
      </c>
      <c r="L917" t="str">
        <f t="shared" si="104"/>
        <v>May</v>
      </c>
      <c r="M917">
        <f>YEAR(C917)</f>
        <v>2025</v>
      </c>
      <c r="N917">
        <v>442</v>
      </c>
      <c r="O917" t="str">
        <f>IF(N917&gt;=200,"Platinum",IF(N917&gt;=100,"Gold",IF(N917&gt;=50,"Silver","Regular")))</f>
        <v>Platinum</v>
      </c>
      <c r="P917" s="4" t="str">
        <f t="shared" si="99"/>
        <v>Friday</v>
      </c>
      <c r="Q917" s="4" t="str">
        <f t="shared" si="100"/>
        <v>Medium Order</v>
      </c>
      <c r="R917" s="4" t="str">
        <f t="shared" si="101"/>
        <v>Weekday</v>
      </c>
      <c r="S917" s="4" t="str">
        <f t="shared" si="102"/>
        <v>Regular</v>
      </c>
    </row>
    <row r="918" spans="1:19" x14ac:dyDescent="0.3">
      <c r="A918">
        <v>9691</v>
      </c>
      <c r="B918" t="s">
        <v>25</v>
      </c>
      <c r="C918" s="1">
        <v>45582</v>
      </c>
      <c r="D918" t="s">
        <v>16</v>
      </c>
      <c r="E918" t="s">
        <v>32</v>
      </c>
      <c r="F918">
        <v>3</v>
      </c>
      <c r="G918">
        <v>14.09</v>
      </c>
      <c r="H918">
        <v>42.27</v>
      </c>
      <c r="I918" t="str">
        <f t="shared" si="98"/>
        <v>Low</v>
      </c>
      <c r="J918">
        <v>4.5199999999999996</v>
      </c>
      <c r="K918">
        <f t="shared" si="103"/>
        <v>37.75</v>
      </c>
      <c r="L918" t="str">
        <f t="shared" si="104"/>
        <v>October</v>
      </c>
      <c r="M918">
        <f>YEAR(C918)</f>
        <v>2024</v>
      </c>
      <c r="N918">
        <v>48</v>
      </c>
      <c r="O918" t="str">
        <f>IF(N918&gt;=200,"Platinum",IF(N918&gt;=100,"Gold",IF(N918&gt;=50,"Silver","Regular")))</f>
        <v>Regular</v>
      </c>
      <c r="P918" s="4" t="str">
        <f t="shared" si="99"/>
        <v>Thursday</v>
      </c>
      <c r="Q918" s="4" t="str">
        <f t="shared" si="100"/>
        <v>Medium Order</v>
      </c>
      <c r="R918" s="4" t="str">
        <f t="shared" si="101"/>
        <v>Weekday</v>
      </c>
      <c r="S918" s="4" t="str">
        <f t="shared" si="102"/>
        <v>Regular</v>
      </c>
    </row>
    <row r="919" spans="1:19" x14ac:dyDescent="0.3">
      <c r="A919">
        <v>5840</v>
      </c>
      <c r="B919" t="s">
        <v>13</v>
      </c>
      <c r="C919" s="1">
        <v>45468</v>
      </c>
      <c r="D919" t="s">
        <v>9</v>
      </c>
      <c r="E919" t="s">
        <v>29</v>
      </c>
      <c r="F919">
        <v>3</v>
      </c>
      <c r="G919">
        <v>13.31</v>
      </c>
      <c r="H919">
        <v>39.93</v>
      </c>
      <c r="I919" t="str">
        <f t="shared" si="98"/>
        <v>Low</v>
      </c>
      <c r="J919">
        <v>4.2300000000000004</v>
      </c>
      <c r="K919">
        <f t="shared" si="103"/>
        <v>35.700000000000003</v>
      </c>
      <c r="L919" t="str">
        <f t="shared" si="104"/>
        <v>June</v>
      </c>
      <c r="M919">
        <f>YEAR(C919)</f>
        <v>2024</v>
      </c>
      <c r="N919">
        <v>379</v>
      </c>
      <c r="O919" t="str">
        <f>IF(N919&gt;=200,"Platinum",IF(N919&gt;=100,"Gold",IF(N919&gt;=50,"Silver","Regular")))</f>
        <v>Platinum</v>
      </c>
      <c r="P919" s="4" t="str">
        <f t="shared" si="99"/>
        <v>Tuesday</v>
      </c>
      <c r="Q919" s="4" t="str">
        <f t="shared" si="100"/>
        <v>Medium Order</v>
      </c>
      <c r="R919" s="4" t="str">
        <f t="shared" si="101"/>
        <v>Weekday</v>
      </c>
      <c r="S919" s="4" t="str">
        <f t="shared" si="102"/>
        <v>Regular</v>
      </c>
    </row>
    <row r="920" spans="1:19" x14ac:dyDescent="0.3">
      <c r="A920">
        <v>8179</v>
      </c>
      <c r="B920" t="s">
        <v>15</v>
      </c>
      <c r="C920" s="1">
        <v>45172</v>
      </c>
      <c r="D920" t="s">
        <v>27</v>
      </c>
      <c r="E920" t="s">
        <v>28</v>
      </c>
      <c r="F920">
        <v>1</v>
      </c>
      <c r="G920">
        <v>20.079999999999998</v>
      </c>
      <c r="H920">
        <v>20.079999999999998</v>
      </c>
      <c r="I920" t="str">
        <f t="shared" si="98"/>
        <v>Low</v>
      </c>
      <c r="J920">
        <v>2.1</v>
      </c>
      <c r="K920">
        <f t="shared" si="103"/>
        <v>17.979999999999997</v>
      </c>
      <c r="L920" t="str">
        <f t="shared" si="104"/>
        <v>September</v>
      </c>
      <c r="M920">
        <f>YEAR(C920)</f>
        <v>2023</v>
      </c>
      <c r="N920">
        <v>272</v>
      </c>
      <c r="O920" t="str">
        <f>IF(N920&gt;=200,"Platinum",IF(N920&gt;=100,"Gold",IF(N920&gt;=50,"Silver","Regular")))</f>
        <v>Platinum</v>
      </c>
      <c r="P920" s="4" t="str">
        <f t="shared" si="99"/>
        <v>Sunday</v>
      </c>
      <c r="Q920" s="4" t="str">
        <f t="shared" si="100"/>
        <v>Small Order</v>
      </c>
      <c r="R920" s="4" t="str">
        <f t="shared" si="101"/>
        <v>Weekend</v>
      </c>
      <c r="S920" s="4" t="str">
        <f t="shared" si="102"/>
        <v>Regular</v>
      </c>
    </row>
    <row r="921" spans="1:19" x14ac:dyDescent="0.3">
      <c r="A921">
        <v>5634</v>
      </c>
      <c r="B921" t="s">
        <v>3</v>
      </c>
      <c r="C921" s="1">
        <v>45445</v>
      </c>
      <c r="D921" t="s">
        <v>16</v>
      </c>
      <c r="E921" t="s">
        <v>32</v>
      </c>
      <c r="F921">
        <v>5</v>
      </c>
      <c r="G921">
        <v>6.61</v>
      </c>
      <c r="H921">
        <v>33.049999999999997</v>
      </c>
      <c r="I921" t="str">
        <f t="shared" si="98"/>
        <v>Low</v>
      </c>
      <c r="J921">
        <v>3.4</v>
      </c>
      <c r="K921">
        <f t="shared" si="103"/>
        <v>29.65</v>
      </c>
      <c r="L921" t="str">
        <f t="shared" si="104"/>
        <v>June</v>
      </c>
      <c r="M921">
        <f>YEAR(C921)</f>
        <v>2024</v>
      </c>
      <c r="N921">
        <v>321</v>
      </c>
      <c r="O921" t="str">
        <f>IF(N921&gt;=200,"Platinum",IF(N921&gt;=100,"Gold",IF(N921&gt;=50,"Silver","Regular")))</f>
        <v>Platinum</v>
      </c>
      <c r="P921" s="4" t="str">
        <f t="shared" si="99"/>
        <v>Sunday</v>
      </c>
      <c r="Q921" s="4" t="str">
        <f t="shared" si="100"/>
        <v>Medium Order</v>
      </c>
      <c r="R921" s="4" t="str">
        <f t="shared" si="101"/>
        <v>Weekend</v>
      </c>
      <c r="S921" s="4" t="str">
        <f t="shared" si="102"/>
        <v>Regular</v>
      </c>
    </row>
    <row r="922" spans="1:19" x14ac:dyDescent="0.3">
      <c r="A922">
        <v>1440</v>
      </c>
      <c r="B922" t="s">
        <v>15</v>
      </c>
      <c r="C922" s="1">
        <v>45709</v>
      </c>
      <c r="D922" t="s">
        <v>17</v>
      </c>
      <c r="E922" t="s">
        <v>22</v>
      </c>
      <c r="F922">
        <v>4</v>
      </c>
      <c r="G922">
        <v>6.03</v>
      </c>
      <c r="H922">
        <v>24.12</v>
      </c>
      <c r="I922" t="str">
        <f t="shared" si="98"/>
        <v>Low</v>
      </c>
      <c r="J922">
        <v>2.48</v>
      </c>
      <c r="K922">
        <f t="shared" si="103"/>
        <v>21.64</v>
      </c>
      <c r="L922" t="str">
        <f t="shared" si="104"/>
        <v>February</v>
      </c>
      <c r="M922">
        <f>YEAR(C922)</f>
        <v>2025</v>
      </c>
      <c r="N922">
        <v>383</v>
      </c>
      <c r="O922" t="str">
        <f>IF(N922&gt;=200,"Platinum",IF(N922&gt;=100,"Gold",IF(N922&gt;=50,"Silver","Regular")))</f>
        <v>Platinum</v>
      </c>
      <c r="P922" s="4" t="str">
        <f t="shared" si="99"/>
        <v>Friday</v>
      </c>
      <c r="Q922" s="4" t="str">
        <f t="shared" si="100"/>
        <v>Medium Order</v>
      </c>
      <c r="R922" s="4" t="str">
        <f t="shared" si="101"/>
        <v>Weekday</v>
      </c>
      <c r="S922" s="4" t="str">
        <f t="shared" si="102"/>
        <v>Regular</v>
      </c>
    </row>
    <row r="923" spans="1:19" x14ac:dyDescent="0.3">
      <c r="A923">
        <v>7797</v>
      </c>
      <c r="B923" t="s">
        <v>8</v>
      </c>
      <c r="C923" s="1">
        <v>45653</v>
      </c>
      <c r="D923" t="s">
        <v>23</v>
      </c>
      <c r="E923" t="s">
        <v>36</v>
      </c>
      <c r="F923">
        <v>5</v>
      </c>
      <c r="G923">
        <v>6.74</v>
      </c>
      <c r="H923">
        <v>33.700000000000003</v>
      </c>
      <c r="I923" t="str">
        <f t="shared" si="98"/>
        <v>Low</v>
      </c>
      <c r="J923">
        <v>3.46</v>
      </c>
      <c r="K923">
        <f t="shared" si="103"/>
        <v>30.240000000000002</v>
      </c>
      <c r="L923" t="str">
        <f t="shared" si="104"/>
        <v>December</v>
      </c>
      <c r="M923">
        <f>YEAR(C923)</f>
        <v>2024</v>
      </c>
      <c r="N923">
        <v>202</v>
      </c>
      <c r="O923" t="str">
        <f>IF(N923&gt;=200,"Platinum",IF(N923&gt;=100,"Gold",IF(N923&gt;=50,"Silver","Regular")))</f>
        <v>Platinum</v>
      </c>
      <c r="P923" s="4" t="str">
        <f t="shared" si="99"/>
        <v>Friday</v>
      </c>
      <c r="Q923" s="4" t="str">
        <f t="shared" si="100"/>
        <v>Medium Order</v>
      </c>
      <c r="R923" s="4" t="str">
        <f t="shared" si="101"/>
        <v>Weekday</v>
      </c>
      <c r="S923" s="4" t="str">
        <f t="shared" si="102"/>
        <v>Regular</v>
      </c>
    </row>
    <row r="924" spans="1:19" x14ac:dyDescent="0.3">
      <c r="A924">
        <v>4164</v>
      </c>
      <c r="B924" t="s">
        <v>8</v>
      </c>
      <c r="C924" s="1">
        <v>45454</v>
      </c>
      <c r="D924" t="s">
        <v>11</v>
      </c>
      <c r="E924" t="s">
        <v>35</v>
      </c>
      <c r="F924">
        <v>5</v>
      </c>
      <c r="G924">
        <v>4.07</v>
      </c>
      <c r="H924">
        <v>20.350000000000001</v>
      </c>
      <c r="I924" t="str">
        <f t="shared" si="98"/>
        <v>Low</v>
      </c>
      <c r="J924">
        <v>2.0699999999999998</v>
      </c>
      <c r="K924">
        <f t="shared" si="103"/>
        <v>18.28</v>
      </c>
      <c r="L924" t="str">
        <f t="shared" si="104"/>
        <v>June</v>
      </c>
      <c r="M924">
        <f>YEAR(C924)</f>
        <v>2024</v>
      </c>
      <c r="N924">
        <v>123</v>
      </c>
      <c r="O924" t="str">
        <f>IF(N924&gt;=200,"Platinum",IF(N924&gt;=100,"Gold",IF(N924&gt;=50,"Silver","Regular")))</f>
        <v>Gold</v>
      </c>
      <c r="P924" s="4" t="str">
        <f t="shared" si="99"/>
        <v>Tuesday</v>
      </c>
      <c r="Q924" s="4" t="str">
        <f t="shared" si="100"/>
        <v>Medium Order</v>
      </c>
      <c r="R924" s="4" t="str">
        <f t="shared" si="101"/>
        <v>Weekday</v>
      </c>
      <c r="S924" s="4" t="str">
        <f t="shared" si="102"/>
        <v>Regular</v>
      </c>
    </row>
    <row r="925" spans="1:19" x14ac:dyDescent="0.3">
      <c r="A925">
        <v>9363</v>
      </c>
      <c r="B925" t="s">
        <v>13</v>
      </c>
      <c r="C925" s="1">
        <v>45636</v>
      </c>
      <c r="D925" t="s">
        <v>6</v>
      </c>
      <c r="E925" t="s">
        <v>30</v>
      </c>
      <c r="F925">
        <v>3</v>
      </c>
      <c r="G925">
        <v>9.57</v>
      </c>
      <c r="H925">
        <v>28.71</v>
      </c>
      <c r="I925" t="str">
        <f t="shared" si="98"/>
        <v>Low</v>
      </c>
      <c r="J925">
        <v>2.92</v>
      </c>
      <c r="K925">
        <f t="shared" si="103"/>
        <v>25.79</v>
      </c>
      <c r="L925" t="str">
        <f t="shared" si="104"/>
        <v>December</v>
      </c>
      <c r="M925">
        <f>YEAR(C925)</f>
        <v>2024</v>
      </c>
      <c r="N925">
        <v>331</v>
      </c>
      <c r="O925" t="str">
        <f>IF(N925&gt;=200,"Platinum",IF(N925&gt;=100,"Gold",IF(N925&gt;=50,"Silver","Regular")))</f>
        <v>Platinum</v>
      </c>
      <c r="P925" s="4" t="str">
        <f t="shared" si="99"/>
        <v>Tuesday</v>
      </c>
      <c r="Q925" s="4" t="str">
        <f t="shared" si="100"/>
        <v>Medium Order</v>
      </c>
      <c r="R925" s="4" t="str">
        <f t="shared" si="101"/>
        <v>Weekday</v>
      </c>
      <c r="S925" s="4" t="str">
        <f t="shared" si="102"/>
        <v>Regular</v>
      </c>
    </row>
    <row r="926" spans="1:19" x14ac:dyDescent="0.3">
      <c r="A926">
        <v>6221</v>
      </c>
      <c r="B926" t="s">
        <v>31</v>
      </c>
      <c r="C926" s="1">
        <v>45867</v>
      </c>
      <c r="D926" t="s">
        <v>4</v>
      </c>
      <c r="E926" t="s">
        <v>5</v>
      </c>
      <c r="F926">
        <v>3</v>
      </c>
      <c r="G926">
        <v>6.26</v>
      </c>
      <c r="H926">
        <v>18.78</v>
      </c>
      <c r="I926" t="str">
        <f t="shared" si="98"/>
        <v>Low</v>
      </c>
      <c r="J926">
        <v>1.9</v>
      </c>
      <c r="K926">
        <f t="shared" si="103"/>
        <v>16.880000000000003</v>
      </c>
      <c r="L926" t="str">
        <f t="shared" si="104"/>
        <v>July</v>
      </c>
      <c r="M926">
        <f>YEAR(C926)</f>
        <v>2025</v>
      </c>
      <c r="N926">
        <v>448</v>
      </c>
      <c r="O926" t="str">
        <f>IF(N926&gt;=200,"Platinum",IF(N926&gt;=100,"Gold",IF(N926&gt;=50,"Silver","Regular")))</f>
        <v>Platinum</v>
      </c>
      <c r="P926" s="4" t="str">
        <f t="shared" si="99"/>
        <v>Tuesday</v>
      </c>
      <c r="Q926" s="4" t="str">
        <f t="shared" si="100"/>
        <v>Medium Order</v>
      </c>
      <c r="R926" s="4" t="str">
        <f t="shared" si="101"/>
        <v>Weekday</v>
      </c>
      <c r="S926" s="4" t="str">
        <f t="shared" si="102"/>
        <v>Regular</v>
      </c>
    </row>
    <row r="927" spans="1:19" x14ac:dyDescent="0.3">
      <c r="A927">
        <v>3481</v>
      </c>
      <c r="B927" t="s">
        <v>8</v>
      </c>
      <c r="C927" s="1">
        <v>45465</v>
      </c>
      <c r="D927" t="s">
        <v>16</v>
      </c>
      <c r="E927" t="s">
        <v>21</v>
      </c>
      <c r="F927">
        <v>2</v>
      </c>
      <c r="G927">
        <v>1.98</v>
      </c>
      <c r="H927">
        <v>3.96</v>
      </c>
      <c r="I927" t="str">
        <f t="shared" si="98"/>
        <v>Low</v>
      </c>
      <c r="J927">
        <v>0.4</v>
      </c>
      <c r="K927">
        <f t="shared" si="103"/>
        <v>3.56</v>
      </c>
      <c r="L927" t="str">
        <f t="shared" si="104"/>
        <v>June</v>
      </c>
      <c r="M927">
        <f>YEAR(C927)</f>
        <v>2024</v>
      </c>
      <c r="N927">
        <v>123</v>
      </c>
      <c r="O927" t="str">
        <f>IF(N927&gt;=200,"Platinum",IF(N927&gt;=100,"Gold",IF(N927&gt;=50,"Silver","Regular")))</f>
        <v>Gold</v>
      </c>
      <c r="P927" s="4" t="str">
        <f t="shared" si="99"/>
        <v>Saturday</v>
      </c>
      <c r="Q927" s="4" t="str">
        <f t="shared" si="100"/>
        <v>Small Order</v>
      </c>
      <c r="R927" s="4" t="str">
        <f t="shared" si="101"/>
        <v>Weekend</v>
      </c>
      <c r="S927" s="4" t="str">
        <f t="shared" si="102"/>
        <v>Regular</v>
      </c>
    </row>
    <row r="928" spans="1:19" x14ac:dyDescent="0.3">
      <c r="A928">
        <v>2398</v>
      </c>
      <c r="B928" t="s">
        <v>8</v>
      </c>
      <c r="C928" s="1">
        <v>45217</v>
      </c>
      <c r="D928" t="s">
        <v>1</v>
      </c>
      <c r="E928" t="s">
        <v>36</v>
      </c>
      <c r="F928">
        <v>1</v>
      </c>
      <c r="G928">
        <v>4.0599999999999996</v>
      </c>
      <c r="H928">
        <v>4.0599999999999996</v>
      </c>
      <c r="I928" t="str">
        <f t="shared" si="98"/>
        <v>Low</v>
      </c>
      <c r="J928">
        <v>0.41</v>
      </c>
      <c r="K928">
        <f t="shared" si="103"/>
        <v>3.6499999999999995</v>
      </c>
      <c r="L928" t="str">
        <f t="shared" si="104"/>
        <v>October</v>
      </c>
      <c r="M928">
        <f>YEAR(C928)</f>
        <v>2023</v>
      </c>
      <c r="N928">
        <v>27</v>
      </c>
      <c r="O928" t="str">
        <f>IF(N928&gt;=200,"Platinum",IF(N928&gt;=100,"Gold",IF(N928&gt;=50,"Silver","Regular")))</f>
        <v>Regular</v>
      </c>
      <c r="P928" s="4" t="str">
        <f t="shared" si="99"/>
        <v>Wednesday</v>
      </c>
      <c r="Q928" s="4" t="str">
        <f t="shared" si="100"/>
        <v>Small Order</v>
      </c>
      <c r="R928" s="4" t="str">
        <f t="shared" si="101"/>
        <v>Weekday</v>
      </c>
      <c r="S928" s="4" t="str">
        <f t="shared" si="102"/>
        <v>Regular</v>
      </c>
    </row>
    <row r="929" spans="1:19" x14ac:dyDescent="0.3">
      <c r="A929">
        <v>8734</v>
      </c>
      <c r="B929" t="s">
        <v>8</v>
      </c>
      <c r="C929" s="1">
        <v>45169</v>
      </c>
      <c r="D929" t="s">
        <v>11</v>
      </c>
      <c r="E929" t="s">
        <v>10</v>
      </c>
      <c r="F929">
        <v>1</v>
      </c>
      <c r="G929">
        <v>5.35</v>
      </c>
      <c r="H929">
        <v>5.35</v>
      </c>
      <c r="I929" t="str">
        <f t="shared" si="98"/>
        <v>Low</v>
      </c>
      <c r="J929">
        <v>0.54</v>
      </c>
      <c r="K929">
        <f t="shared" si="103"/>
        <v>4.8099999999999996</v>
      </c>
      <c r="L929" t="str">
        <f t="shared" si="104"/>
        <v>August</v>
      </c>
      <c r="M929">
        <f>YEAR(C929)</f>
        <v>2023</v>
      </c>
      <c r="N929">
        <v>234</v>
      </c>
      <c r="O929" t="str">
        <f>IF(N929&gt;=200,"Platinum",IF(N929&gt;=100,"Gold",IF(N929&gt;=50,"Silver","Regular")))</f>
        <v>Platinum</v>
      </c>
      <c r="P929" s="4" t="str">
        <f t="shared" si="99"/>
        <v>Thursday</v>
      </c>
      <c r="Q929" s="4" t="str">
        <f t="shared" si="100"/>
        <v>Small Order</v>
      </c>
      <c r="R929" s="4" t="str">
        <f t="shared" si="101"/>
        <v>Weekday</v>
      </c>
      <c r="S929" s="4" t="str">
        <f t="shared" si="102"/>
        <v>Regular</v>
      </c>
    </row>
    <row r="930" spans="1:19" x14ac:dyDescent="0.3">
      <c r="A930">
        <v>9977</v>
      </c>
      <c r="B930" t="s">
        <v>8</v>
      </c>
      <c r="C930" s="1">
        <v>45792</v>
      </c>
      <c r="D930" t="s">
        <v>34</v>
      </c>
      <c r="E930" t="s">
        <v>10</v>
      </c>
      <c r="F930">
        <v>2</v>
      </c>
      <c r="G930">
        <v>1.19</v>
      </c>
      <c r="H930">
        <v>2.38</v>
      </c>
      <c r="I930" t="str">
        <f t="shared" si="98"/>
        <v>Low</v>
      </c>
      <c r="J930">
        <v>0.24</v>
      </c>
      <c r="K930">
        <f t="shared" si="103"/>
        <v>2.1399999999999997</v>
      </c>
      <c r="L930" t="str">
        <f t="shared" si="104"/>
        <v>May</v>
      </c>
      <c r="M930">
        <f>YEAR(C930)</f>
        <v>2025</v>
      </c>
      <c r="N930">
        <v>196</v>
      </c>
      <c r="O930" t="str">
        <f>IF(N930&gt;=200,"Platinum",IF(N930&gt;=100,"Gold",IF(N930&gt;=50,"Silver","Regular")))</f>
        <v>Gold</v>
      </c>
      <c r="P930" s="4" t="str">
        <f t="shared" si="99"/>
        <v>Thursday</v>
      </c>
      <c r="Q930" s="4" t="str">
        <f t="shared" si="100"/>
        <v>Small Order</v>
      </c>
      <c r="R930" s="4" t="str">
        <f t="shared" si="101"/>
        <v>Weekday</v>
      </c>
      <c r="S930" s="4" t="str">
        <f t="shared" si="102"/>
        <v>Regular</v>
      </c>
    </row>
    <row r="931" spans="1:19" x14ac:dyDescent="0.3">
      <c r="A931">
        <v>4692</v>
      </c>
      <c r="B931" t="s">
        <v>0</v>
      </c>
      <c r="C931" s="1">
        <v>45378</v>
      </c>
      <c r="D931" t="s">
        <v>4</v>
      </c>
      <c r="E931" t="s">
        <v>36</v>
      </c>
      <c r="F931">
        <v>1</v>
      </c>
      <c r="G931">
        <v>7.15</v>
      </c>
      <c r="H931">
        <v>7.15</v>
      </c>
      <c r="I931" t="str">
        <f t="shared" si="98"/>
        <v>Low</v>
      </c>
      <c r="J931">
        <v>0.72</v>
      </c>
      <c r="K931">
        <f t="shared" si="103"/>
        <v>6.4300000000000006</v>
      </c>
      <c r="L931" t="str">
        <f t="shared" si="104"/>
        <v>March</v>
      </c>
      <c r="M931">
        <f>YEAR(C931)</f>
        <v>2024</v>
      </c>
      <c r="N931">
        <v>343</v>
      </c>
      <c r="O931" t="str">
        <f>IF(N931&gt;=200,"Platinum",IF(N931&gt;=100,"Gold",IF(N931&gt;=50,"Silver","Regular")))</f>
        <v>Platinum</v>
      </c>
      <c r="P931" s="4" t="str">
        <f t="shared" si="99"/>
        <v>Wednesday</v>
      </c>
      <c r="Q931" s="4" t="str">
        <f t="shared" si="100"/>
        <v>Small Order</v>
      </c>
      <c r="R931" s="4" t="str">
        <f t="shared" si="101"/>
        <v>Weekday</v>
      </c>
      <c r="S931" s="4" t="str">
        <f t="shared" si="102"/>
        <v>Regular</v>
      </c>
    </row>
    <row r="932" spans="1:19" x14ac:dyDescent="0.3">
      <c r="A932">
        <v>2387</v>
      </c>
      <c r="B932" t="s">
        <v>19</v>
      </c>
      <c r="C932" s="1">
        <v>45708</v>
      </c>
      <c r="D932" t="s">
        <v>34</v>
      </c>
      <c r="E932" t="s">
        <v>33</v>
      </c>
      <c r="F932">
        <v>1</v>
      </c>
      <c r="G932">
        <v>8.65</v>
      </c>
      <c r="H932">
        <v>8.65</v>
      </c>
      <c r="I932" t="str">
        <f t="shared" si="98"/>
        <v>Low</v>
      </c>
      <c r="J932">
        <v>0.87</v>
      </c>
      <c r="K932">
        <f t="shared" si="103"/>
        <v>7.78</v>
      </c>
      <c r="L932" t="str">
        <f t="shared" si="104"/>
        <v>February</v>
      </c>
      <c r="M932">
        <f>YEAR(C932)</f>
        <v>2025</v>
      </c>
      <c r="N932">
        <v>335</v>
      </c>
      <c r="O932" t="str">
        <f>IF(N932&gt;=200,"Platinum",IF(N932&gt;=100,"Gold",IF(N932&gt;=50,"Silver","Regular")))</f>
        <v>Platinum</v>
      </c>
      <c r="P932" s="4" t="str">
        <f t="shared" si="99"/>
        <v>Thursday</v>
      </c>
      <c r="Q932" s="4" t="str">
        <f t="shared" si="100"/>
        <v>Small Order</v>
      </c>
      <c r="R932" s="4" t="str">
        <f t="shared" si="101"/>
        <v>Weekday</v>
      </c>
      <c r="S932" s="4" t="str">
        <f t="shared" si="102"/>
        <v>Regular</v>
      </c>
    </row>
    <row r="933" spans="1:19" x14ac:dyDescent="0.3">
      <c r="A933">
        <v>5096</v>
      </c>
      <c r="B933" t="s">
        <v>31</v>
      </c>
      <c r="C933" s="1">
        <v>45185</v>
      </c>
      <c r="D933" t="s">
        <v>4</v>
      </c>
      <c r="E933" t="s">
        <v>30</v>
      </c>
      <c r="F933">
        <v>2</v>
      </c>
      <c r="G933">
        <v>1.79</v>
      </c>
      <c r="H933">
        <v>3.58</v>
      </c>
      <c r="I933" t="str">
        <f t="shared" si="98"/>
        <v>Low</v>
      </c>
      <c r="J933">
        <v>0.36</v>
      </c>
      <c r="K933">
        <f t="shared" si="103"/>
        <v>3.22</v>
      </c>
      <c r="L933" t="str">
        <f t="shared" si="104"/>
        <v>September</v>
      </c>
      <c r="M933">
        <f>YEAR(C933)</f>
        <v>2023</v>
      </c>
      <c r="N933">
        <v>408</v>
      </c>
      <c r="O933" t="str">
        <f>IF(N933&gt;=200,"Platinum",IF(N933&gt;=100,"Gold",IF(N933&gt;=50,"Silver","Regular")))</f>
        <v>Platinum</v>
      </c>
      <c r="P933" s="4" t="str">
        <f t="shared" si="99"/>
        <v>Saturday</v>
      </c>
      <c r="Q933" s="4" t="str">
        <f t="shared" si="100"/>
        <v>Small Order</v>
      </c>
      <c r="R933" s="4" t="str">
        <f t="shared" si="101"/>
        <v>Weekend</v>
      </c>
      <c r="S933" s="4" t="str">
        <f t="shared" si="102"/>
        <v>Regular</v>
      </c>
    </row>
    <row r="934" spans="1:19" x14ac:dyDescent="0.3">
      <c r="A934">
        <v>3209</v>
      </c>
      <c r="B934" t="s">
        <v>25</v>
      </c>
      <c r="C934" s="1">
        <v>45194</v>
      </c>
      <c r="D934" t="s">
        <v>34</v>
      </c>
      <c r="E934" t="s">
        <v>5</v>
      </c>
      <c r="F934">
        <v>1</v>
      </c>
      <c r="G934">
        <v>5.67</v>
      </c>
      <c r="H934">
        <v>5.67</v>
      </c>
      <c r="I934" t="str">
        <f t="shared" si="98"/>
        <v>Low</v>
      </c>
      <c r="J934">
        <v>0.56999999999999995</v>
      </c>
      <c r="K934">
        <f t="shared" si="103"/>
        <v>5.0999999999999996</v>
      </c>
      <c r="L934" t="str">
        <f t="shared" si="104"/>
        <v>September</v>
      </c>
      <c r="M934">
        <f>YEAR(C934)</f>
        <v>2023</v>
      </c>
      <c r="N934">
        <v>371</v>
      </c>
      <c r="O934" t="str">
        <f>IF(N934&gt;=200,"Platinum",IF(N934&gt;=100,"Gold",IF(N934&gt;=50,"Silver","Regular")))</f>
        <v>Platinum</v>
      </c>
      <c r="P934" s="4" t="str">
        <f t="shared" si="99"/>
        <v>Monday</v>
      </c>
      <c r="Q934" s="4" t="str">
        <f t="shared" si="100"/>
        <v>Small Order</v>
      </c>
      <c r="R934" s="4" t="str">
        <f t="shared" si="101"/>
        <v>Weekday</v>
      </c>
      <c r="S934" s="4" t="str">
        <f t="shared" si="102"/>
        <v>Regular</v>
      </c>
    </row>
    <row r="935" spans="1:19" x14ac:dyDescent="0.3">
      <c r="A935">
        <v>5846</v>
      </c>
      <c r="B935" t="s">
        <v>31</v>
      </c>
      <c r="C935" s="1">
        <v>45800</v>
      </c>
      <c r="D935" t="s">
        <v>16</v>
      </c>
      <c r="E935" t="s">
        <v>30</v>
      </c>
      <c r="F935">
        <v>1</v>
      </c>
      <c r="G935">
        <v>3.88</v>
      </c>
      <c r="H935">
        <v>3.88</v>
      </c>
      <c r="I935" t="str">
        <f t="shared" si="98"/>
        <v>Low</v>
      </c>
      <c r="J935">
        <v>0.39</v>
      </c>
      <c r="K935">
        <f t="shared" si="103"/>
        <v>3.4899999999999998</v>
      </c>
      <c r="L935" t="str">
        <f t="shared" si="104"/>
        <v>May</v>
      </c>
      <c r="M935">
        <f>YEAR(C935)</f>
        <v>2025</v>
      </c>
      <c r="N935">
        <v>27</v>
      </c>
      <c r="O935" t="str">
        <f>IF(N935&gt;=200,"Platinum",IF(N935&gt;=100,"Gold",IF(N935&gt;=50,"Silver","Regular")))</f>
        <v>Regular</v>
      </c>
      <c r="P935" s="4" t="str">
        <f t="shared" si="99"/>
        <v>Friday</v>
      </c>
      <c r="Q935" s="4" t="str">
        <f t="shared" si="100"/>
        <v>Small Order</v>
      </c>
      <c r="R935" s="4" t="str">
        <f t="shared" si="101"/>
        <v>Weekday</v>
      </c>
      <c r="S935" s="4" t="str">
        <f t="shared" si="102"/>
        <v>Regular</v>
      </c>
    </row>
    <row r="936" spans="1:19" x14ac:dyDescent="0.3">
      <c r="A936">
        <v>1496</v>
      </c>
      <c r="B936" t="s">
        <v>20</v>
      </c>
      <c r="C936" s="1">
        <v>45531</v>
      </c>
      <c r="D936" t="s">
        <v>11</v>
      </c>
      <c r="E936" t="s">
        <v>35</v>
      </c>
      <c r="F936">
        <v>1</v>
      </c>
      <c r="G936">
        <v>5.97</v>
      </c>
      <c r="H936">
        <v>5.97</v>
      </c>
      <c r="I936" t="str">
        <f t="shared" si="98"/>
        <v>Low</v>
      </c>
      <c r="J936">
        <v>0.6</v>
      </c>
      <c r="K936">
        <f t="shared" si="103"/>
        <v>5.37</v>
      </c>
      <c r="L936" t="str">
        <f t="shared" si="104"/>
        <v>August</v>
      </c>
      <c r="M936">
        <f>YEAR(C936)</f>
        <v>2024</v>
      </c>
      <c r="N936">
        <v>440</v>
      </c>
      <c r="O936" t="str">
        <f>IF(N936&gt;=200,"Platinum",IF(N936&gt;=100,"Gold",IF(N936&gt;=50,"Silver","Regular")))</f>
        <v>Platinum</v>
      </c>
      <c r="P936" s="4" t="str">
        <f t="shared" si="99"/>
        <v>Tuesday</v>
      </c>
      <c r="Q936" s="4" t="str">
        <f t="shared" si="100"/>
        <v>Small Order</v>
      </c>
      <c r="R936" s="4" t="str">
        <f t="shared" si="101"/>
        <v>Weekday</v>
      </c>
      <c r="S936" s="4" t="str">
        <f t="shared" si="102"/>
        <v>Regular</v>
      </c>
    </row>
    <row r="937" spans="1:19" x14ac:dyDescent="0.3">
      <c r="A937">
        <v>7505</v>
      </c>
      <c r="B937" t="s">
        <v>31</v>
      </c>
      <c r="C937" s="1">
        <v>45814</v>
      </c>
      <c r="D937" t="s">
        <v>1</v>
      </c>
      <c r="E937" t="s">
        <v>18</v>
      </c>
      <c r="F937">
        <v>3</v>
      </c>
      <c r="G937">
        <v>2.82</v>
      </c>
      <c r="H937">
        <v>8.4600000000000009</v>
      </c>
      <c r="I937" t="str">
        <f t="shared" si="98"/>
        <v>Low</v>
      </c>
      <c r="J937">
        <v>0.85</v>
      </c>
      <c r="K937">
        <f t="shared" si="103"/>
        <v>7.6100000000000012</v>
      </c>
      <c r="L937" t="str">
        <f t="shared" si="104"/>
        <v>June</v>
      </c>
      <c r="M937">
        <f>YEAR(C937)</f>
        <v>2025</v>
      </c>
      <c r="N937">
        <v>140</v>
      </c>
      <c r="O937" t="str">
        <f>IF(N937&gt;=200,"Platinum",IF(N937&gt;=100,"Gold",IF(N937&gt;=50,"Silver","Regular")))</f>
        <v>Gold</v>
      </c>
      <c r="P937" s="4" t="str">
        <f t="shared" si="99"/>
        <v>Friday</v>
      </c>
      <c r="Q937" s="4" t="str">
        <f t="shared" si="100"/>
        <v>Medium Order</v>
      </c>
      <c r="R937" s="4" t="str">
        <f t="shared" si="101"/>
        <v>Weekday</v>
      </c>
      <c r="S937" s="4" t="str">
        <f t="shared" si="102"/>
        <v>Regular</v>
      </c>
    </row>
    <row r="938" spans="1:19" x14ac:dyDescent="0.3">
      <c r="A938">
        <v>2391</v>
      </c>
      <c r="B938" t="s">
        <v>8</v>
      </c>
      <c r="C938" s="1">
        <v>45596</v>
      </c>
      <c r="D938" t="s">
        <v>24</v>
      </c>
      <c r="E938" t="s">
        <v>22</v>
      </c>
      <c r="F938">
        <v>2</v>
      </c>
      <c r="G938">
        <v>4.4800000000000004</v>
      </c>
      <c r="H938">
        <v>8.9600000000000009</v>
      </c>
      <c r="I938" t="str">
        <f t="shared" si="98"/>
        <v>Low</v>
      </c>
      <c r="J938">
        <v>0.9</v>
      </c>
      <c r="K938">
        <f t="shared" si="103"/>
        <v>8.06</v>
      </c>
      <c r="L938" t="str">
        <f t="shared" si="104"/>
        <v>October</v>
      </c>
      <c r="M938">
        <f>YEAR(C938)</f>
        <v>2024</v>
      </c>
      <c r="N938">
        <v>325</v>
      </c>
      <c r="O938" t="str">
        <f>IF(N938&gt;=200,"Platinum",IF(N938&gt;=100,"Gold",IF(N938&gt;=50,"Silver","Regular")))</f>
        <v>Platinum</v>
      </c>
      <c r="P938" s="4" t="str">
        <f t="shared" si="99"/>
        <v>Thursday</v>
      </c>
      <c r="Q938" s="4" t="str">
        <f t="shared" si="100"/>
        <v>Small Order</v>
      </c>
      <c r="R938" s="4" t="str">
        <f t="shared" si="101"/>
        <v>Weekday</v>
      </c>
      <c r="S938" s="4" t="str">
        <f t="shared" si="102"/>
        <v>Regular</v>
      </c>
    </row>
    <row r="939" spans="1:19" x14ac:dyDescent="0.3">
      <c r="A939">
        <v>5169</v>
      </c>
      <c r="B939" t="s">
        <v>15</v>
      </c>
      <c r="C939" s="1">
        <v>45779</v>
      </c>
      <c r="D939" t="s">
        <v>6</v>
      </c>
      <c r="E939" t="s">
        <v>36</v>
      </c>
      <c r="F939">
        <v>1</v>
      </c>
      <c r="G939">
        <v>9.06</v>
      </c>
      <c r="H939">
        <v>9.06</v>
      </c>
      <c r="I939" t="str">
        <f t="shared" si="98"/>
        <v>Low</v>
      </c>
      <c r="J939">
        <v>0.91</v>
      </c>
      <c r="K939">
        <f t="shared" si="103"/>
        <v>8.15</v>
      </c>
      <c r="L939" t="str">
        <f t="shared" si="104"/>
        <v>May</v>
      </c>
      <c r="M939">
        <f>YEAR(C939)</f>
        <v>2025</v>
      </c>
      <c r="N939">
        <v>19</v>
      </c>
      <c r="O939" t="str">
        <f>IF(N939&gt;=200,"Platinum",IF(N939&gt;=100,"Gold",IF(N939&gt;=50,"Silver","Regular")))</f>
        <v>Regular</v>
      </c>
      <c r="P939" s="4" t="str">
        <f t="shared" si="99"/>
        <v>Friday</v>
      </c>
      <c r="Q939" s="4" t="str">
        <f t="shared" si="100"/>
        <v>Small Order</v>
      </c>
      <c r="R939" s="4" t="str">
        <f t="shared" si="101"/>
        <v>Weekday</v>
      </c>
      <c r="S939" s="4" t="str">
        <f t="shared" si="102"/>
        <v>Regular</v>
      </c>
    </row>
    <row r="940" spans="1:19" x14ac:dyDescent="0.3">
      <c r="A940">
        <v>7625</v>
      </c>
      <c r="B940" t="s">
        <v>15</v>
      </c>
      <c r="C940" s="1">
        <v>45808</v>
      </c>
      <c r="D940" t="s">
        <v>4</v>
      </c>
      <c r="E940" t="s">
        <v>37</v>
      </c>
      <c r="F940">
        <v>2</v>
      </c>
      <c r="G940">
        <v>5.03</v>
      </c>
      <c r="H940">
        <v>10.06</v>
      </c>
      <c r="I940" t="str">
        <f t="shared" si="98"/>
        <v>Low</v>
      </c>
      <c r="J940">
        <v>1.01</v>
      </c>
      <c r="K940">
        <f t="shared" si="103"/>
        <v>9.0500000000000007</v>
      </c>
      <c r="L940" t="str">
        <f t="shared" si="104"/>
        <v>May</v>
      </c>
      <c r="M940">
        <f>YEAR(C940)</f>
        <v>2025</v>
      </c>
      <c r="N940">
        <v>379</v>
      </c>
      <c r="O940" t="str">
        <f>IF(N940&gt;=200,"Platinum",IF(N940&gt;=100,"Gold",IF(N940&gt;=50,"Silver","Regular")))</f>
        <v>Platinum</v>
      </c>
      <c r="P940" s="4" t="str">
        <f t="shared" si="99"/>
        <v>Saturday</v>
      </c>
      <c r="Q940" s="4" t="str">
        <f t="shared" si="100"/>
        <v>Small Order</v>
      </c>
      <c r="R940" s="4" t="str">
        <f t="shared" si="101"/>
        <v>Weekend</v>
      </c>
      <c r="S940" s="4" t="str">
        <f t="shared" si="102"/>
        <v>Regular</v>
      </c>
    </row>
    <row r="941" spans="1:19" x14ac:dyDescent="0.3">
      <c r="A941">
        <v>4871</v>
      </c>
      <c r="B941" t="s">
        <v>13</v>
      </c>
      <c r="C941" s="1">
        <v>45193</v>
      </c>
      <c r="D941" t="s">
        <v>24</v>
      </c>
      <c r="E941" t="s">
        <v>30</v>
      </c>
      <c r="F941">
        <v>1</v>
      </c>
      <c r="G941">
        <v>10.36</v>
      </c>
      <c r="H941">
        <v>10.36</v>
      </c>
      <c r="I941" t="str">
        <f t="shared" si="98"/>
        <v>Low</v>
      </c>
      <c r="J941">
        <v>1.04</v>
      </c>
      <c r="K941">
        <f t="shared" si="103"/>
        <v>9.32</v>
      </c>
      <c r="L941" t="str">
        <f t="shared" si="104"/>
        <v>September</v>
      </c>
      <c r="M941">
        <f>YEAR(C941)</f>
        <v>2023</v>
      </c>
      <c r="N941">
        <v>65</v>
      </c>
      <c r="O941" t="str">
        <f>IF(N941&gt;=200,"Platinum",IF(N941&gt;=100,"Gold",IF(N941&gt;=50,"Silver","Regular")))</f>
        <v>Silver</v>
      </c>
      <c r="P941" s="4" t="str">
        <f t="shared" si="99"/>
        <v>Sunday</v>
      </c>
      <c r="Q941" s="4" t="str">
        <f t="shared" si="100"/>
        <v>Small Order</v>
      </c>
      <c r="R941" s="4" t="str">
        <f t="shared" si="101"/>
        <v>Weekend</v>
      </c>
      <c r="S941" s="4" t="str">
        <f t="shared" si="102"/>
        <v>Regular</v>
      </c>
    </row>
    <row r="942" spans="1:19" x14ac:dyDescent="0.3">
      <c r="A942">
        <v>2113</v>
      </c>
      <c r="B942" t="s">
        <v>0</v>
      </c>
      <c r="C942" s="1">
        <v>45669</v>
      </c>
      <c r="D942" t="s">
        <v>11</v>
      </c>
      <c r="E942" t="s">
        <v>7</v>
      </c>
      <c r="F942">
        <v>3</v>
      </c>
      <c r="G942">
        <v>4.32</v>
      </c>
      <c r="H942">
        <v>12.96</v>
      </c>
      <c r="I942" t="str">
        <f t="shared" si="98"/>
        <v>Low</v>
      </c>
      <c r="J942">
        <v>1.3</v>
      </c>
      <c r="K942">
        <f t="shared" si="103"/>
        <v>11.66</v>
      </c>
      <c r="L942" t="str">
        <f t="shared" si="104"/>
        <v>January</v>
      </c>
      <c r="M942">
        <f>YEAR(C942)</f>
        <v>2025</v>
      </c>
      <c r="N942">
        <v>142</v>
      </c>
      <c r="O942" t="str">
        <f>IF(N942&gt;=200,"Platinum",IF(N942&gt;=100,"Gold",IF(N942&gt;=50,"Silver","Regular")))</f>
        <v>Gold</v>
      </c>
      <c r="P942" s="4" t="str">
        <f t="shared" si="99"/>
        <v>Sunday</v>
      </c>
      <c r="Q942" s="4" t="str">
        <f t="shared" si="100"/>
        <v>Medium Order</v>
      </c>
      <c r="R942" s="4" t="str">
        <f t="shared" si="101"/>
        <v>Weekend</v>
      </c>
      <c r="S942" s="4" t="str">
        <f t="shared" si="102"/>
        <v>Regular</v>
      </c>
    </row>
    <row r="943" spans="1:19" x14ac:dyDescent="0.3">
      <c r="A943">
        <v>2056</v>
      </c>
      <c r="B943" t="s">
        <v>20</v>
      </c>
      <c r="C943" s="1">
        <v>45298</v>
      </c>
      <c r="D943" t="s">
        <v>11</v>
      </c>
      <c r="E943" t="s">
        <v>21</v>
      </c>
      <c r="F943">
        <v>1</v>
      </c>
      <c r="G943">
        <v>6.58</v>
      </c>
      <c r="H943">
        <v>6.58</v>
      </c>
      <c r="I943" t="str">
        <f t="shared" si="98"/>
        <v>Low</v>
      </c>
      <c r="J943">
        <v>0.66</v>
      </c>
      <c r="K943">
        <f t="shared" si="103"/>
        <v>5.92</v>
      </c>
      <c r="L943" t="str">
        <f t="shared" si="104"/>
        <v>January</v>
      </c>
      <c r="M943">
        <f>YEAR(C943)</f>
        <v>2024</v>
      </c>
      <c r="N943">
        <v>371</v>
      </c>
      <c r="O943" t="str">
        <f>IF(N943&gt;=200,"Platinum",IF(N943&gt;=100,"Gold",IF(N943&gt;=50,"Silver","Regular")))</f>
        <v>Platinum</v>
      </c>
      <c r="P943" s="4" t="str">
        <f t="shared" si="99"/>
        <v>Sunday</v>
      </c>
      <c r="Q943" s="4" t="str">
        <f t="shared" si="100"/>
        <v>Small Order</v>
      </c>
      <c r="R943" s="4" t="str">
        <f t="shared" si="101"/>
        <v>Weekend</v>
      </c>
      <c r="S943" s="4" t="str">
        <f t="shared" si="102"/>
        <v>Regular</v>
      </c>
    </row>
    <row r="944" spans="1:19" x14ac:dyDescent="0.3">
      <c r="A944">
        <v>5557</v>
      </c>
      <c r="B944" t="s">
        <v>25</v>
      </c>
      <c r="C944" s="1">
        <v>45285</v>
      </c>
      <c r="D944" t="s">
        <v>27</v>
      </c>
      <c r="E944" t="s">
        <v>35</v>
      </c>
      <c r="F944">
        <v>5</v>
      </c>
      <c r="G944">
        <v>3.75</v>
      </c>
      <c r="H944">
        <v>18.75</v>
      </c>
      <c r="I944" t="str">
        <f t="shared" si="98"/>
        <v>Low</v>
      </c>
      <c r="J944">
        <v>1.88</v>
      </c>
      <c r="K944">
        <f t="shared" si="103"/>
        <v>16.87</v>
      </c>
      <c r="L944" t="str">
        <f t="shared" si="104"/>
        <v>December</v>
      </c>
      <c r="M944">
        <f>YEAR(C944)</f>
        <v>2023</v>
      </c>
      <c r="N944">
        <v>338</v>
      </c>
      <c r="O944" t="str">
        <f>IF(N944&gt;=200,"Platinum",IF(N944&gt;=100,"Gold",IF(N944&gt;=50,"Silver","Regular")))</f>
        <v>Platinum</v>
      </c>
      <c r="P944" s="4" t="str">
        <f t="shared" si="99"/>
        <v>Monday</v>
      </c>
      <c r="Q944" s="4" t="str">
        <f t="shared" si="100"/>
        <v>Medium Order</v>
      </c>
      <c r="R944" s="4" t="str">
        <f t="shared" si="101"/>
        <v>Weekday</v>
      </c>
      <c r="S944" s="4" t="str">
        <f t="shared" si="102"/>
        <v>Regular</v>
      </c>
    </row>
    <row r="945" spans="1:19" x14ac:dyDescent="0.3">
      <c r="A945">
        <v>7363</v>
      </c>
      <c r="B945" t="s">
        <v>19</v>
      </c>
      <c r="C945" s="1">
        <v>45333</v>
      </c>
      <c r="D945" t="s">
        <v>4</v>
      </c>
      <c r="E945" t="s">
        <v>7</v>
      </c>
      <c r="F945">
        <v>1</v>
      </c>
      <c r="G945">
        <v>11.27</v>
      </c>
      <c r="H945">
        <v>11.27</v>
      </c>
      <c r="I945" t="str">
        <f t="shared" si="98"/>
        <v>Low</v>
      </c>
      <c r="J945">
        <v>1.1299999999999999</v>
      </c>
      <c r="K945">
        <f t="shared" si="103"/>
        <v>10.14</v>
      </c>
      <c r="L945" t="str">
        <f t="shared" si="104"/>
        <v>February</v>
      </c>
      <c r="M945">
        <f>YEAR(C945)</f>
        <v>2024</v>
      </c>
      <c r="N945">
        <v>108</v>
      </c>
      <c r="O945" t="str">
        <f>IF(N945&gt;=200,"Platinum",IF(N945&gt;=100,"Gold",IF(N945&gt;=50,"Silver","Regular")))</f>
        <v>Gold</v>
      </c>
      <c r="P945" s="4" t="str">
        <f t="shared" si="99"/>
        <v>Sunday</v>
      </c>
      <c r="Q945" s="4" t="str">
        <f t="shared" si="100"/>
        <v>Small Order</v>
      </c>
      <c r="R945" s="4" t="str">
        <f t="shared" si="101"/>
        <v>Weekend</v>
      </c>
      <c r="S945" s="4" t="str">
        <f t="shared" si="102"/>
        <v>Regular</v>
      </c>
    </row>
    <row r="946" spans="1:19" x14ac:dyDescent="0.3">
      <c r="A946">
        <v>5425</v>
      </c>
      <c r="B946" t="s">
        <v>3</v>
      </c>
      <c r="C946" s="1">
        <v>45623</v>
      </c>
      <c r="D946" t="s">
        <v>1</v>
      </c>
      <c r="E946" t="s">
        <v>29</v>
      </c>
      <c r="F946">
        <v>1</v>
      </c>
      <c r="G946">
        <v>8.08</v>
      </c>
      <c r="H946">
        <v>8.08</v>
      </c>
      <c r="I946" t="str">
        <f t="shared" si="98"/>
        <v>Low</v>
      </c>
      <c r="J946">
        <v>0.81</v>
      </c>
      <c r="K946">
        <f t="shared" si="103"/>
        <v>7.27</v>
      </c>
      <c r="L946" t="str">
        <f t="shared" si="104"/>
        <v>November</v>
      </c>
      <c r="M946">
        <f>YEAR(C946)</f>
        <v>2024</v>
      </c>
      <c r="N946">
        <v>241</v>
      </c>
      <c r="O946" t="str">
        <f>IF(N946&gt;=200,"Platinum",IF(N946&gt;=100,"Gold",IF(N946&gt;=50,"Silver","Regular")))</f>
        <v>Platinum</v>
      </c>
      <c r="P946" s="4" t="str">
        <f t="shared" si="99"/>
        <v>Wednesday</v>
      </c>
      <c r="Q946" s="4" t="str">
        <f t="shared" si="100"/>
        <v>Small Order</v>
      </c>
      <c r="R946" s="4" t="str">
        <f t="shared" si="101"/>
        <v>Weekday</v>
      </c>
      <c r="S946" s="4" t="str">
        <f t="shared" si="102"/>
        <v>Regular</v>
      </c>
    </row>
    <row r="947" spans="1:19" x14ac:dyDescent="0.3">
      <c r="A947">
        <v>3626</v>
      </c>
      <c r="B947" t="s">
        <v>31</v>
      </c>
      <c r="C947" s="1">
        <v>45356</v>
      </c>
      <c r="D947" t="s">
        <v>9</v>
      </c>
      <c r="E947" t="s">
        <v>33</v>
      </c>
      <c r="F947">
        <v>2</v>
      </c>
      <c r="G947">
        <v>4.09</v>
      </c>
      <c r="H947">
        <v>8.18</v>
      </c>
      <c r="I947" t="str">
        <f t="shared" si="98"/>
        <v>Low</v>
      </c>
      <c r="J947">
        <v>0.82</v>
      </c>
      <c r="K947">
        <f t="shared" si="103"/>
        <v>7.3599999999999994</v>
      </c>
      <c r="L947" t="str">
        <f t="shared" si="104"/>
        <v>March</v>
      </c>
      <c r="M947">
        <f>YEAR(C947)</f>
        <v>2024</v>
      </c>
      <c r="N947">
        <v>109</v>
      </c>
      <c r="O947" t="str">
        <f>IF(N947&gt;=200,"Platinum",IF(N947&gt;=100,"Gold",IF(N947&gt;=50,"Silver","Regular")))</f>
        <v>Gold</v>
      </c>
      <c r="P947" s="4" t="str">
        <f t="shared" si="99"/>
        <v>Tuesday</v>
      </c>
      <c r="Q947" s="4" t="str">
        <f t="shared" si="100"/>
        <v>Small Order</v>
      </c>
      <c r="R947" s="4" t="str">
        <f t="shared" si="101"/>
        <v>Weekday</v>
      </c>
      <c r="S947" s="4" t="str">
        <f t="shared" si="102"/>
        <v>Regular</v>
      </c>
    </row>
    <row r="948" spans="1:19" x14ac:dyDescent="0.3">
      <c r="A948">
        <v>2020</v>
      </c>
      <c r="B948" t="s">
        <v>15</v>
      </c>
      <c r="C948" s="1">
        <v>45305</v>
      </c>
      <c r="D948" t="s">
        <v>17</v>
      </c>
      <c r="E948" t="s">
        <v>33</v>
      </c>
      <c r="F948">
        <v>4</v>
      </c>
      <c r="G948">
        <v>4.09</v>
      </c>
      <c r="H948">
        <v>16.36</v>
      </c>
      <c r="I948" t="str">
        <f t="shared" si="98"/>
        <v>Low</v>
      </c>
      <c r="J948">
        <v>1.64</v>
      </c>
      <c r="K948">
        <f t="shared" si="103"/>
        <v>14.719999999999999</v>
      </c>
      <c r="L948" t="str">
        <f t="shared" si="104"/>
        <v>January</v>
      </c>
      <c r="M948">
        <f>YEAR(C948)</f>
        <v>2024</v>
      </c>
      <c r="N948">
        <v>155</v>
      </c>
      <c r="O948" t="str">
        <f>IF(N948&gt;=200,"Platinum",IF(N948&gt;=100,"Gold",IF(N948&gt;=50,"Silver","Regular")))</f>
        <v>Gold</v>
      </c>
      <c r="P948" s="4" t="str">
        <f t="shared" si="99"/>
        <v>Sunday</v>
      </c>
      <c r="Q948" s="4" t="str">
        <f t="shared" si="100"/>
        <v>Medium Order</v>
      </c>
      <c r="R948" s="4" t="str">
        <f t="shared" si="101"/>
        <v>Weekend</v>
      </c>
      <c r="S948" s="4" t="str">
        <f t="shared" si="102"/>
        <v>Regular</v>
      </c>
    </row>
    <row r="949" spans="1:19" x14ac:dyDescent="0.3">
      <c r="A949">
        <v>5833</v>
      </c>
      <c r="B949" t="s">
        <v>31</v>
      </c>
      <c r="C949" s="1">
        <v>45430</v>
      </c>
      <c r="D949" t="s">
        <v>6</v>
      </c>
      <c r="E949" t="s">
        <v>29</v>
      </c>
      <c r="F949">
        <v>2</v>
      </c>
      <c r="G949">
        <v>4.3899999999999997</v>
      </c>
      <c r="H949">
        <v>8.7799999999999994</v>
      </c>
      <c r="I949" t="str">
        <f t="shared" si="98"/>
        <v>Low</v>
      </c>
      <c r="J949">
        <v>0.88</v>
      </c>
      <c r="K949">
        <f t="shared" si="103"/>
        <v>7.8999999999999995</v>
      </c>
      <c r="L949" t="str">
        <f t="shared" si="104"/>
        <v>May</v>
      </c>
      <c r="M949">
        <f>YEAR(C949)</f>
        <v>2024</v>
      </c>
      <c r="N949">
        <v>356</v>
      </c>
      <c r="O949" t="str">
        <f>IF(N949&gt;=200,"Platinum",IF(N949&gt;=100,"Gold",IF(N949&gt;=50,"Silver","Regular")))</f>
        <v>Platinum</v>
      </c>
      <c r="P949" s="4" t="str">
        <f t="shared" si="99"/>
        <v>Saturday</v>
      </c>
      <c r="Q949" s="4" t="str">
        <f t="shared" si="100"/>
        <v>Small Order</v>
      </c>
      <c r="R949" s="4" t="str">
        <f t="shared" si="101"/>
        <v>Weekend</v>
      </c>
      <c r="S949" s="4" t="str">
        <f t="shared" si="102"/>
        <v>Regular</v>
      </c>
    </row>
    <row r="950" spans="1:19" x14ac:dyDescent="0.3">
      <c r="A950">
        <v>8267</v>
      </c>
      <c r="B950" t="s">
        <v>31</v>
      </c>
      <c r="C950" s="1">
        <v>45202</v>
      </c>
      <c r="D950" t="s">
        <v>17</v>
      </c>
      <c r="E950" t="s">
        <v>29</v>
      </c>
      <c r="F950">
        <v>1</v>
      </c>
      <c r="G950">
        <v>17.559999999999999</v>
      </c>
      <c r="H950">
        <v>17.559999999999999</v>
      </c>
      <c r="I950" t="str">
        <f t="shared" si="98"/>
        <v>Low</v>
      </c>
      <c r="J950">
        <v>1.76</v>
      </c>
      <c r="K950">
        <f t="shared" si="103"/>
        <v>15.799999999999999</v>
      </c>
      <c r="L950" t="str">
        <f t="shared" si="104"/>
        <v>October</v>
      </c>
      <c r="M950">
        <f>YEAR(C950)</f>
        <v>2023</v>
      </c>
      <c r="N950">
        <v>322</v>
      </c>
      <c r="O950" t="str">
        <f>IF(N950&gt;=200,"Platinum",IF(N950&gt;=100,"Gold",IF(N950&gt;=50,"Silver","Regular")))</f>
        <v>Platinum</v>
      </c>
      <c r="P950" s="4" t="str">
        <f t="shared" si="99"/>
        <v>Tuesday</v>
      </c>
      <c r="Q950" s="4" t="str">
        <f t="shared" si="100"/>
        <v>Small Order</v>
      </c>
      <c r="R950" s="4" t="str">
        <f t="shared" si="101"/>
        <v>Weekday</v>
      </c>
      <c r="S950" s="4" t="str">
        <f t="shared" si="102"/>
        <v>Regular</v>
      </c>
    </row>
    <row r="951" spans="1:19" x14ac:dyDescent="0.3">
      <c r="A951">
        <v>5479</v>
      </c>
      <c r="B951" t="s">
        <v>8</v>
      </c>
      <c r="C951" s="1">
        <v>45467</v>
      </c>
      <c r="D951" t="s">
        <v>24</v>
      </c>
      <c r="E951" t="s">
        <v>7</v>
      </c>
      <c r="F951">
        <v>1</v>
      </c>
      <c r="G951">
        <v>17.66</v>
      </c>
      <c r="H951">
        <v>17.66</v>
      </c>
      <c r="I951" t="str">
        <f t="shared" si="98"/>
        <v>Low</v>
      </c>
      <c r="J951">
        <v>1.77</v>
      </c>
      <c r="K951">
        <f t="shared" si="103"/>
        <v>15.89</v>
      </c>
      <c r="L951" t="str">
        <f t="shared" si="104"/>
        <v>June</v>
      </c>
      <c r="M951">
        <f>YEAR(C951)</f>
        <v>2024</v>
      </c>
      <c r="N951">
        <v>116</v>
      </c>
      <c r="O951" t="str">
        <f>IF(N951&gt;=200,"Platinum",IF(N951&gt;=100,"Gold",IF(N951&gt;=50,"Silver","Regular")))</f>
        <v>Gold</v>
      </c>
      <c r="P951" s="4" t="str">
        <f t="shared" si="99"/>
        <v>Monday</v>
      </c>
      <c r="Q951" s="4" t="str">
        <f t="shared" si="100"/>
        <v>Small Order</v>
      </c>
      <c r="R951" s="4" t="str">
        <f t="shared" si="101"/>
        <v>Weekday</v>
      </c>
      <c r="S951" s="4" t="str">
        <f t="shared" si="102"/>
        <v>Regular</v>
      </c>
    </row>
    <row r="952" spans="1:19" x14ac:dyDescent="0.3">
      <c r="A952">
        <v>2343</v>
      </c>
      <c r="B952" t="s">
        <v>8</v>
      </c>
      <c r="C952" s="1">
        <v>45470</v>
      </c>
      <c r="D952" t="s">
        <v>17</v>
      </c>
      <c r="E952" t="s">
        <v>29</v>
      </c>
      <c r="F952">
        <v>1</v>
      </c>
      <c r="G952">
        <v>8.8800000000000008</v>
      </c>
      <c r="H952">
        <v>8.8800000000000008</v>
      </c>
      <c r="I952" t="str">
        <f t="shared" si="98"/>
        <v>Low</v>
      </c>
      <c r="J952">
        <v>0.89</v>
      </c>
      <c r="K952">
        <f t="shared" si="103"/>
        <v>7.9900000000000011</v>
      </c>
      <c r="L952" t="str">
        <f t="shared" si="104"/>
        <v>June</v>
      </c>
      <c r="M952">
        <f>YEAR(C952)</f>
        <v>2024</v>
      </c>
      <c r="N952">
        <v>338</v>
      </c>
      <c r="O952" t="str">
        <f>IF(N952&gt;=200,"Platinum",IF(N952&gt;=100,"Gold",IF(N952&gt;=50,"Silver","Regular")))</f>
        <v>Platinum</v>
      </c>
      <c r="P952" s="4" t="str">
        <f t="shared" si="99"/>
        <v>Thursday</v>
      </c>
      <c r="Q952" s="4" t="str">
        <f t="shared" si="100"/>
        <v>Small Order</v>
      </c>
      <c r="R952" s="4" t="str">
        <f t="shared" si="101"/>
        <v>Weekday</v>
      </c>
      <c r="S952" s="4" t="str">
        <f t="shared" si="102"/>
        <v>Regular</v>
      </c>
    </row>
    <row r="953" spans="1:19" x14ac:dyDescent="0.3">
      <c r="A953">
        <v>1157</v>
      </c>
      <c r="B953" t="s">
        <v>15</v>
      </c>
      <c r="C953" s="1">
        <v>45405</v>
      </c>
      <c r="D953" t="s">
        <v>1</v>
      </c>
      <c r="E953" t="s">
        <v>12</v>
      </c>
      <c r="F953">
        <v>1</v>
      </c>
      <c r="G953">
        <v>17.86</v>
      </c>
      <c r="H953">
        <v>17.86</v>
      </c>
      <c r="I953" t="str">
        <f t="shared" si="98"/>
        <v>Low</v>
      </c>
      <c r="J953">
        <v>1.79</v>
      </c>
      <c r="K953">
        <f t="shared" si="103"/>
        <v>16.07</v>
      </c>
      <c r="L953" t="str">
        <f t="shared" si="104"/>
        <v>April</v>
      </c>
      <c r="M953">
        <f>YEAR(C953)</f>
        <v>2024</v>
      </c>
      <c r="N953">
        <v>188</v>
      </c>
      <c r="O953" t="str">
        <f>IF(N953&gt;=200,"Platinum",IF(N953&gt;=100,"Gold",IF(N953&gt;=50,"Silver","Regular")))</f>
        <v>Gold</v>
      </c>
      <c r="P953" s="4" t="str">
        <f t="shared" si="99"/>
        <v>Tuesday</v>
      </c>
      <c r="Q953" s="4" t="str">
        <f t="shared" si="100"/>
        <v>Small Order</v>
      </c>
      <c r="R953" s="4" t="str">
        <f t="shared" si="101"/>
        <v>Weekday</v>
      </c>
      <c r="S953" s="4" t="str">
        <f t="shared" si="102"/>
        <v>Regular</v>
      </c>
    </row>
    <row r="954" spans="1:19" x14ac:dyDescent="0.3">
      <c r="A954">
        <v>2106</v>
      </c>
      <c r="B954" t="s">
        <v>8</v>
      </c>
      <c r="C954" s="1">
        <v>45412</v>
      </c>
      <c r="D954" t="s">
        <v>4</v>
      </c>
      <c r="E954" t="s">
        <v>2</v>
      </c>
      <c r="F954">
        <v>1</v>
      </c>
      <c r="G954">
        <v>13.57</v>
      </c>
      <c r="H954">
        <v>13.57</v>
      </c>
      <c r="I954" t="str">
        <f t="shared" si="98"/>
        <v>Low</v>
      </c>
      <c r="J954">
        <v>1.36</v>
      </c>
      <c r="K954">
        <f t="shared" si="103"/>
        <v>12.21</v>
      </c>
      <c r="L954" t="str">
        <f t="shared" si="104"/>
        <v>April</v>
      </c>
      <c r="M954">
        <f>YEAR(C954)</f>
        <v>2024</v>
      </c>
      <c r="N954">
        <v>9</v>
      </c>
      <c r="O954" t="str">
        <f>IF(N954&gt;=200,"Platinum",IF(N954&gt;=100,"Gold",IF(N954&gt;=50,"Silver","Regular")))</f>
        <v>Regular</v>
      </c>
      <c r="P954" s="4" t="str">
        <f t="shared" si="99"/>
        <v>Tuesday</v>
      </c>
      <c r="Q954" s="4" t="str">
        <f t="shared" si="100"/>
        <v>Small Order</v>
      </c>
      <c r="R954" s="4" t="str">
        <f t="shared" si="101"/>
        <v>Weekday</v>
      </c>
      <c r="S954" s="4" t="str">
        <f t="shared" si="102"/>
        <v>Regular</v>
      </c>
    </row>
    <row r="955" spans="1:19" x14ac:dyDescent="0.3">
      <c r="A955">
        <v>7825</v>
      </c>
      <c r="B955" t="s">
        <v>13</v>
      </c>
      <c r="C955" s="1">
        <v>45625</v>
      </c>
      <c r="D955" t="s">
        <v>24</v>
      </c>
      <c r="E955" t="s">
        <v>33</v>
      </c>
      <c r="F955">
        <v>2</v>
      </c>
      <c r="G955">
        <v>9.43</v>
      </c>
      <c r="H955">
        <v>18.86</v>
      </c>
      <c r="I955" t="str">
        <f t="shared" si="98"/>
        <v>Low</v>
      </c>
      <c r="J955">
        <v>1.89</v>
      </c>
      <c r="K955">
        <f t="shared" si="103"/>
        <v>16.97</v>
      </c>
      <c r="L955" t="str">
        <f t="shared" si="104"/>
        <v>November</v>
      </c>
      <c r="M955">
        <f>YEAR(C955)</f>
        <v>2024</v>
      </c>
      <c r="N955">
        <v>268</v>
      </c>
      <c r="O955" t="str">
        <f>IF(N955&gt;=200,"Platinum",IF(N955&gt;=100,"Gold",IF(N955&gt;=50,"Silver","Regular")))</f>
        <v>Platinum</v>
      </c>
      <c r="P955" s="4" t="str">
        <f t="shared" si="99"/>
        <v>Friday</v>
      </c>
      <c r="Q955" s="4" t="str">
        <f t="shared" si="100"/>
        <v>Small Order</v>
      </c>
      <c r="R955" s="4" t="str">
        <f t="shared" si="101"/>
        <v>Weekday</v>
      </c>
      <c r="S955" s="4" t="str">
        <f t="shared" si="102"/>
        <v>Regular</v>
      </c>
    </row>
    <row r="956" spans="1:19" x14ac:dyDescent="0.3">
      <c r="A956">
        <v>5901</v>
      </c>
      <c r="B956" t="s">
        <v>20</v>
      </c>
      <c r="C956" s="1">
        <v>45641</v>
      </c>
      <c r="D956" t="s">
        <v>23</v>
      </c>
      <c r="E956" t="s">
        <v>5</v>
      </c>
      <c r="F956">
        <v>4</v>
      </c>
      <c r="G956">
        <v>4.8899999999999997</v>
      </c>
      <c r="H956">
        <v>19.559999999999999</v>
      </c>
      <c r="I956" t="str">
        <f t="shared" si="98"/>
        <v>Low</v>
      </c>
      <c r="J956">
        <v>1.96</v>
      </c>
      <c r="K956">
        <f t="shared" si="103"/>
        <v>17.599999999999998</v>
      </c>
      <c r="L956" t="str">
        <f t="shared" si="104"/>
        <v>December</v>
      </c>
      <c r="M956">
        <f>YEAR(C956)</f>
        <v>2024</v>
      </c>
      <c r="N956">
        <v>457</v>
      </c>
      <c r="O956" t="str">
        <f>IF(N956&gt;=200,"Platinum",IF(N956&gt;=100,"Gold",IF(N956&gt;=50,"Silver","Regular")))</f>
        <v>Platinum</v>
      </c>
      <c r="P956" s="4" t="str">
        <f t="shared" si="99"/>
        <v>Sunday</v>
      </c>
      <c r="Q956" s="4" t="str">
        <f t="shared" si="100"/>
        <v>Medium Order</v>
      </c>
      <c r="R956" s="4" t="str">
        <f t="shared" si="101"/>
        <v>Weekend</v>
      </c>
      <c r="S956" s="4" t="str">
        <f t="shared" si="102"/>
        <v>Regular</v>
      </c>
    </row>
    <row r="957" spans="1:19" x14ac:dyDescent="0.3">
      <c r="A957">
        <v>4164</v>
      </c>
      <c r="B957" t="s">
        <v>15</v>
      </c>
      <c r="C957" s="1">
        <v>45281</v>
      </c>
      <c r="D957" t="s">
        <v>23</v>
      </c>
      <c r="E957" t="s">
        <v>26</v>
      </c>
      <c r="F957">
        <v>1</v>
      </c>
      <c r="G957">
        <v>9.98</v>
      </c>
      <c r="H957">
        <v>9.98</v>
      </c>
      <c r="I957" t="str">
        <f t="shared" si="98"/>
        <v>Low</v>
      </c>
      <c r="J957">
        <v>1</v>
      </c>
      <c r="K957">
        <f t="shared" si="103"/>
        <v>8.98</v>
      </c>
      <c r="L957" t="str">
        <f t="shared" si="104"/>
        <v>December</v>
      </c>
      <c r="M957">
        <f>YEAR(C957)</f>
        <v>2023</v>
      </c>
      <c r="N957">
        <v>453</v>
      </c>
      <c r="O957" t="str">
        <f>IF(N957&gt;=200,"Platinum",IF(N957&gt;=100,"Gold",IF(N957&gt;=50,"Silver","Regular")))</f>
        <v>Platinum</v>
      </c>
      <c r="P957" s="4" t="str">
        <f t="shared" si="99"/>
        <v>Thursday</v>
      </c>
      <c r="Q957" s="4" t="str">
        <f t="shared" si="100"/>
        <v>Small Order</v>
      </c>
      <c r="R957" s="4" t="str">
        <f t="shared" si="101"/>
        <v>Weekday</v>
      </c>
      <c r="S957" s="4" t="str">
        <f t="shared" si="102"/>
        <v>Regular</v>
      </c>
    </row>
    <row r="958" spans="1:19" x14ac:dyDescent="0.3">
      <c r="A958">
        <v>3007</v>
      </c>
      <c r="B958" t="s">
        <v>3</v>
      </c>
      <c r="C958" s="1">
        <v>45352</v>
      </c>
      <c r="D958" t="s">
        <v>6</v>
      </c>
      <c r="E958" t="s">
        <v>22</v>
      </c>
      <c r="F958">
        <v>1</v>
      </c>
      <c r="G958">
        <v>25.25</v>
      </c>
      <c r="H958">
        <v>25.25</v>
      </c>
      <c r="I958" t="str">
        <f t="shared" si="98"/>
        <v>Low</v>
      </c>
      <c r="J958">
        <v>2.5299999999999998</v>
      </c>
      <c r="K958">
        <f t="shared" si="103"/>
        <v>22.72</v>
      </c>
      <c r="L958" t="str">
        <f t="shared" si="104"/>
        <v>March</v>
      </c>
      <c r="M958">
        <f>YEAR(C958)</f>
        <v>2024</v>
      </c>
      <c r="N958">
        <v>415</v>
      </c>
      <c r="O958" t="str">
        <f>IF(N958&gt;=200,"Platinum",IF(N958&gt;=100,"Gold",IF(N958&gt;=50,"Silver","Regular")))</f>
        <v>Platinum</v>
      </c>
      <c r="P958" s="4" t="str">
        <f t="shared" si="99"/>
        <v>Friday</v>
      </c>
      <c r="Q958" s="4" t="str">
        <f t="shared" si="100"/>
        <v>Small Order</v>
      </c>
      <c r="R958" s="4" t="str">
        <f t="shared" si="101"/>
        <v>Weekday</v>
      </c>
      <c r="S958" s="4" t="str">
        <f t="shared" si="102"/>
        <v>Regular</v>
      </c>
    </row>
    <row r="959" spans="1:19" x14ac:dyDescent="0.3">
      <c r="A959">
        <v>7745</v>
      </c>
      <c r="B959" t="s">
        <v>0</v>
      </c>
      <c r="C959" s="1">
        <v>45623</v>
      </c>
      <c r="D959" t="s">
        <v>34</v>
      </c>
      <c r="E959" t="s">
        <v>33</v>
      </c>
      <c r="F959">
        <v>5</v>
      </c>
      <c r="G959">
        <v>5.49</v>
      </c>
      <c r="H959">
        <v>27.45</v>
      </c>
      <c r="I959" t="str">
        <f t="shared" si="98"/>
        <v>Low</v>
      </c>
      <c r="J959">
        <v>2.75</v>
      </c>
      <c r="K959">
        <f t="shared" si="103"/>
        <v>24.7</v>
      </c>
      <c r="L959" t="str">
        <f t="shared" si="104"/>
        <v>November</v>
      </c>
      <c r="M959">
        <f>YEAR(C959)</f>
        <v>2024</v>
      </c>
      <c r="N959">
        <v>313</v>
      </c>
      <c r="O959" t="str">
        <f>IF(N959&gt;=200,"Platinum",IF(N959&gt;=100,"Gold",IF(N959&gt;=50,"Silver","Regular")))</f>
        <v>Platinum</v>
      </c>
      <c r="P959" s="4" t="str">
        <f t="shared" si="99"/>
        <v>Wednesday</v>
      </c>
      <c r="Q959" s="4" t="str">
        <f t="shared" si="100"/>
        <v>Medium Order</v>
      </c>
      <c r="R959" s="4" t="str">
        <f t="shared" si="101"/>
        <v>Weekday</v>
      </c>
      <c r="S959" s="4" t="str">
        <f t="shared" si="102"/>
        <v>Regular</v>
      </c>
    </row>
    <row r="960" spans="1:19" x14ac:dyDescent="0.3">
      <c r="A960">
        <v>8126</v>
      </c>
      <c r="B960" t="s">
        <v>8</v>
      </c>
      <c r="C960" s="1">
        <v>45358</v>
      </c>
      <c r="D960" t="s">
        <v>34</v>
      </c>
      <c r="E960" t="s">
        <v>28</v>
      </c>
      <c r="F960">
        <v>1</v>
      </c>
      <c r="G960">
        <v>16.87</v>
      </c>
      <c r="H960">
        <v>16.87</v>
      </c>
      <c r="I960" t="str">
        <f t="shared" si="98"/>
        <v>Low</v>
      </c>
      <c r="J960">
        <v>1.69</v>
      </c>
      <c r="K960">
        <f t="shared" si="103"/>
        <v>15.180000000000001</v>
      </c>
      <c r="L960" t="str">
        <f t="shared" si="104"/>
        <v>March</v>
      </c>
      <c r="M960">
        <f>YEAR(C960)</f>
        <v>2024</v>
      </c>
      <c r="N960">
        <v>34</v>
      </c>
      <c r="O960" t="str">
        <f>IF(N960&gt;=200,"Platinum",IF(N960&gt;=100,"Gold",IF(N960&gt;=50,"Silver","Regular")))</f>
        <v>Regular</v>
      </c>
      <c r="P960" s="4" t="str">
        <f t="shared" si="99"/>
        <v>Thursday</v>
      </c>
      <c r="Q960" s="4" t="str">
        <f t="shared" si="100"/>
        <v>Small Order</v>
      </c>
      <c r="R960" s="4" t="str">
        <f t="shared" si="101"/>
        <v>Weekday</v>
      </c>
      <c r="S960" s="4" t="str">
        <f t="shared" si="102"/>
        <v>Regular</v>
      </c>
    </row>
    <row r="961" spans="1:19" x14ac:dyDescent="0.3">
      <c r="A961">
        <v>5873</v>
      </c>
      <c r="B961" t="s">
        <v>15</v>
      </c>
      <c r="C961" s="1">
        <v>45858</v>
      </c>
      <c r="D961" t="s">
        <v>6</v>
      </c>
      <c r="E961" t="s">
        <v>2</v>
      </c>
      <c r="F961">
        <v>3</v>
      </c>
      <c r="G961">
        <v>9.5500000000000007</v>
      </c>
      <c r="H961">
        <v>28.65</v>
      </c>
      <c r="I961" t="str">
        <f t="shared" si="98"/>
        <v>Low</v>
      </c>
      <c r="J961">
        <v>2.87</v>
      </c>
      <c r="K961">
        <f t="shared" si="103"/>
        <v>25.779999999999998</v>
      </c>
      <c r="L961" t="str">
        <f t="shared" si="104"/>
        <v>July</v>
      </c>
      <c r="M961">
        <f>YEAR(C961)</f>
        <v>2025</v>
      </c>
      <c r="N961">
        <v>227</v>
      </c>
      <c r="O961" t="str">
        <f>IF(N961&gt;=200,"Platinum",IF(N961&gt;=100,"Gold",IF(N961&gt;=50,"Silver","Regular")))</f>
        <v>Platinum</v>
      </c>
      <c r="P961" s="4" t="str">
        <f t="shared" si="99"/>
        <v>Sunday</v>
      </c>
      <c r="Q961" s="4" t="str">
        <f t="shared" si="100"/>
        <v>Medium Order</v>
      </c>
      <c r="R961" s="4" t="str">
        <f t="shared" si="101"/>
        <v>Weekend</v>
      </c>
      <c r="S961" s="4" t="str">
        <f t="shared" si="102"/>
        <v>Regular</v>
      </c>
    </row>
    <row r="962" spans="1:19" x14ac:dyDescent="0.3">
      <c r="A962">
        <v>8532</v>
      </c>
      <c r="B962" t="s">
        <v>25</v>
      </c>
      <c r="C962" s="1">
        <v>45694</v>
      </c>
      <c r="D962" t="s">
        <v>23</v>
      </c>
      <c r="E962" t="s">
        <v>2</v>
      </c>
      <c r="F962">
        <v>1</v>
      </c>
      <c r="G962">
        <v>23.36</v>
      </c>
      <c r="H962">
        <v>23.36</v>
      </c>
      <c r="I962" t="str">
        <f t="shared" ref="I962:I1025" si="105">IF(J962=0,"No Discount",IF(J962&lt;=5,"Low",IF(J962&lt;=10,"Medium",IF(J962&lt;=20,"High","Very High"))))</f>
        <v>Low</v>
      </c>
      <c r="J962">
        <v>2.34</v>
      </c>
      <c r="K962">
        <f t="shared" si="103"/>
        <v>21.02</v>
      </c>
      <c r="L962" t="str">
        <f t="shared" si="104"/>
        <v>February</v>
      </c>
      <c r="M962">
        <f>YEAR(C962)</f>
        <v>2025</v>
      </c>
      <c r="N962">
        <v>15</v>
      </c>
      <c r="O962" t="str">
        <f>IF(N962&gt;=200,"Platinum",IF(N962&gt;=100,"Gold",IF(N962&gt;=50,"Silver","Regular")))</f>
        <v>Regular</v>
      </c>
      <c r="P962" s="4" t="str">
        <f t="shared" ref="P962:P1025" si="106">TEXT(C962,"dddd")</f>
        <v>Thursday</v>
      </c>
      <c r="Q962" s="4" t="str">
        <f t="shared" ref="Q962:Q1025" si="107">IF(F962&lt;=2,"Small Order",IF(F962&lt;=5,"Medium Order",IF(F962&lt;=10,"Large Order","Bulk Order")))</f>
        <v>Small Order</v>
      </c>
      <c r="R962" s="4" t="str">
        <f t="shared" ref="R962:R1025" si="108">IF(WEEKDAY(C962,2)&gt;5,"Weekend","Weekday")</f>
        <v>Weekday</v>
      </c>
      <c r="S962" s="4" t="str">
        <f t="shared" ref="S962:S1025" si="109">IF(K962&gt;=100,"High Value","Regular")</f>
        <v>Regular</v>
      </c>
    </row>
    <row r="963" spans="1:19" x14ac:dyDescent="0.3">
      <c r="A963">
        <v>6922</v>
      </c>
      <c r="B963" t="s">
        <v>15</v>
      </c>
      <c r="C963" s="1">
        <v>45540</v>
      </c>
      <c r="D963" t="s">
        <v>17</v>
      </c>
      <c r="E963" t="s">
        <v>37</v>
      </c>
      <c r="F963">
        <v>1</v>
      </c>
      <c r="G963">
        <v>29.25</v>
      </c>
      <c r="H963">
        <v>29.25</v>
      </c>
      <c r="I963" t="str">
        <f t="shared" si="105"/>
        <v>Low</v>
      </c>
      <c r="J963">
        <v>2.93</v>
      </c>
      <c r="K963">
        <f t="shared" ref="K963:K1026" si="110">MAX(0,H963-J963)</f>
        <v>26.32</v>
      </c>
      <c r="L963" t="str">
        <f t="shared" ref="L963:L1026" si="111">TEXT(C963,"mmmm")</f>
        <v>September</v>
      </c>
      <c r="M963">
        <f>YEAR(C963)</f>
        <v>2024</v>
      </c>
      <c r="N963">
        <v>469</v>
      </c>
      <c r="O963" t="str">
        <f>IF(N963&gt;=200,"Platinum",IF(N963&gt;=100,"Gold",IF(N963&gt;=50,"Silver","Regular")))</f>
        <v>Platinum</v>
      </c>
      <c r="P963" s="4" t="str">
        <f t="shared" si="106"/>
        <v>Thursday</v>
      </c>
      <c r="Q963" s="4" t="str">
        <f t="shared" si="107"/>
        <v>Small Order</v>
      </c>
      <c r="R963" s="4" t="str">
        <f t="shared" si="108"/>
        <v>Weekday</v>
      </c>
      <c r="S963" s="4" t="str">
        <f t="shared" si="109"/>
        <v>Regular</v>
      </c>
    </row>
    <row r="964" spans="1:19" x14ac:dyDescent="0.3">
      <c r="A964">
        <v>3068</v>
      </c>
      <c r="B964" t="s">
        <v>0</v>
      </c>
      <c r="C964" s="1">
        <v>45512</v>
      </c>
      <c r="D964" t="s">
        <v>34</v>
      </c>
      <c r="E964" t="s">
        <v>12</v>
      </c>
      <c r="F964">
        <v>1</v>
      </c>
      <c r="G964">
        <v>24.06</v>
      </c>
      <c r="H964">
        <v>24.06</v>
      </c>
      <c r="I964" t="str">
        <f t="shared" si="105"/>
        <v>Low</v>
      </c>
      <c r="J964">
        <v>2.41</v>
      </c>
      <c r="K964">
        <f t="shared" si="110"/>
        <v>21.65</v>
      </c>
      <c r="L964" t="str">
        <f t="shared" si="111"/>
        <v>August</v>
      </c>
      <c r="M964">
        <f>YEAR(C964)</f>
        <v>2024</v>
      </c>
      <c r="N964">
        <v>203</v>
      </c>
      <c r="O964" t="str">
        <f>IF(N964&gt;=200,"Platinum",IF(N964&gt;=100,"Gold",IF(N964&gt;=50,"Silver","Regular")))</f>
        <v>Platinum</v>
      </c>
      <c r="P964" s="4" t="str">
        <f t="shared" si="106"/>
        <v>Thursday</v>
      </c>
      <c r="Q964" s="4" t="str">
        <f t="shared" si="107"/>
        <v>Small Order</v>
      </c>
      <c r="R964" s="4" t="str">
        <f t="shared" si="108"/>
        <v>Weekday</v>
      </c>
      <c r="S964" s="4" t="str">
        <f t="shared" si="109"/>
        <v>Regular</v>
      </c>
    </row>
    <row r="965" spans="1:19" x14ac:dyDescent="0.3">
      <c r="A965">
        <v>8651</v>
      </c>
      <c r="B965" t="s">
        <v>8</v>
      </c>
      <c r="C965" s="1">
        <v>45815</v>
      </c>
      <c r="D965" t="s">
        <v>23</v>
      </c>
      <c r="E965" t="s">
        <v>18</v>
      </c>
      <c r="F965">
        <v>1</v>
      </c>
      <c r="G965">
        <v>18.670000000000002</v>
      </c>
      <c r="H965">
        <v>18.670000000000002</v>
      </c>
      <c r="I965" t="str">
        <f t="shared" si="105"/>
        <v>Low</v>
      </c>
      <c r="J965">
        <v>1.87</v>
      </c>
      <c r="K965">
        <f t="shared" si="110"/>
        <v>16.8</v>
      </c>
      <c r="L965" t="str">
        <f t="shared" si="111"/>
        <v>June</v>
      </c>
      <c r="M965">
        <f>YEAR(C965)</f>
        <v>2025</v>
      </c>
      <c r="N965">
        <v>195</v>
      </c>
      <c r="O965" t="str">
        <f>IF(N965&gt;=200,"Platinum",IF(N965&gt;=100,"Gold",IF(N965&gt;=50,"Silver","Regular")))</f>
        <v>Gold</v>
      </c>
      <c r="P965" s="4" t="str">
        <f t="shared" si="106"/>
        <v>Saturday</v>
      </c>
      <c r="Q965" s="4" t="str">
        <f t="shared" si="107"/>
        <v>Small Order</v>
      </c>
      <c r="R965" s="4" t="str">
        <f t="shared" si="108"/>
        <v>Weekend</v>
      </c>
      <c r="S965" s="4" t="str">
        <f t="shared" si="109"/>
        <v>Regular</v>
      </c>
    </row>
    <row r="966" spans="1:19" x14ac:dyDescent="0.3">
      <c r="A966">
        <v>5161</v>
      </c>
      <c r="B966" t="s">
        <v>25</v>
      </c>
      <c r="C966" s="1">
        <v>45501</v>
      </c>
      <c r="D966" t="s">
        <v>34</v>
      </c>
      <c r="E966" t="s">
        <v>2</v>
      </c>
      <c r="F966">
        <v>4</v>
      </c>
      <c r="G966">
        <v>6.29</v>
      </c>
      <c r="H966">
        <v>25.16</v>
      </c>
      <c r="I966" t="str">
        <f t="shared" si="105"/>
        <v>Low</v>
      </c>
      <c r="J966">
        <v>2.52</v>
      </c>
      <c r="K966">
        <f t="shared" si="110"/>
        <v>22.64</v>
      </c>
      <c r="L966" t="str">
        <f t="shared" si="111"/>
        <v>July</v>
      </c>
      <c r="M966">
        <f>YEAR(C966)</f>
        <v>2024</v>
      </c>
      <c r="N966">
        <v>391</v>
      </c>
      <c r="O966" t="str">
        <f>IF(N966&gt;=200,"Platinum",IF(N966&gt;=100,"Gold",IF(N966&gt;=50,"Silver","Regular")))</f>
        <v>Platinum</v>
      </c>
      <c r="P966" s="4" t="str">
        <f t="shared" si="106"/>
        <v>Sunday</v>
      </c>
      <c r="Q966" s="4" t="str">
        <f t="shared" si="107"/>
        <v>Medium Order</v>
      </c>
      <c r="R966" s="4" t="str">
        <f t="shared" si="108"/>
        <v>Weekend</v>
      </c>
      <c r="S966" s="4" t="str">
        <f t="shared" si="109"/>
        <v>Regular</v>
      </c>
    </row>
    <row r="967" spans="1:19" x14ac:dyDescent="0.3">
      <c r="A967">
        <v>1333</v>
      </c>
      <c r="B967" t="s">
        <v>13</v>
      </c>
      <c r="C967" s="1">
        <v>45627</v>
      </c>
      <c r="D967" t="s">
        <v>9</v>
      </c>
      <c r="E967" t="s">
        <v>22</v>
      </c>
      <c r="F967">
        <v>1</v>
      </c>
      <c r="G967">
        <v>19.37</v>
      </c>
      <c r="H967">
        <v>19.37</v>
      </c>
      <c r="I967" t="str">
        <f t="shared" si="105"/>
        <v>Low</v>
      </c>
      <c r="J967">
        <v>1.94</v>
      </c>
      <c r="K967">
        <f t="shared" si="110"/>
        <v>17.43</v>
      </c>
      <c r="L967" t="str">
        <f t="shared" si="111"/>
        <v>December</v>
      </c>
      <c r="M967">
        <f>YEAR(C967)</f>
        <v>2024</v>
      </c>
      <c r="N967">
        <v>450</v>
      </c>
      <c r="O967" t="str">
        <f>IF(N967&gt;=200,"Platinum",IF(N967&gt;=100,"Gold",IF(N967&gt;=50,"Silver","Regular")))</f>
        <v>Platinum</v>
      </c>
      <c r="P967" s="4" t="str">
        <f t="shared" si="106"/>
        <v>Sunday</v>
      </c>
      <c r="Q967" s="4" t="str">
        <f t="shared" si="107"/>
        <v>Small Order</v>
      </c>
      <c r="R967" s="4" t="str">
        <f t="shared" si="108"/>
        <v>Weekend</v>
      </c>
      <c r="S967" s="4" t="str">
        <f t="shared" si="109"/>
        <v>Regular</v>
      </c>
    </row>
    <row r="968" spans="1:19" x14ac:dyDescent="0.3">
      <c r="A968">
        <v>2442</v>
      </c>
      <c r="B968" t="s">
        <v>25</v>
      </c>
      <c r="C968" s="1">
        <v>45389</v>
      </c>
      <c r="D968" t="s">
        <v>4</v>
      </c>
      <c r="E968" t="s">
        <v>5</v>
      </c>
      <c r="F968">
        <v>1</v>
      </c>
      <c r="G968">
        <v>27.86</v>
      </c>
      <c r="H968">
        <v>27.86</v>
      </c>
      <c r="I968" t="str">
        <f t="shared" si="105"/>
        <v>Low</v>
      </c>
      <c r="J968">
        <v>2.79</v>
      </c>
      <c r="K968">
        <f t="shared" si="110"/>
        <v>25.07</v>
      </c>
      <c r="L968" t="str">
        <f t="shared" si="111"/>
        <v>April</v>
      </c>
      <c r="M968">
        <f>YEAR(C968)</f>
        <v>2024</v>
      </c>
      <c r="N968">
        <v>428</v>
      </c>
      <c r="O968" t="str">
        <f>IF(N968&gt;=200,"Platinum",IF(N968&gt;=100,"Gold",IF(N968&gt;=50,"Silver","Regular")))</f>
        <v>Platinum</v>
      </c>
      <c r="P968" s="4" t="str">
        <f t="shared" si="106"/>
        <v>Sunday</v>
      </c>
      <c r="Q968" s="4" t="str">
        <f t="shared" si="107"/>
        <v>Small Order</v>
      </c>
      <c r="R968" s="4" t="str">
        <f t="shared" si="108"/>
        <v>Weekend</v>
      </c>
      <c r="S968" s="4" t="str">
        <f t="shared" si="109"/>
        <v>Regular</v>
      </c>
    </row>
    <row r="969" spans="1:19" x14ac:dyDescent="0.3">
      <c r="A969">
        <v>6727</v>
      </c>
      <c r="B969" t="s">
        <v>19</v>
      </c>
      <c r="C969" s="1">
        <v>45867</v>
      </c>
      <c r="D969" t="s">
        <v>4</v>
      </c>
      <c r="E969" t="s">
        <v>14</v>
      </c>
      <c r="F969">
        <v>3</v>
      </c>
      <c r="G969">
        <v>7.09</v>
      </c>
      <c r="H969">
        <v>21.27</v>
      </c>
      <c r="I969" t="str">
        <f t="shared" si="105"/>
        <v>Low</v>
      </c>
      <c r="J969">
        <v>2.13</v>
      </c>
      <c r="K969">
        <f t="shared" si="110"/>
        <v>19.14</v>
      </c>
      <c r="L969" t="str">
        <f t="shared" si="111"/>
        <v>July</v>
      </c>
      <c r="M969">
        <f>YEAR(C969)</f>
        <v>2025</v>
      </c>
      <c r="N969">
        <v>455</v>
      </c>
      <c r="O969" t="str">
        <f>IF(N969&gt;=200,"Platinum",IF(N969&gt;=100,"Gold",IF(N969&gt;=50,"Silver","Regular")))</f>
        <v>Platinum</v>
      </c>
      <c r="P969" s="4" t="str">
        <f t="shared" si="106"/>
        <v>Tuesday</v>
      </c>
      <c r="Q969" s="4" t="str">
        <f t="shared" si="107"/>
        <v>Medium Order</v>
      </c>
      <c r="R969" s="4" t="str">
        <f t="shared" si="108"/>
        <v>Weekday</v>
      </c>
      <c r="S969" s="4" t="str">
        <f t="shared" si="109"/>
        <v>Regular</v>
      </c>
    </row>
    <row r="970" spans="1:19" x14ac:dyDescent="0.3">
      <c r="A970">
        <v>2975</v>
      </c>
      <c r="B970" t="s">
        <v>25</v>
      </c>
      <c r="C970" s="1">
        <v>45813</v>
      </c>
      <c r="D970" t="s">
        <v>16</v>
      </c>
      <c r="E970" t="s">
        <v>7</v>
      </c>
      <c r="F970">
        <v>2</v>
      </c>
      <c r="G970">
        <v>14.48</v>
      </c>
      <c r="H970">
        <v>28.96</v>
      </c>
      <c r="I970" t="str">
        <f t="shared" si="105"/>
        <v>Low</v>
      </c>
      <c r="J970">
        <v>2.9</v>
      </c>
      <c r="K970">
        <f t="shared" si="110"/>
        <v>26.060000000000002</v>
      </c>
      <c r="L970" t="str">
        <f t="shared" si="111"/>
        <v>June</v>
      </c>
      <c r="M970">
        <f>YEAR(C970)</f>
        <v>2025</v>
      </c>
      <c r="N970">
        <v>294</v>
      </c>
      <c r="O970" t="str">
        <f>IF(N970&gt;=200,"Platinum",IF(N970&gt;=100,"Gold",IF(N970&gt;=50,"Silver","Regular")))</f>
        <v>Platinum</v>
      </c>
      <c r="P970" s="4" t="str">
        <f t="shared" si="106"/>
        <v>Thursday</v>
      </c>
      <c r="Q970" s="4" t="str">
        <f t="shared" si="107"/>
        <v>Small Order</v>
      </c>
      <c r="R970" s="4" t="str">
        <f t="shared" si="108"/>
        <v>Weekday</v>
      </c>
      <c r="S970" s="4" t="str">
        <f t="shared" si="109"/>
        <v>Regular</v>
      </c>
    </row>
    <row r="971" spans="1:19" x14ac:dyDescent="0.3">
      <c r="A971">
        <v>6928</v>
      </c>
      <c r="B971" t="s">
        <v>15</v>
      </c>
      <c r="C971" s="1">
        <v>45159</v>
      </c>
      <c r="D971" t="s">
        <v>17</v>
      </c>
      <c r="E971" t="s">
        <v>26</v>
      </c>
      <c r="F971">
        <v>4</v>
      </c>
      <c r="G971">
        <v>7.54</v>
      </c>
      <c r="H971">
        <v>30.16</v>
      </c>
      <c r="I971" t="str">
        <f t="shared" si="105"/>
        <v>Low</v>
      </c>
      <c r="J971">
        <v>3.02</v>
      </c>
      <c r="K971">
        <f t="shared" si="110"/>
        <v>27.14</v>
      </c>
      <c r="L971" t="str">
        <f t="shared" si="111"/>
        <v>August</v>
      </c>
      <c r="M971">
        <f>YEAR(C971)</f>
        <v>2023</v>
      </c>
      <c r="N971">
        <v>208</v>
      </c>
      <c r="O971" t="str">
        <f>IF(N971&gt;=200,"Platinum",IF(N971&gt;=100,"Gold",IF(N971&gt;=50,"Silver","Regular")))</f>
        <v>Platinum</v>
      </c>
      <c r="P971" s="4" t="str">
        <f t="shared" si="106"/>
        <v>Monday</v>
      </c>
      <c r="Q971" s="4" t="str">
        <f t="shared" si="107"/>
        <v>Medium Order</v>
      </c>
      <c r="R971" s="4" t="str">
        <f t="shared" si="108"/>
        <v>Weekday</v>
      </c>
      <c r="S971" s="4" t="str">
        <f t="shared" si="109"/>
        <v>Regular</v>
      </c>
    </row>
    <row r="972" spans="1:19" x14ac:dyDescent="0.3">
      <c r="A972">
        <v>7553</v>
      </c>
      <c r="B972" t="s">
        <v>3</v>
      </c>
      <c r="C972" s="1">
        <v>45722</v>
      </c>
      <c r="D972" t="s">
        <v>4</v>
      </c>
      <c r="E972" t="s">
        <v>32</v>
      </c>
      <c r="F972">
        <v>3</v>
      </c>
      <c r="G972">
        <v>10.119999999999999</v>
      </c>
      <c r="H972">
        <v>30.36</v>
      </c>
      <c r="I972" t="str">
        <f t="shared" si="105"/>
        <v>Low</v>
      </c>
      <c r="J972">
        <v>3.04</v>
      </c>
      <c r="K972">
        <f t="shared" si="110"/>
        <v>27.32</v>
      </c>
      <c r="L972" t="str">
        <f t="shared" si="111"/>
        <v>March</v>
      </c>
      <c r="M972">
        <f>YEAR(C972)</f>
        <v>2025</v>
      </c>
      <c r="N972">
        <v>395</v>
      </c>
      <c r="O972" t="str">
        <f>IF(N972&gt;=200,"Platinum",IF(N972&gt;=100,"Gold",IF(N972&gt;=50,"Silver","Regular")))</f>
        <v>Platinum</v>
      </c>
      <c r="P972" s="4" t="str">
        <f t="shared" si="106"/>
        <v>Thursday</v>
      </c>
      <c r="Q972" s="4" t="str">
        <f t="shared" si="107"/>
        <v>Medium Order</v>
      </c>
      <c r="R972" s="4" t="str">
        <f t="shared" si="108"/>
        <v>Weekday</v>
      </c>
      <c r="S972" s="4" t="str">
        <f t="shared" si="109"/>
        <v>Regular</v>
      </c>
    </row>
    <row r="973" spans="1:19" x14ac:dyDescent="0.3">
      <c r="A973">
        <v>6549</v>
      </c>
      <c r="B973" t="s">
        <v>3</v>
      </c>
      <c r="C973" s="1">
        <v>45769</v>
      </c>
      <c r="D973" t="s">
        <v>4</v>
      </c>
      <c r="E973" t="s">
        <v>30</v>
      </c>
      <c r="F973">
        <v>4</v>
      </c>
      <c r="G973">
        <v>7.74</v>
      </c>
      <c r="H973">
        <v>30.96</v>
      </c>
      <c r="I973" t="str">
        <f t="shared" si="105"/>
        <v>Low</v>
      </c>
      <c r="J973">
        <v>3.1</v>
      </c>
      <c r="K973">
        <f t="shared" si="110"/>
        <v>27.86</v>
      </c>
      <c r="L973" t="str">
        <f t="shared" si="111"/>
        <v>April</v>
      </c>
      <c r="M973">
        <f>YEAR(C973)</f>
        <v>2025</v>
      </c>
      <c r="N973">
        <v>285</v>
      </c>
      <c r="O973" t="str">
        <f>IF(N973&gt;=200,"Platinum",IF(N973&gt;=100,"Gold",IF(N973&gt;=50,"Silver","Regular")))</f>
        <v>Platinum</v>
      </c>
      <c r="P973" s="4" t="str">
        <f t="shared" si="106"/>
        <v>Tuesday</v>
      </c>
      <c r="Q973" s="4" t="str">
        <f t="shared" si="107"/>
        <v>Medium Order</v>
      </c>
      <c r="R973" s="4" t="str">
        <f t="shared" si="108"/>
        <v>Weekday</v>
      </c>
      <c r="S973" s="4" t="str">
        <f t="shared" si="109"/>
        <v>Regular</v>
      </c>
    </row>
    <row r="974" spans="1:19" x14ac:dyDescent="0.3">
      <c r="A974">
        <v>5537</v>
      </c>
      <c r="B974" t="s">
        <v>3</v>
      </c>
      <c r="C974" s="1">
        <v>45645</v>
      </c>
      <c r="D974" t="s">
        <v>23</v>
      </c>
      <c r="E974" t="s">
        <v>10</v>
      </c>
      <c r="F974">
        <v>1</v>
      </c>
      <c r="G974">
        <v>16.48</v>
      </c>
      <c r="H974">
        <v>16.48</v>
      </c>
      <c r="I974" t="str">
        <f t="shared" si="105"/>
        <v>Low</v>
      </c>
      <c r="J974">
        <v>1.65</v>
      </c>
      <c r="K974">
        <f t="shared" si="110"/>
        <v>14.83</v>
      </c>
      <c r="L974" t="str">
        <f t="shared" si="111"/>
        <v>December</v>
      </c>
      <c r="M974">
        <f>YEAR(C974)</f>
        <v>2024</v>
      </c>
      <c r="N974">
        <v>24</v>
      </c>
      <c r="O974" t="str">
        <f>IF(N974&gt;=200,"Platinum",IF(N974&gt;=100,"Gold",IF(N974&gt;=50,"Silver","Regular")))</f>
        <v>Regular</v>
      </c>
      <c r="P974" s="4" t="str">
        <f t="shared" si="106"/>
        <v>Thursday</v>
      </c>
      <c r="Q974" s="4" t="str">
        <f t="shared" si="107"/>
        <v>Small Order</v>
      </c>
      <c r="R974" s="4" t="str">
        <f t="shared" si="108"/>
        <v>Weekday</v>
      </c>
      <c r="S974" s="4" t="str">
        <f t="shared" si="109"/>
        <v>Regular</v>
      </c>
    </row>
    <row r="975" spans="1:19" x14ac:dyDescent="0.3">
      <c r="A975">
        <v>3538</v>
      </c>
      <c r="B975" t="s">
        <v>3</v>
      </c>
      <c r="C975" s="1">
        <v>45204</v>
      </c>
      <c r="D975" t="s">
        <v>24</v>
      </c>
      <c r="E975" t="s">
        <v>30</v>
      </c>
      <c r="F975">
        <v>4</v>
      </c>
      <c r="G975">
        <v>4.12</v>
      </c>
      <c r="H975">
        <v>16.48</v>
      </c>
      <c r="I975" t="str">
        <f t="shared" si="105"/>
        <v>Low</v>
      </c>
      <c r="J975">
        <v>1.65</v>
      </c>
      <c r="K975">
        <f t="shared" si="110"/>
        <v>14.83</v>
      </c>
      <c r="L975" t="str">
        <f t="shared" si="111"/>
        <v>October</v>
      </c>
      <c r="M975">
        <f>YEAR(C975)</f>
        <v>2023</v>
      </c>
      <c r="N975">
        <v>128</v>
      </c>
      <c r="O975" t="str">
        <f>IF(N975&gt;=200,"Platinum",IF(N975&gt;=100,"Gold",IF(N975&gt;=50,"Silver","Regular")))</f>
        <v>Gold</v>
      </c>
      <c r="P975" s="4" t="str">
        <f t="shared" si="106"/>
        <v>Thursday</v>
      </c>
      <c r="Q975" s="4" t="str">
        <f t="shared" si="107"/>
        <v>Medium Order</v>
      </c>
      <c r="R975" s="4" t="str">
        <f t="shared" si="108"/>
        <v>Weekday</v>
      </c>
      <c r="S975" s="4" t="str">
        <f t="shared" si="109"/>
        <v>Regular</v>
      </c>
    </row>
    <row r="976" spans="1:19" x14ac:dyDescent="0.3">
      <c r="A976">
        <v>3240</v>
      </c>
      <c r="B976" t="s">
        <v>13</v>
      </c>
      <c r="C976" s="1">
        <v>45632</v>
      </c>
      <c r="D976" t="s">
        <v>27</v>
      </c>
      <c r="E976" t="s">
        <v>5</v>
      </c>
      <c r="F976">
        <v>4</v>
      </c>
      <c r="G976">
        <v>8.24</v>
      </c>
      <c r="H976">
        <v>32.96</v>
      </c>
      <c r="I976" t="str">
        <f t="shared" si="105"/>
        <v>Low</v>
      </c>
      <c r="J976">
        <v>3.3</v>
      </c>
      <c r="K976">
        <f t="shared" si="110"/>
        <v>29.66</v>
      </c>
      <c r="L976" t="str">
        <f t="shared" si="111"/>
        <v>December</v>
      </c>
      <c r="M976">
        <f>YEAR(C976)</f>
        <v>2024</v>
      </c>
      <c r="N976">
        <v>366</v>
      </c>
      <c r="O976" t="str">
        <f>IF(N976&gt;=200,"Platinum",IF(N976&gt;=100,"Gold",IF(N976&gt;=50,"Silver","Regular")))</f>
        <v>Platinum</v>
      </c>
      <c r="P976" s="4" t="str">
        <f t="shared" si="106"/>
        <v>Friday</v>
      </c>
      <c r="Q976" s="4" t="str">
        <f t="shared" si="107"/>
        <v>Medium Order</v>
      </c>
      <c r="R976" s="4" t="str">
        <f t="shared" si="108"/>
        <v>Weekday</v>
      </c>
      <c r="S976" s="4" t="str">
        <f t="shared" si="109"/>
        <v>Regular</v>
      </c>
    </row>
    <row r="977" spans="1:19" x14ac:dyDescent="0.3">
      <c r="A977">
        <v>5605</v>
      </c>
      <c r="B977" t="s">
        <v>31</v>
      </c>
      <c r="C977" s="1">
        <v>45608</v>
      </c>
      <c r="D977" t="s">
        <v>4</v>
      </c>
      <c r="E977" t="s">
        <v>35</v>
      </c>
      <c r="F977">
        <v>3</v>
      </c>
      <c r="G977">
        <v>14.85</v>
      </c>
      <c r="H977">
        <v>44.55</v>
      </c>
      <c r="I977" t="str">
        <f t="shared" si="105"/>
        <v>Low</v>
      </c>
      <c r="J977">
        <v>4.46</v>
      </c>
      <c r="K977">
        <f t="shared" si="110"/>
        <v>40.089999999999996</v>
      </c>
      <c r="L977" t="str">
        <f t="shared" si="111"/>
        <v>November</v>
      </c>
      <c r="M977">
        <f>YEAR(C977)</f>
        <v>2024</v>
      </c>
      <c r="N977">
        <v>260</v>
      </c>
      <c r="O977" t="str">
        <f>IF(N977&gt;=200,"Platinum",IF(N977&gt;=100,"Gold",IF(N977&gt;=50,"Silver","Regular")))</f>
        <v>Platinum</v>
      </c>
      <c r="P977" s="4" t="str">
        <f t="shared" si="106"/>
        <v>Tuesday</v>
      </c>
      <c r="Q977" s="4" t="str">
        <f t="shared" si="107"/>
        <v>Medium Order</v>
      </c>
      <c r="R977" s="4" t="str">
        <f t="shared" si="108"/>
        <v>Weekday</v>
      </c>
      <c r="S977" s="4" t="str">
        <f t="shared" si="109"/>
        <v>Regular</v>
      </c>
    </row>
    <row r="978" spans="1:19" x14ac:dyDescent="0.3">
      <c r="A978">
        <v>6236</v>
      </c>
      <c r="B978" t="s">
        <v>20</v>
      </c>
      <c r="C978" s="1">
        <v>45663</v>
      </c>
      <c r="D978" t="s">
        <v>11</v>
      </c>
      <c r="E978" t="s">
        <v>5</v>
      </c>
      <c r="F978">
        <v>4</v>
      </c>
      <c r="G978">
        <v>8.94</v>
      </c>
      <c r="H978">
        <v>35.76</v>
      </c>
      <c r="I978" t="str">
        <f t="shared" si="105"/>
        <v>Low</v>
      </c>
      <c r="J978">
        <v>3.58</v>
      </c>
      <c r="K978">
        <f t="shared" si="110"/>
        <v>32.18</v>
      </c>
      <c r="L978" t="str">
        <f t="shared" si="111"/>
        <v>January</v>
      </c>
      <c r="M978">
        <f>YEAR(C978)</f>
        <v>2025</v>
      </c>
      <c r="N978">
        <v>348</v>
      </c>
      <c r="O978" t="str">
        <f>IF(N978&gt;=200,"Platinum",IF(N978&gt;=100,"Gold",IF(N978&gt;=50,"Silver","Regular")))</f>
        <v>Platinum</v>
      </c>
      <c r="P978" s="4" t="str">
        <f t="shared" si="106"/>
        <v>Monday</v>
      </c>
      <c r="Q978" s="4" t="str">
        <f t="shared" si="107"/>
        <v>Medium Order</v>
      </c>
      <c r="R978" s="4" t="str">
        <f t="shared" si="108"/>
        <v>Weekday</v>
      </c>
      <c r="S978" s="4" t="str">
        <f t="shared" si="109"/>
        <v>Regular</v>
      </c>
    </row>
    <row r="979" spans="1:19" x14ac:dyDescent="0.3">
      <c r="A979">
        <v>2262</v>
      </c>
      <c r="B979" t="s">
        <v>15</v>
      </c>
      <c r="C979" s="1">
        <v>45530</v>
      </c>
      <c r="D979" t="s">
        <v>17</v>
      </c>
      <c r="E979" t="s">
        <v>18</v>
      </c>
      <c r="F979">
        <v>4</v>
      </c>
      <c r="G979">
        <v>9.34</v>
      </c>
      <c r="H979">
        <v>37.36</v>
      </c>
      <c r="I979" t="str">
        <f t="shared" si="105"/>
        <v>Low</v>
      </c>
      <c r="J979">
        <v>3.74</v>
      </c>
      <c r="K979">
        <f t="shared" si="110"/>
        <v>33.619999999999997</v>
      </c>
      <c r="L979" t="str">
        <f t="shared" si="111"/>
        <v>August</v>
      </c>
      <c r="M979">
        <f>YEAR(C979)</f>
        <v>2024</v>
      </c>
      <c r="N979">
        <v>346</v>
      </c>
      <c r="O979" t="str">
        <f>IF(N979&gt;=200,"Platinum",IF(N979&gt;=100,"Gold",IF(N979&gt;=50,"Silver","Regular")))</f>
        <v>Platinum</v>
      </c>
      <c r="P979" s="4" t="str">
        <f t="shared" si="106"/>
        <v>Monday</v>
      </c>
      <c r="Q979" s="4" t="str">
        <f t="shared" si="107"/>
        <v>Medium Order</v>
      </c>
      <c r="R979" s="4" t="str">
        <f t="shared" si="108"/>
        <v>Weekday</v>
      </c>
      <c r="S979" s="4" t="str">
        <f t="shared" si="109"/>
        <v>Regular</v>
      </c>
    </row>
    <row r="980" spans="1:19" x14ac:dyDescent="0.3">
      <c r="A980">
        <v>4921</v>
      </c>
      <c r="B980" t="s">
        <v>15</v>
      </c>
      <c r="C980" s="1">
        <v>45529</v>
      </c>
      <c r="D980" t="s">
        <v>23</v>
      </c>
      <c r="E980" t="s">
        <v>14</v>
      </c>
      <c r="F980">
        <v>1</v>
      </c>
      <c r="G980">
        <v>19.48</v>
      </c>
      <c r="H980">
        <v>19.48</v>
      </c>
      <c r="I980" t="str">
        <f t="shared" si="105"/>
        <v>Low</v>
      </c>
      <c r="J980">
        <v>1.95</v>
      </c>
      <c r="K980">
        <f t="shared" si="110"/>
        <v>17.53</v>
      </c>
      <c r="L980" t="str">
        <f t="shared" si="111"/>
        <v>August</v>
      </c>
      <c r="M980">
        <f>YEAR(C980)</f>
        <v>2024</v>
      </c>
      <c r="N980">
        <v>59</v>
      </c>
      <c r="O980" t="str">
        <f>IF(N980&gt;=200,"Platinum",IF(N980&gt;=100,"Gold",IF(N980&gt;=50,"Silver","Regular")))</f>
        <v>Silver</v>
      </c>
      <c r="P980" s="4" t="str">
        <f t="shared" si="106"/>
        <v>Sunday</v>
      </c>
      <c r="Q980" s="4" t="str">
        <f t="shared" si="107"/>
        <v>Small Order</v>
      </c>
      <c r="R980" s="4" t="str">
        <f t="shared" si="108"/>
        <v>Weekend</v>
      </c>
      <c r="S980" s="4" t="str">
        <f t="shared" si="109"/>
        <v>Regular</v>
      </c>
    </row>
    <row r="981" spans="1:19" x14ac:dyDescent="0.3">
      <c r="A981">
        <v>9785</v>
      </c>
      <c r="B981" t="s">
        <v>3</v>
      </c>
      <c r="C981" s="1">
        <v>45402</v>
      </c>
      <c r="D981" t="s">
        <v>1</v>
      </c>
      <c r="E981" t="s">
        <v>37</v>
      </c>
      <c r="F981">
        <v>4</v>
      </c>
      <c r="G981">
        <v>4.87</v>
      </c>
      <c r="H981">
        <v>19.48</v>
      </c>
      <c r="I981" t="str">
        <f t="shared" si="105"/>
        <v>Low</v>
      </c>
      <c r="J981">
        <v>1.95</v>
      </c>
      <c r="K981">
        <f t="shared" si="110"/>
        <v>17.53</v>
      </c>
      <c r="L981" t="str">
        <f t="shared" si="111"/>
        <v>April</v>
      </c>
      <c r="M981">
        <f>YEAR(C981)</f>
        <v>2024</v>
      </c>
      <c r="N981">
        <v>135</v>
      </c>
      <c r="O981" t="str">
        <f>IF(N981&gt;=200,"Platinum",IF(N981&gt;=100,"Gold",IF(N981&gt;=50,"Silver","Regular")))</f>
        <v>Gold</v>
      </c>
      <c r="P981" s="4" t="str">
        <f t="shared" si="106"/>
        <v>Saturday</v>
      </c>
      <c r="Q981" s="4" t="str">
        <f t="shared" si="107"/>
        <v>Medium Order</v>
      </c>
      <c r="R981" s="4" t="str">
        <f t="shared" si="108"/>
        <v>Weekend</v>
      </c>
      <c r="S981" s="4" t="str">
        <f t="shared" si="109"/>
        <v>Regular</v>
      </c>
    </row>
    <row r="982" spans="1:19" x14ac:dyDescent="0.3">
      <c r="A982">
        <v>7438</v>
      </c>
      <c r="B982" t="s">
        <v>25</v>
      </c>
      <c r="C982" s="1">
        <v>45689</v>
      </c>
      <c r="D982" t="s">
        <v>27</v>
      </c>
      <c r="E982" t="s">
        <v>7</v>
      </c>
      <c r="F982">
        <v>2</v>
      </c>
      <c r="G982">
        <v>10.29</v>
      </c>
      <c r="H982">
        <v>20.58</v>
      </c>
      <c r="I982" t="str">
        <f t="shared" si="105"/>
        <v>Low</v>
      </c>
      <c r="J982">
        <v>2.06</v>
      </c>
      <c r="K982">
        <f t="shared" si="110"/>
        <v>18.52</v>
      </c>
      <c r="L982" t="str">
        <f t="shared" si="111"/>
        <v>February</v>
      </c>
      <c r="M982">
        <f>YEAR(C982)</f>
        <v>2025</v>
      </c>
      <c r="N982">
        <v>327</v>
      </c>
      <c r="O982" t="str">
        <f>IF(N982&gt;=200,"Platinum",IF(N982&gt;=100,"Gold",IF(N982&gt;=50,"Silver","Regular")))</f>
        <v>Platinum</v>
      </c>
      <c r="P982" s="4" t="str">
        <f t="shared" si="106"/>
        <v>Saturday</v>
      </c>
      <c r="Q982" s="4" t="str">
        <f t="shared" si="107"/>
        <v>Small Order</v>
      </c>
      <c r="R982" s="4" t="str">
        <f t="shared" si="108"/>
        <v>Weekend</v>
      </c>
      <c r="S982" s="4" t="str">
        <f t="shared" si="109"/>
        <v>Regular</v>
      </c>
    </row>
    <row r="983" spans="1:19" x14ac:dyDescent="0.3">
      <c r="A983">
        <v>8405</v>
      </c>
      <c r="B983" t="s">
        <v>20</v>
      </c>
      <c r="C983" s="1">
        <v>45203</v>
      </c>
      <c r="D983" t="s">
        <v>6</v>
      </c>
      <c r="E983" t="s">
        <v>18</v>
      </c>
      <c r="F983">
        <v>4</v>
      </c>
      <c r="G983">
        <v>10.34</v>
      </c>
      <c r="H983">
        <v>41.36</v>
      </c>
      <c r="I983" t="str">
        <f t="shared" si="105"/>
        <v>Low</v>
      </c>
      <c r="J983">
        <v>4.1399999999999997</v>
      </c>
      <c r="K983">
        <f t="shared" si="110"/>
        <v>37.22</v>
      </c>
      <c r="L983" t="str">
        <f t="shared" si="111"/>
        <v>October</v>
      </c>
      <c r="M983">
        <f>YEAR(C983)</f>
        <v>2023</v>
      </c>
      <c r="N983">
        <v>292</v>
      </c>
      <c r="O983" t="str">
        <f>IF(N983&gt;=200,"Platinum",IF(N983&gt;=100,"Gold",IF(N983&gt;=50,"Silver","Regular")))</f>
        <v>Platinum</v>
      </c>
      <c r="P983" s="4" t="str">
        <f t="shared" si="106"/>
        <v>Wednesday</v>
      </c>
      <c r="Q983" s="4" t="str">
        <f t="shared" si="107"/>
        <v>Medium Order</v>
      </c>
      <c r="R983" s="4" t="str">
        <f t="shared" si="108"/>
        <v>Weekday</v>
      </c>
      <c r="S983" s="4" t="str">
        <f t="shared" si="109"/>
        <v>Regular</v>
      </c>
    </row>
    <row r="984" spans="1:19" x14ac:dyDescent="0.3">
      <c r="A984">
        <v>1887</v>
      </c>
      <c r="B984" t="s">
        <v>8</v>
      </c>
      <c r="C984" s="1">
        <v>45668</v>
      </c>
      <c r="D984" t="s">
        <v>6</v>
      </c>
      <c r="E984" t="s">
        <v>22</v>
      </c>
      <c r="F984">
        <v>3</v>
      </c>
      <c r="G984">
        <v>14.32</v>
      </c>
      <c r="H984">
        <v>42.96</v>
      </c>
      <c r="I984" t="str">
        <f t="shared" si="105"/>
        <v>Low</v>
      </c>
      <c r="J984">
        <v>4.3</v>
      </c>
      <c r="K984">
        <f t="shared" si="110"/>
        <v>38.660000000000004</v>
      </c>
      <c r="L984" t="str">
        <f t="shared" si="111"/>
        <v>January</v>
      </c>
      <c r="M984">
        <f>YEAR(C984)</f>
        <v>2025</v>
      </c>
      <c r="N984">
        <v>341</v>
      </c>
      <c r="O984" t="str">
        <f>IF(N984&gt;=200,"Platinum",IF(N984&gt;=100,"Gold",IF(N984&gt;=50,"Silver","Regular")))</f>
        <v>Platinum</v>
      </c>
      <c r="P984" s="4" t="str">
        <f t="shared" si="106"/>
        <v>Saturday</v>
      </c>
      <c r="Q984" s="4" t="str">
        <f t="shared" si="107"/>
        <v>Medium Order</v>
      </c>
      <c r="R984" s="4" t="str">
        <f t="shared" si="108"/>
        <v>Weekend</v>
      </c>
      <c r="S984" s="4" t="str">
        <f t="shared" si="109"/>
        <v>Regular</v>
      </c>
    </row>
    <row r="985" spans="1:19" x14ac:dyDescent="0.3">
      <c r="A985">
        <v>2040</v>
      </c>
      <c r="B985" t="s">
        <v>8</v>
      </c>
      <c r="C985" s="1">
        <v>45443</v>
      </c>
      <c r="D985" t="s">
        <v>6</v>
      </c>
      <c r="E985" t="s">
        <v>21</v>
      </c>
      <c r="F985">
        <v>2</v>
      </c>
      <c r="G985">
        <v>21.48</v>
      </c>
      <c r="H985">
        <v>42.96</v>
      </c>
      <c r="I985" t="str">
        <f t="shared" si="105"/>
        <v>Low</v>
      </c>
      <c r="J985">
        <v>4.3</v>
      </c>
      <c r="K985">
        <f t="shared" si="110"/>
        <v>38.660000000000004</v>
      </c>
      <c r="L985" t="str">
        <f t="shared" si="111"/>
        <v>May</v>
      </c>
      <c r="M985">
        <f>YEAR(C985)</f>
        <v>2024</v>
      </c>
      <c r="N985">
        <v>32</v>
      </c>
      <c r="O985" t="str">
        <f>IF(N985&gt;=200,"Platinum",IF(N985&gt;=100,"Gold",IF(N985&gt;=50,"Silver","Regular")))</f>
        <v>Regular</v>
      </c>
      <c r="P985" s="4" t="str">
        <f t="shared" si="106"/>
        <v>Friday</v>
      </c>
      <c r="Q985" s="4" t="str">
        <f t="shared" si="107"/>
        <v>Small Order</v>
      </c>
      <c r="R985" s="4" t="str">
        <f t="shared" si="108"/>
        <v>Weekday</v>
      </c>
      <c r="S985" s="4" t="str">
        <f t="shared" si="109"/>
        <v>Regular</v>
      </c>
    </row>
    <row r="986" spans="1:19" x14ac:dyDescent="0.3">
      <c r="A986">
        <v>2100</v>
      </c>
      <c r="B986" t="s">
        <v>0</v>
      </c>
      <c r="C986" s="1">
        <v>45378</v>
      </c>
      <c r="D986" t="s">
        <v>9</v>
      </c>
      <c r="E986" t="s">
        <v>35</v>
      </c>
      <c r="F986">
        <v>1</v>
      </c>
      <c r="G986">
        <v>10.79</v>
      </c>
      <c r="H986">
        <v>10.79</v>
      </c>
      <c r="I986" t="str">
        <f t="shared" si="105"/>
        <v>Low</v>
      </c>
      <c r="J986">
        <v>1.08</v>
      </c>
      <c r="K986">
        <f t="shared" si="110"/>
        <v>9.7099999999999991</v>
      </c>
      <c r="L986" t="str">
        <f t="shared" si="111"/>
        <v>March</v>
      </c>
      <c r="M986">
        <f>YEAR(C986)</f>
        <v>2024</v>
      </c>
      <c r="N986">
        <v>326</v>
      </c>
      <c r="O986" t="str">
        <f>IF(N986&gt;=200,"Platinum",IF(N986&gt;=100,"Gold",IF(N986&gt;=50,"Silver","Regular")))</f>
        <v>Platinum</v>
      </c>
      <c r="P986" s="4" t="str">
        <f t="shared" si="106"/>
        <v>Wednesday</v>
      </c>
      <c r="Q986" s="4" t="str">
        <f t="shared" si="107"/>
        <v>Small Order</v>
      </c>
      <c r="R986" s="4" t="str">
        <f t="shared" si="108"/>
        <v>Weekday</v>
      </c>
      <c r="S986" s="4" t="str">
        <f t="shared" si="109"/>
        <v>Regular</v>
      </c>
    </row>
    <row r="987" spans="1:19" x14ac:dyDescent="0.3">
      <c r="A987">
        <v>7895</v>
      </c>
      <c r="B987" t="s">
        <v>8</v>
      </c>
      <c r="C987" s="1">
        <v>45428</v>
      </c>
      <c r="D987" t="s">
        <v>11</v>
      </c>
      <c r="E987" t="s">
        <v>2</v>
      </c>
      <c r="F987">
        <v>2</v>
      </c>
      <c r="G987">
        <v>11.14</v>
      </c>
      <c r="H987">
        <v>22.28</v>
      </c>
      <c r="I987" t="str">
        <f t="shared" si="105"/>
        <v>Low</v>
      </c>
      <c r="J987">
        <v>2.23</v>
      </c>
      <c r="K987">
        <f t="shared" si="110"/>
        <v>20.05</v>
      </c>
      <c r="L987" t="str">
        <f t="shared" si="111"/>
        <v>May</v>
      </c>
      <c r="M987">
        <f>YEAR(C987)</f>
        <v>2024</v>
      </c>
      <c r="N987">
        <v>102</v>
      </c>
      <c r="O987" t="str">
        <f>IF(N987&gt;=200,"Platinum",IF(N987&gt;=100,"Gold",IF(N987&gt;=50,"Silver","Regular")))</f>
        <v>Gold</v>
      </c>
      <c r="P987" s="4" t="str">
        <f t="shared" si="106"/>
        <v>Thursday</v>
      </c>
      <c r="Q987" s="4" t="str">
        <f t="shared" si="107"/>
        <v>Small Order</v>
      </c>
      <c r="R987" s="4" t="str">
        <f t="shared" si="108"/>
        <v>Weekday</v>
      </c>
      <c r="S987" s="4" t="str">
        <f t="shared" si="109"/>
        <v>Regular</v>
      </c>
    </row>
    <row r="988" spans="1:19" x14ac:dyDescent="0.3">
      <c r="A988">
        <v>9565</v>
      </c>
      <c r="B988" t="s">
        <v>15</v>
      </c>
      <c r="C988" s="1">
        <v>45390</v>
      </c>
      <c r="D988" t="s">
        <v>9</v>
      </c>
      <c r="E988" t="s">
        <v>2</v>
      </c>
      <c r="F988">
        <v>2</v>
      </c>
      <c r="G988">
        <v>22.88</v>
      </c>
      <c r="H988">
        <v>45.76</v>
      </c>
      <c r="I988" t="str">
        <f t="shared" si="105"/>
        <v>Low</v>
      </c>
      <c r="J988">
        <v>4.58</v>
      </c>
      <c r="K988">
        <f t="shared" si="110"/>
        <v>41.18</v>
      </c>
      <c r="L988" t="str">
        <f t="shared" si="111"/>
        <v>April</v>
      </c>
      <c r="M988">
        <f>YEAR(C988)</f>
        <v>2024</v>
      </c>
      <c r="N988">
        <v>58</v>
      </c>
      <c r="O988" t="str">
        <f>IF(N988&gt;=200,"Platinum",IF(N988&gt;=100,"Gold",IF(N988&gt;=50,"Silver","Regular")))</f>
        <v>Silver</v>
      </c>
      <c r="P988" s="4" t="str">
        <f t="shared" si="106"/>
        <v>Monday</v>
      </c>
      <c r="Q988" s="4" t="str">
        <f t="shared" si="107"/>
        <v>Small Order</v>
      </c>
      <c r="R988" s="4" t="str">
        <f t="shared" si="108"/>
        <v>Weekday</v>
      </c>
      <c r="S988" s="4" t="str">
        <f t="shared" si="109"/>
        <v>Regular</v>
      </c>
    </row>
    <row r="989" spans="1:19" x14ac:dyDescent="0.3">
      <c r="A989">
        <v>9782</v>
      </c>
      <c r="B989" t="s">
        <v>0</v>
      </c>
      <c r="C989" s="1">
        <v>45157</v>
      </c>
      <c r="D989" t="s">
        <v>11</v>
      </c>
      <c r="E989" t="s">
        <v>28</v>
      </c>
      <c r="F989">
        <v>3</v>
      </c>
      <c r="G989">
        <v>20.75</v>
      </c>
      <c r="H989">
        <v>62.25</v>
      </c>
      <c r="I989" t="str">
        <f t="shared" si="105"/>
        <v>Medium</v>
      </c>
      <c r="J989">
        <v>6.23</v>
      </c>
      <c r="K989">
        <f t="shared" si="110"/>
        <v>56.019999999999996</v>
      </c>
      <c r="L989" t="str">
        <f t="shared" si="111"/>
        <v>August</v>
      </c>
      <c r="M989">
        <f>YEAR(C989)</f>
        <v>2023</v>
      </c>
      <c r="N989">
        <v>348</v>
      </c>
      <c r="O989" t="str">
        <f>IF(N989&gt;=200,"Platinum",IF(N989&gt;=100,"Gold",IF(N989&gt;=50,"Silver","Regular")))</f>
        <v>Platinum</v>
      </c>
      <c r="P989" s="4" t="str">
        <f t="shared" si="106"/>
        <v>Saturday</v>
      </c>
      <c r="Q989" s="4" t="str">
        <f t="shared" si="107"/>
        <v>Medium Order</v>
      </c>
      <c r="R989" s="4" t="str">
        <f t="shared" si="108"/>
        <v>Weekend</v>
      </c>
      <c r="S989" s="4" t="str">
        <f t="shared" si="109"/>
        <v>Regular</v>
      </c>
    </row>
    <row r="990" spans="1:19" x14ac:dyDescent="0.3">
      <c r="A990">
        <v>6555</v>
      </c>
      <c r="B990" t="s">
        <v>8</v>
      </c>
      <c r="C990" s="1">
        <v>45578</v>
      </c>
      <c r="D990" t="s">
        <v>23</v>
      </c>
      <c r="E990" t="s">
        <v>33</v>
      </c>
      <c r="F990">
        <v>4</v>
      </c>
      <c r="G990">
        <v>6.27</v>
      </c>
      <c r="H990">
        <v>25.08</v>
      </c>
      <c r="I990" t="str">
        <f t="shared" si="105"/>
        <v>Low</v>
      </c>
      <c r="J990">
        <v>2.5099999999999998</v>
      </c>
      <c r="K990">
        <f t="shared" si="110"/>
        <v>22.57</v>
      </c>
      <c r="L990" t="str">
        <f t="shared" si="111"/>
        <v>October</v>
      </c>
      <c r="M990">
        <f>YEAR(C990)</f>
        <v>2024</v>
      </c>
      <c r="N990">
        <v>485</v>
      </c>
      <c r="O990" t="str">
        <f>IF(N990&gt;=200,"Platinum",IF(N990&gt;=100,"Gold",IF(N990&gt;=50,"Silver","Regular")))</f>
        <v>Platinum</v>
      </c>
      <c r="P990" s="4" t="str">
        <f t="shared" si="106"/>
        <v>Sunday</v>
      </c>
      <c r="Q990" s="4" t="str">
        <f t="shared" si="107"/>
        <v>Medium Order</v>
      </c>
      <c r="R990" s="4" t="str">
        <f t="shared" si="108"/>
        <v>Weekend</v>
      </c>
      <c r="S990" s="4" t="str">
        <f t="shared" si="109"/>
        <v>Regular</v>
      </c>
    </row>
    <row r="991" spans="1:19" x14ac:dyDescent="0.3">
      <c r="A991">
        <v>7691</v>
      </c>
      <c r="B991" t="s">
        <v>8</v>
      </c>
      <c r="C991" s="1">
        <v>45398</v>
      </c>
      <c r="D991" t="s">
        <v>1</v>
      </c>
      <c r="E991" t="s">
        <v>7</v>
      </c>
      <c r="F991">
        <v>2</v>
      </c>
      <c r="G991">
        <v>12.79</v>
      </c>
      <c r="H991">
        <v>25.58</v>
      </c>
      <c r="I991" t="str">
        <f t="shared" si="105"/>
        <v>Low</v>
      </c>
      <c r="J991">
        <v>2.56</v>
      </c>
      <c r="K991">
        <f t="shared" si="110"/>
        <v>23.02</v>
      </c>
      <c r="L991" t="str">
        <f t="shared" si="111"/>
        <v>April</v>
      </c>
      <c r="M991">
        <f>YEAR(C991)</f>
        <v>2024</v>
      </c>
      <c r="N991">
        <v>478</v>
      </c>
      <c r="O991" t="str">
        <f>IF(N991&gt;=200,"Platinum",IF(N991&gt;=100,"Gold",IF(N991&gt;=50,"Silver","Regular")))</f>
        <v>Platinum</v>
      </c>
      <c r="P991" s="4" t="str">
        <f t="shared" si="106"/>
        <v>Tuesday</v>
      </c>
      <c r="Q991" s="4" t="str">
        <f t="shared" si="107"/>
        <v>Small Order</v>
      </c>
      <c r="R991" s="4" t="str">
        <f t="shared" si="108"/>
        <v>Weekday</v>
      </c>
      <c r="S991" s="4" t="str">
        <f t="shared" si="109"/>
        <v>Regular</v>
      </c>
    </row>
    <row r="992" spans="1:19" x14ac:dyDescent="0.3">
      <c r="A992">
        <v>7606</v>
      </c>
      <c r="B992" t="s">
        <v>8</v>
      </c>
      <c r="C992" s="1">
        <v>45429</v>
      </c>
      <c r="D992" t="s">
        <v>6</v>
      </c>
      <c r="E992" t="s">
        <v>28</v>
      </c>
      <c r="F992">
        <v>1</v>
      </c>
      <c r="G992">
        <v>25.98</v>
      </c>
      <c r="H992">
        <v>25.98</v>
      </c>
      <c r="I992" t="str">
        <f t="shared" si="105"/>
        <v>Low</v>
      </c>
      <c r="J992">
        <v>2.6</v>
      </c>
      <c r="K992">
        <f t="shared" si="110"/>
        <v>23.38</v>
      </c>
      <c r="L992" t="str">
        <f t="shared" si="111"/>
        <v>May</v>
      </c>
      <c r="M992">
        <f>YEAR(C992)</f>
        <v>2024</v>
      </c>
      <c r="N992">
        <v>373</v>
      </c>
      <c r="O992" t="str">
        <f>IF(N992&gt;=200,"Platinum",IF(N992&gt;=100,"Gold",IF(N992&gt;=50,"Silver","Regular")))</f>
        <v>Platinum</v>
      </c>
      <c r="P992" s="4" t="str">
        <f t="shared" si="106"/>
        <v>Friday</v>
      </c>
      <c r="Q992" s="4" t="str">
        <f t="shared" si="107"/>
        <v>Small Order</v>
      </c>
      <c r="R992" s="4" t="str">
        <f t="shared" si="108"/>
        <v>Weekday</v>
      </c>
      <c r="S992" s="4" t="str">
        <f t="shared" si="109"/>
        <v>Regular</v>
      </c>
    </row>
    <row r="993" spans="1:19" x14ac:dyDescent="0.3">
      <c r="A993">
        <v>6908</v>
      </c>
      <c r="B993" t="s">
        <v>15</v>
      </c>
      <c r="C993" s="1">
        <v>45197</v>
      </c>
      <c r="D993" t="s">
        <v>9</v>
      </c>
      <c r="E993" t="s">
        <v>36</v>
      </c>
      <c r="F993">
        <v>3</v>
      </c>
      <c r="G993">
        <v>17.32</v>
      </c>
      <c r="H993">
        <v>51.96</v>
      </c>
      <c r="I993" t="str">
        <f t="shared" si="105"/>
        <v>Medium</v>
      </c>
      <c r="J993">
        <v>5.2</v>
      </c>
      <c r="K993">
        <f t="shared" si="110"/>
        <v>46.76</v>
      </c>
      <c r="L993" t="str">
        <f t="shared" si="111"/>
        <v>September</v>
      </c>
      <c r="M993">
        <f>YEAR(C993)</f>
        <v>2023</v>
      </c>
      <c r="N993">
        <v>216</v>
      </c>
      <c r="O993" t="str">
        <f>IF(N993&gt;=200,"Platinum",IF(N993&gt;=100,"Gold",IF(N993&gt;=50,"Silver","Regular")))</f>
        <v>Platinum</v>
      </c>
      <c r="P993" s="4" t="str">
        <f t="shared" si="106"/>
        <v>Thursday</v>
      </c>
      <c r="Q993" s="4" t="str">
        <f t="shared" si="107"/>
        <v>Medium Order</v>
      </c>
      <c r="R993" s="4" t="str">
        <f t="shared" si="108"/>
        <v>Weekday</v>
      </c>
      <c r="S993" s="4" t="str">
        <f t="shared" si="109"/>
        <v>Regular</v>
      </c>
    </row>
    <row r="994" spans="1:19" x14ac:dyDescent="0.3">
      <c r="A994">
        <v>3506</v>
      </c>
      <c r="B994" t="s">
        <v>19</v>
      </c>
      <c r="C994" s="1">
        <v>45483</v>
      </c>
      <c r="D994" t="s">
        <v>27</v>
      </c>
      <c r="E994" t="s">
        <v>32</v>
      </c>
      <c r="F994">
        <v>3</v>
      </c>
      <c r="G994">
        <v>21.65</v>
      </c>
      <c r="H994">
        <v>64.95</v>
      </c>
      <c r="I994" t="str">
        <f t="shared" si="105"/>
        <v>Medium</v>
      </c>
      <c r="J994">
        <v>6.5</v>
      </c>
      <c r="K994">
        <f t="shared" si="110"/>
        <v>58.45</v>
      </c>
      <c r="L994" t="str">
        <f t="shared" si="111"/>
        <v>July</v>
      </c>
      <c r="M994">
        <f>YEAR(C994)</f>
        <v>2024</v>
      </c>
      <c r="N994">
        <v>295</v>
      </c>
      <c r="O994" t="str">
        <f>IF(N994&gt;=200,"Platinum",IF(N994&gt;=100,"Gold",IF(N994&gt;=50,"Silver","Regular")))</f>
        <v>Platinum</v>
      </c>
      <c r="P994" s="4" t="str">
        <f t="shared" si="106"/>
        <v>Wednesday</v>
      </c>
      <c r="Q994" s="4" t="str">
        <f t="shared" si="107"/>
        <v>Medium Order</v>
      </c>
      <c r="R994" s="4" t="str">
        <f t="shared" si="108"/>
        <v>Weekday</v>
      </c>
      <c r="S994" s="4" t="str">
        <f t="shared" si="109"/>
        <v>Regular</v>
      </c>
    </row>
    <row r="995" spans="1:19" x14ac:dyDescent="0.3">
      <c r="A995">
        <v>8541</v>
      </c>
      <c r="B995" t="s">
        <v>19</v>
      </c>
      <c r="C995" s="1">
        <v>45416</v>
      </c>
      <c r="D995" t="s">
        <v>16</v>
      </c>
      <c r="E995" t="s">
        <v>33</v>
      </c>
      <c r="F995">
        <v>5</v>
      </c>
      <c r="G995">
        <v>13.07</v>
      </c>
      <c r="H995">
        <v>65.349999999999994</v>
      </c>
      <c r="I995" t="str">
        <f t="shared" si="105"/>
        <v>Medium</v>
      </c>
      <c r="J995">
        <v>6.54</v>
      </c>
      <c r="K995">
        <f t="shared" si="110"/>
        <v>58.809999999999995</v>
      </c>
      <c r="L995" t="str">
        <f t="shared" si="111"/>
        <v>May</v>
      </c>
      <c r="M995">
        <f>YEAR(C995)</f>
        <v>2024</v>
      </c>
      <c r="N995">
        <v>327</v>
      </c>
      <c r="O995" t="str">
        <f>IF(N995&gt;=200,"Platinum",IF(N995&gt;=100,"Gold",IF(N995&gt;=50,"Silver","Regular")))</f>
        <v>Platinum</v>
      </c>
      <c r="P995" s="4" t="str">
        <f t="shared" si="106"/>
        <v>Saturday</v>
      </c>
      <c r="Q995" s="4" t="str">
        <f t="shared" si="107"/>
        <v>Medium Order</v>
      </c>
      <c r="R995" s="4" t="str">
        <f t="shared" si="108"/>
        <v>Weekend</v>
      </c>
      <c r="S995" s="4" t="str">
        <f t="shared" si="109"/>
        <v>Regular</v>
      </c>
    </row>
    <row r="996" spans="1:19" x14ac:dyDescent="0.3">
      <c r="A996">
        <v>9348</v>
      </c>
      <c r="B996" t="s">
        <v>13</v>
      </c>
      <c r="C996" s="1">
        <v>45528</v>
      </c>
      <c r="D996" t="s">
        <v>6</v>
      </c>
      <c r="E996" t="s">
        <v>30</v>
      </c>
      <c r="F996">
        <v>1</v>
      </c>
      <c r="G996">
        <v>26.88</v>
      </c>
      <c r="H996">
        <v>26.88</v>
      </c>
      <c r="I996" t="str">
        <f t="shared" si="105"/>
        <v>Low</v>
      </c>
      <c r="J996">
        <v>2.69</v>
      </c>
      <c r="K996">
        <f t="shared" si="110"/>
        <v>24.189999999999998</v>
      </c>
      <c r="L996" t="str">
        <f t="shared" si="111"/>
        <v>August</v>
      </c>
      <c r="M996">
        <f>YEAR(C996)</f>
        <v>2024</v>
      </c>
      <c r="N996">
        <v>440</v>
      </c>
      <c r="O996" t="str">
        <f>IF(N996&gt;=200,"Platinum",IF(N996&gt;=100,"Gold",IF(N996&gt;=50,"Silver","Regular")))</f>
        <v>Platinum</v>
      </c>
      <c r="P996" s="4" t="str">
        <f t="shared" si="106"/>
        <v>Saturday</v>
      </c>
      <c r="Q996" s="4" t="str">
        <f t="shared" si="107"/>
        <v>Small Order</v>
      </c>
      <c r="R996" s="4" t="str">
        <f t="shared" si="108"/>
        <v>Weekend</v>
      </c>
      <c r="S996" s="4" t="str">
        <f t="shared" si="109"/>
        <v>Regular</v>
      </c>
    </row>
    <row r="997" spans="1:19" x14ac:dyDescent="0.3">
      <c r="A997">
        <v>4683</v>
      </c>
      <c r="B997" t="s">
        <v>15</v>
      </c>
      <c r="C997" s="1">
        <v>45648</v>
      </c>
      <c r="D997" t="s">
        <v>4</v>
      </c>
      <c r="E997" t="s">
        <v>30</v>
      </c>
      <c r="F997">
        <v>5</v>
      </c>
      <c r="G997">
        <v>13.57</v>
      </c>
      <c r="H997">
        <v>67.849999999999994</v>
      </c>
      <c r="I997" t="str">
        <f t="shared" si="105"/>
        <v>Medium</v>
      </c>
      <c r="J997">
        <v>6.79</v>
      </c>
      <c r="K997">
        <f t="shared" si="110"/>
        <v>61.059999999999995</v>
      </c>
      <c r="L997" t="str">
        <f t="shared" si="111"/>
        <v>December</v>
      </c>
      <c r="M997">
        <f>YEAR(C997)</f>
        <v>2024</v>
      </c>
      <c r="N997">
        <v>219</v>
      </c>
      <c r="O997" t="str">
        <f>IF(N997&gt;=200,"Platinum",IF(N997&gt;=100,"Gold",IF(N997&gt;=50,"Silver","Regular")))</f>
        <v>Platinum</v>
      </c>
      <c r="P997" s="4" t="str">
        <f t="shared" si="106"/>
        <v>Sunday</v>
      </c>
      <c r="Q997" s="4" t="str">
        <f t="shared" si="107"/>
        <v>Medium Order</v>
      </c>
      <c r="R997" s="4" t="str">
        <f t="shared" si="108"/>
        <v>Weekend</v>
      </c>
      <c r="S997" s="4" t="str">
        <f t="shared" si="109"/>
        <v>Regular</v>
      </c>
    </row>
    <row r="998" spans="1:19" x14ac:dyDescent="0.3">
      <c r="A998">
        <v>7932</v>
      </c>
      <c r="B998" t="s">
        <v>19</v>
      </c>
      <c r="C998" s="1">
        <v>45309</v>
      </c>
      <c r="D998" t="s">
        <v>34</v>
      </c>
      <c r="E998" t="s">
        <v>32</v>
      </c>
      <c r="F998">
        <v>2</v>
      </c>
      <c r="G998">
        <v>27.78</v>
      </c>
      <c r="H998">
        <v>55.56</v>
      </c>
      <c r="I998" t="str">
        <f t="shared" si="105"/>
        <v>Medium</v>
      </c>
      <c r="J998">
        <v>5.56</v>
      </c>
      <c r="K998">
        <f t="shared" si="110"/>
        <v>50</v>
      </c>
      <c r="L998" t="str">
        <f t="shared" si="111"/>
        <v>January</v>
      </c>
      <c r="M998">
        <f>YEAR(C998)</f>
        <v>2024</v>
      </c>
      <c r="N998">
        <v>403</v>
      </c>
      <c r="O998" t="str">
        <f>IF(N998&gt;=200,"Platinum",IF(N998&gt;=100,"Gold",IF(N998&gt;=50,"Silver","Regular")))</f>
        <v>Platinum</v>
      </c>
      <c r="P998" s="4" t="str">
        <f t="shared" si="106"/>
        <v>Thursday</v>
      </c>
      <c r="Q998" s="4" t="str">
        <f t="shared" si="107"/>
        <v>Small Order</v>
      </c>
      <c r="R998" s="4" t="str">
        <f t="shared" si="108"/>
        <v>Weekday</v>
      </c>
      <c r="S998" s="4" t="str">
        <f t="shared" si="109"/>
        <v>Regular</v>
      </c>
    </row>
    <row r="999" spans="1:19" x14ac:dyDescent="0.3">
      <c r="A999">
        <v>5333</v>
      </c>
      <c r="B999" t="s">
        <v>3</v>
      </c>
      <c r="C999" s="1">
        <v>45710</v>
      </c>
      <c r="D999" t="s">
        <v>23</v>
      </c>
      <c r="E999" t="s">
        <v>2</v>
      </c>
      <c r="F999">
        <v>4</v>
      </c>
      <c r="G999">
        <v>14.44</v>
      </c>
      <c r="H999">
        <v>57.76</v>
      </c>
      <c r="I999" t="str">
        <f t="shared" si="105"/>
        <v>Medium</v>
      </c>
      <c r="J999">
        <v>5.78</v>
      </c>
      <c r="K999">
        <f t="shared" si="110"/>
        <v>51.98</v>
      </c>
      <c r="L999" t="str">
        <f t="shared" si="111"/>
        <v>February</v>
      </c>
      <c r="M999">
        <f>YEAR(C999)</f>
        <v>2025</v>
      </c>
      <c r="N999">
        <v>232</v>
      </c>
      <c r="O999" t="str">
        <f>IF(N999&gt;=200,"Platinum",IF(N999&gt;=100,"Gold",IF(N999&gt;=50,"Silver","Regular")))</f>
        <v>Platinum</v>
      </c>
      <c r="P999" s="4" t="str">
        <f t="shared" si="106"/>
        <v>Saturday</v>
      </c>
      <c r="Q999" s="4" t="str">
        <f t="shared" si="107"/>
        <v>Medium Order</v>
      </c>
      <c r="R999" s="4" t="str">
        <f t="shared" si="108"/>
        <v>Weekend</v>
      </c>
      <c r="S999" s="4" t="str">
        <f t="shared" si="109"/>
        <v>Regular</v>
      </c>
    </row>
    <row r="1000" spans="1:19" x14ac:dyDescent="0.3">
      <c r="A1000">
        <v>1201</v>
      </c>
      <c r="B1000" t="s">
        <v>15</v>
      </c>
      <c r="C1000" s="1">
        <v>45334</v>
      </c>
      <c r="D1000" t="s">
        <v>34</v>
      </c>
      <c r="E1000" t="s">
        <v>10</v>
      </c>
      <c r="F1000">
        <v>4</v>
      </c>
      <c r="G1000">
        <v>14.44</v>
      </c>
      <c r="H1000">
        <v>57.76</v>
      </c>
      <c r="I1000" t="str">
        <f t="shared" si="105"/>
        <v>Medium</v>
      </c>
      <c r="J1000">
        <v>5.78</v>
      </c>
      <c r="K1000">
        <f t="shared" si="110"/>
        <v>51.98</v>
      </c>
      <c r="L1000" t="str">
        <f t="shared" si="111"/>
        <v>February</v>
      </c>
      <c r="M1000">
        <f>YEAR(C1000)</f>
        <v>2024</v>
      </c>
      <c r="N1000">
        <v>460</v>
      </c>
      <c r="O1000" t="str">
        <f>IF(N1000&gt;=200,"Platinum",IF(N1000&gt;=100,"Gold",IF(N1000&gt;=50,"Silver","Regular")))</f>
        <v>Platinum</v>
      </c>
      <c r="P1000" s="4" t="str">
        <f t="shared" si="106"/>
        <v>Monday</v>
      </c>
      <c r="Q1000" s="4" t="str">
        <f t="shared" si="107"/>
        <v>Medium Order</v>
      </c>
      <c r="R1000" s="4" t="str">
        <f t="shared" si="108"/>
        <v>Weekday</v>
      </c>
      <c r="S1000" s="4" t="str">
        <f t="shared" si="109"/>
        <v>Regular</v>
      </c>
    </row>
    <row r="1001" spans="1:19" x14ac:dyDescent="0.3">
      <c r="A1001">
        <v>4977</v>
      </c>
      <c r="B1001" t="s">
        <v>19</v>
      </c>
      <c r="C1001" s="1">
        <v>45589</v>
      </c>
      <c r="D1001" t="s">
        <v>9</v>
      </c>
      <c r="E1001" t="s">
        <v>32</v>
      </c>
      <c r="F1001">
        <v>2</v>
      </c>
      <c r="G1001">
        <v>29.03</v>
      </c>
      <c r="H1001">
        <v>58.06</v>
      </c>
      <c r="I1001" t="str">
        <f t="shared" si="105"/>
        <v>Medium</v>
      </c>
      <c r="J1001">
        <v>5.81</v>
      </c>
      <c r="K1001">
        <f t="shared" si="110"/>
        <v>52.25</v>
      </c>
      <c r="L1001" t="str">
        <f t="shared" si="111"/>
        <v>October</v>
      </c>
      <c r="M1001">
        <f>YEAR(C1001)</f>
        <v>2024</v>
      </c>
      <c r="N1001">
        <v>287</v>
      </c>
      <c r="O1001" t="str">
        <f>IF(N1001&gt;=200,"Platinum",IF(N1001&gt;=100,"Gold",IF(N1001&gt;=50,"Silver","Regular")))</f>
        <v>Platinum</v>
      </c>
      <c r="P1001" s="4" t="str">
        <f t="shared" si="106"/>
        <v>Thursday</v>
      </c>
      <c r="Q1001" s="4" t="str">
        <f t="shared" si="107"/>
        <v>Small Order</v>
      </c>
      <c r="R1001" s="4" t="str">
        <f t="shared" si="108"/>
        <v>Weekday</v>
      </c>
      <c r="S1001" s="4" t="str">
        <f t="shared" si="109"/>
        <v>Regular</v>
      </c>
    </row>
    <row r="1002" spans="1:19" x14ac:dyDescent="0.3">
      <c r="A1002">
        <v>3399</v>
      </c>
      <c r="B1002" t="s">
        <v>13</v>
      </c>
      <c r="C1002" s="1">
        <v>45370</v>
      </c>
      <c r="D1002" t="s">
        <v>27</v>
      </c>
      <c r="E1002" t="s">
        <v>14</v>
      </c>
      <c r="F1002">
        <v>3</v>
      </c>
      <c r="G1002">
        <v>19.420000000000002</v>
      </c>
      <c r="H1002">
        <v>58.26</v>
      </c>
      <c r="I1002" t="str">
        <f t="shared" si="105"/>
        <v>Medium</v>
      </c>
      <c r="J1002">
        <v>5.83</v>
      </c>
      <c r="K1002">
        <f t="shared" si="110"/>
        <v>52.43</v>
      </c>
      <c r="L1002" t="str">
        <f t="shared" si="111"/>
        <v>March</v>
      </c>
      <c r="M1002">
        <f>YEAR(C1002)</f>
        <v>2024</v>
      </c>
      <c r="N1002">
        <v>44</v>
      </c>
      <c r="O1002" t="str">
        <f>IF(N1002&gt;=200,"Platinum",IF(N1002&gt;=100,"Gold",IF(N1002&gt;=50,"Silver","Regular")))</f>
        <v>Regular</v>
      </c>
      <c r="P1002" s="4" t="str">
        <f t="shared" si="106"/>
        <v>Tuesday</v>
      </c>
      <c r="Q1002" s="4" t="str">
        <f t="shared" si="107"/>
        <v>Medium Order</v>
      </c>
      <c r="R1002" s="4" t="str">
        <f t="shared" si="108"/>
        <v>Weekday</v>
      </c>
      <c r="S1002" s="4" t="str">
        <f t="shared" si="109"/>
        <v>Regular</v>
      </c>
    </row>
    <row r="1003" spans="1:19" x14ac:dyDescent="0.3">
      <c r="A1003">
        <v>5906</v>
      </c>
      <c r="B1003" t="s">
        <v>20</v>
      </c>
      <c r="C1003" s="1">
        <v>45846</v>
      </c>
      <c r="D1003" t="s">
        <v>11</v>
      </c>
      <c r="E1003" t="s">
        <v>14</v>
      </c>
      <c r="F1003">
        <v>1</v>
      </c>
      <c r="G1003">
        <v>29.28</v>
      </c>
      <c r="H1003">
        <v>29.28</v>
      </c>
      <c r="I1003" t="str">
        <f t="shared" si="105"/>
        <v>Low</v>
      </c>
      <c r="J1003">
        <v>2.93</v>
      </c>
      <c r="K1003">
        <f t="shared" si="110"/>
        <v>26.35</v>
      </c>
      <c r="L1003" t="str">
        <f t="shared" si="111"/>
        <v>July</v>
      </c>
      <c r="M1003">
        <f>YEAR(C1003)</f>
        <v>2025</v>
      </c>
      <c r="N1003">
        <v>44</v>
      </c>
      <c r="O1003" t="str">
        <f>IF(N1003&gt;=200,"Platinum",IF(N1003&gt;=100,"Gold",IF(N1003&gt;=50,"Silver","Regular")))</f>
        <v>Regular</v>
      </c>
      <c r="P1003" s="4" t="str">
        <f t="shared" si="106"/>
        <v>Tuesday</v>
      </c>
      <c r="Q1003" s="4" t="str">
        <f t="shared" si="107"/>
        <v>Small Order</v>
      </c>
      <c r="R1003" s="4" t="str">
        <f t="shared" si="108"/>
        <v>Weekday</v>
      </c>
      <c r="S1003" s="4" t="str">
        <f t="shared" si="109"/>
        <v>Regular</v>
      </c>
    </row>
    <row r="1004" spans="1:19" x14ac:dyDescent="0.3">
      <c r="A1004">
        <v>4711</v>
      </c>
      <c r="B1004" t="s">
        <v>19</v>
      </c>
      <c r="C1004" s="1">
        <v>45251</v>
      </c>
      <c r="D1004" t="s">
        <v>16</v>
      </c>
      <c r="E1004" t="s">
        <v>21</v>
      </c>
      <c r="F1004">
        <v>3</v>
      </c>
      <c r="G1004">
        <v>14.79</v>
      </c>
      <c r="H1004">
        <v>44.37</v>
      </c>
      <c r="I1004" t="str">
        <f t="shared" si="105"/>
        <v>Low</v>
      </c>
      <c r="J1004">
        <v>4.4400000000000004</v>
      </c>
      <c r="K1004">
        <f t="shared" si="110"/>
        <v>39.93</v>
      </c>
      <c r="L1004" t="str">
        <f t="shared" si="111"/>
        <v>November</v>
      </c>
      <c r="M1004">
        <f>YEAR(C1004)</f>
        <v>2023</v>
      </c>
      <c r="N1004">
        <v>308</v>
      </c>
      <c r="O1004" t="str">
        <f>IF(N1004&gt;=200,"Platinum",IF(N1004&gt;=100,"Gold",IF(N1004&gt;=50,"Silver","Regular")))</f>
        <v>Platinum</v>
      </c>
      <c r="P1004" s="4" t="str">
        <f t="shared" si="106"/>
        <v>Tuesday</v>
      </c>
      <c r="Q1004" s="4" t="str">
        <f t="shared" si="107"/>
        <v>Medium Order</v>
      </c>
      <c r="R1004" s="4" t="str">
        <f t="shared" si="108"/>
        <v>Weekday</v>
      </c>
      <c r="S1004" s="4" t="str">
        <f t="shared" si="109"/>
        <v>Regular</v>
      </c>
    </row>
    <row r="1005" spans="1:19" x14ac:dyDescent="0.3">
      <c r="A1005">
        <v>8682</v>
      </c>
      <c r="B1005" t="s">
        <v>13</v>
      </c>
      <c r="C1005" s="1">
        <v>45488</v>
      </c>
      <c r="D1005" t="s">
        <v>17</v>
      </c>
      <c r="E1005" t="s">
        <v>10</v>
      </c>
      <c r="F1005">
        <v>3</v>
      </c>
      <c r="G1005">
        <v>15.09</v>
      </c>
      <c r="H1005">
        <v>45.27</v>
      </c>
      <c r="I1005" t="str">
        <f t="shared" si="105"/>
        <v>Low</v>
      </c>
      <c r="J1005">
        <v>4.53</v>
      </c>
      <c r="K1005">
        <f t="shared" si="110"/>
        <v>40.74</v>
      </c>
      <c r="L1005" t="str">
        <f t="shared" si="111"/>
        <v>July</v>
      </c>
      <c r="M1005">
        <f>YEAR(C1005)</f>
        <v>2024</v>
      </c>
      <c r="N1005">
        <v>340</v>
      </c>
      <c r="O1005" t="str">
        <f>IF(N1005&gt;=200,"Platinum",IF(N1005&gt;=100,"Gold",IF(N1005&gt;=50,"Silver","Regular")))</f>
        <v>Platinum</v>
      </c>
      <c r="P1005" s="4" t="str">
        <f t="shared" si="106"/>
        <v>Monday</v>
      </c>
      <c r="Q1005" s="4" t="str">
        <f t="shared" si="107"/>
        <v>Medium Order</v>
      </c>
      <c r="R1005" s="4" t="str">
        <f t="shared" si="108"/>
        <v>Weekday</v>
      </c>
      <c r="S1005" s="4" t="str">
        <f t="shared" si="109"/>
        <v>Regular</v>
      </c>
    </row>
    <row r="1006" spans="1:19" x14ac:dyDescent="0.3">
      <c r="A1006">
        <v>6107</v>
      </c>
      <c r="B1006" t="s">
        <v>13</v>
      </c>
      <c r="C1006" s="1">
        <v>45454</v>
      </c>
      <c r="D1006" t="s">
        <v>24</v>
      </c>
      <c r="E1006" t="s">
        <v>35</v>
      </c>
      <c r="F1006">
        <v>5</v>
      </c>
      <c r="G1006">
        <v>15.31</v>
      </c>
      <c r="H1006">
        <v>76.55</v>
      </c>
      <c r="I1006" t="str">
        <f t="shared" si="105"/>
        <v>Medium</v>
      </c>
      <c r="J1006">
        <v>7.66</v>
      </c>
      <c r="K1006">
        <f t="shared" si="110"/>
        <v>68.89</v>
      </c>
      <c r="L1006" t="str">
        <f t="shared" si="111"/>
        <v>June</v>
      </c>
      <c r="M1006">
        <f>YEAR(C1006)</f>
        <v>2024</v>
      </c>
      <c r="N1006">
        <v>41</v>
      </c>
      <c r="O1006" t="str">
        <f>IF(N1006&gt;=200,"Platinum",IF(N1006&gt;=100,"Gold",IF(N1006&gt;=50,"Silver","Regular")))</f>
        <v>Regular</v>
      </c>
      <c r="P1006" s="4" t="str">
        <f t="shared" si="106"/>
        <v>Tuesday</v>
      </c>
      <c r="Q1006" s="4" t="str">
        <f t="shared" si="107"/>
        <v>Medium Order</v>
      </c>
      <c r="R1006" s="4" t="str">
        <f t="shared" si="108"/>
        <v>Weekday</v>
      </c>
      <c r="S1006" s="4" t="str">
        <f t="shared" si="109"/>
        <v>Regular</v>
      </c>
    </row>
    <row r="1007" spans="1:19" x14ac:dyDescent="0.3">
      <c r="A1007">
        <v>2983</v>
      </c>
      <c r="B1007" t="s">
        <v>49</v>
      </c>
      <c r="C1007" s="1">
        <v>45763</v>
      </c>
      <c r="D1007" t="s">
        <v>24</v>
      </c>
      <c r="E1007" t="s">
        <v>29</v>
      </c>
      <c r="F1007">
        <v>2</v>
      </c>
      <c r="G1007">
        <v>15.34</v>
      </c>
      <c r="H1007">
        <v>30.68</v>
      </c>
      <c r="I1007" t="str">
        <f t="shared" si="105"/>
        <v>Low</v>
      </c>
      <c r="J1007">
        <v>3.07</v>
      </c>
      <c r="K1007">
        <f t="shared" si="110"/>
        <v>27.61</v>
      </c>
      <c r="L1007" t="str">
        <f t="shared" si="111"/>
        <v>April</v>
      </c>
      <c r="M1007">
        <f>YEAR(C1007)</f>
        <v>2025</v>
      </c>
      <c r="N1007">
        <v>57</v>
      </c>
      <c r="O1007" t="str">
        <f>IF(N1007&gt;=200,"Platinum",IF(N1007&gt;=100,"Gold",IF(N1007&gt;=50,"Silver","Regular")))</f>
        <v>Silver</v>
      </c>
      <c r="P1007" s="4" t="str">
        <f t="shared" si="106"/>
        <v>Wednesday</v>
      </c>
      <c r="Q1007" s="4" t="str">
        <f t="shared" si="107"/>
        <v>Small Order</v>
      </c>
      <c r="R1007" s="4" t="str">
        <f t="shared" si="108"/>
        <v>Weekday</v>
      </c>
      <c r="S1007" s="4" t="str">
        <f t="shared" si="109"/>
        <v>Regular</v>
      </c>
    </row>
    <row r="1008" spans="1:19" x14ac:dyDescent="0.3">
      <c r="A1008">
        <v>8700</v>
      </c>
      <c r="B1008" t="s">
        <v>31</v>
      </c>
      <c r="C1008" s="1">
        <v>45415</v>
      </c>
      <c r="D1008" t="s">
        <v>11</v>
      </c>
      <c r="E1008" t="s">
        <v>2</v>
      </c>
      <c r="F1008">
        <v>1</v>
      </c>
      <c r="G1008">
        <v>15.69</v>
      </c>
      <c r="H1008">
        <v>15.69</v>
      </c>
      <c r="I1008" t="str">
        <f t="shared" si="105"/>
        <v>Low</v>
      </c>
      <c r="J1008">
        <v>1.57</v>
      </c>
      <c r="K1008">
        <f t="shared" si="110"/>
        <v>14.12</v>
      </c>
      <c r="L1008" t="str">
        <f t="shared" si="111"/>
        <v>May</v>
      </c>
      <c r="M1008">
        <f>YEAR(C1008)</f>
        <v>2024</v>
      </c>
      <c r="N1008">
        <v>281</v>
      </c>
      <c r="O1008" t="str">
        <f>IF(N1008&gt;=200,"Platinum",IF(N1008&gt;=100,"Gold",IF(N1008&gt;=50,"Silver","Regular")))</f>
        <v>Platinum</v>
      </c>
      <c r="P1008" s="4" t="str">
        <f t="shared" si="106"/>
        <v>Friday</v>
      </c>
      <c r="Q1008" s="4" t="str">
        <f t="shared" si="107"/>
        <v>Small Order</v>
      </c>
      <c r="R1008" s="4" t="str">
        <f t="shared" si="108"/>
        <v>Weekday</v>
      </c>
      <c r="S1008" s="4" t="str">
        <f t="shared" si="109"/>
        <v>Regular</v>
      </c>
    </row>
    <row r="1009" spans="1:19" x14ac:dyDescent="0.3">
      <c r="A1009">
        <v>1732</v>
      </c>
      <c r="B1009" t="s">
        <v>13</v>
      </c>
      <c r="C1009" s="1">
        <v>45774</v>
      </c>
      <c r="D1009" t="s">
        <v>1</v>
      </c>
      <c r="E1009" t="s">
        <v>18</v>
      </c>
      <c r="F1009">
        <v>3</v>
      </c>
      <c r="G1009">
        <v>21.92</v>
      </c>
      <c r="H1009">
        <v>65.760000000000005</v>
      </c>
      <c r="I1009" t="str">
        <f t="shared" si="105"/>
        <v>Medium</v>
      </c>
      <c r="J1009">
        <v>6.58</v>
      </c>
      <c r="K1009">
        <f t="shared" si="110"/>
        <v>59.180000000000007</v>
      </c>
      <c r="L1009" t="str">
        <f t="shared" si="111"/>
        <v>April</v>
      </c>
      <c r="M1009">
        <f>YEAR(C1009)</f>
        <v>2025</v>
      </c>
      <c r="N1009">
        <v>380</v>
      </c>
      <c r="O1009" t="str">
        <f>IF(N1009&gt;=200,"Platinum",IF(N1009&gt;=100,"Gold",IF(N1009&gt;=50,"Silver","Regular")))</f>
        <v>Platinum</v>
      </c>
      <c r="P1009" s="4" t="str">
        <f t="shared" si="106"/>
        <v>Sunday</v>
      </c>
      <c r="Q1009" s="4" t="str">
        <f t="shared" si="107"/>
        <v>Medium Order</v>
      </c>
      <c r="R1009" s="4" t="str">
        <f t="shared" si="108"/>
        <v>Weekend</v>
      </c>
      <c r="S1009" s="4" t="str">
        <f t="shared" si="109"/>
        <v>Regular</v>
      </c>
    </row>
    <row r="1010" spans="1:19" x14ac:dyDescent="0.3">
      <c r="A1010">
        <v>2996</v>
      </c>
      <c r="B1010" t="s">
        <v>13</v>
      </c>
      <c r="C1010" s="1">
        <v>45590</v>
      </c>
      <c r="D1010" t="s">
        <v>23</v>
      </c>
      <c r="E1010" t="s">
        <v>12</v>
      </c>
      <c r="F1010">
        <v>5</v>
      </c>
      <c r="G1010">
        <v>16.989999999999998</v>
      </c>
      <c r="H1010">
        <v>84.95</v>
      </c>
      <c r="I1010" t="str">
        <f t="shared" si="105"/>
        <v>Medium</v>
      </c>
      <c r="J1010">
        <v>8.5</v>
      </c>
      <c r="K1010">
        <f t="shared" si="110"/>
        <v>76.45</v>
      </c>
      <c r="L1010" t="str">
        <f t="shared" si="111"/>
        <v>October</v>
      </c>
      <c r="M1010">
        <f>YEAR(C1010)</f>
        <v>2024</v>
      </c>
      <c r="N1010">
        <v>451</v>
      </c>
      <c r="O1010" t="str">
        <f>IF(N1010&gt;=200,"Platinum",IF(N1010&gt;=100,"Gold",IF(N1010&gt;=50,"Silver","Regular")))</f>
        <v>Platinum</v>
      </c>
      <c r="P1010" s="4" t="str">
        <f t="shared" si="106"/>
        <v>Friday</v>
      </c>
      <c r="Q1010" s="4" t="str">
        <f t="shared" si="107"/>
        <v>Medium Order</v>
      </c>
      <c r="R1010" s="4" t="str">
        <f t="shared" si="108"/>
        <v>Weekday</v>
      </c>
      <c r="S1010" s="4" t="str">
        <f t="shared" si="109"/>
        <v>Regular</v>
      </c>
    </row>
    <row r="1011" spans="1:19" x14ac:dyDescent="0.3">
      <c r="A1011">
        <v>7730</v>
      </c>
      <c r="B1011" t="s">
        <v>15</v>
      </c>
      <c r="C1011" s="1">
        <v>45742</v>
      </c>
      <c r="D1011" t="s">
        <v>34</v>
      </c>
      <c r="E1011" t="s">
        <v>10</v>
      </c>
      <c r="F1011">
        <v>5</v>
      </c>
      <c r="G1011">
        <v>17.41</v>
      </c>
      <c r="H1011">
        <v>87.05</v>
      </c>
      <c r="I1011" t="str">
        <f t="shared" si="105"/>
        <v>Medium</v>
      </c>
      <c r="J1011">
        <v>8.7100000000000009</v>
      </c>
      <c r="K1011">
        <f t="shared" si="110"/>
        <v>78.34</v>
      </c>
      <c r="L1011" t="str">
        <f t="shared" si="111"/>
        <v>March</v>
      </c>
      <c r="M1011">
        <f>YEAR(C1011)</f>
        <v>2025</v>
      </c>
      <c r="N1011">
        <v>171</v>
      </c>
      <c r="O1011" t="str">
        <f>IF(N1011&gt;=200,"Platinum",IF(N1011&gt;=100,"Gold",IF(N1011&gt;=50,"Silver","Regular")))</f>
        <v>Gold</v>
      </c>
      <c r="P1011" s="4" t="str">
        <f t="shared" si="106"/>
        <v>Wednesday</v>
      </c>
      <c r="Q1011" s="4" t="str">
        <f t="shared" si="107"/>
        <v>Medium Order</v>
      </c>
      <c r="R1011" s="4" t="str">
        <f t="shared" si="108"/>
        <v>Weekday</v>
      </c>
      <c r="S1011" s="4" t="str">
        <f t="shared" si="109"/>
        <v>Regular</v>
      </c>
    </row>
    <row r="1012" spans="1:19" x14ac:dyDescent="0.3">
      <c r="A1012">
        <v>5315</v>
      </c>
      <c r="B1012" t="s">
        <v>19</v>
      </c>
      <c r="C1012" s="1">
        <v>45533</v>
      </c>
      <c r="D1012" t="s">
        <v>4</v>
      </c>
      <c r="E1012" t="s">
        <v>28</v>
      </c>
      <c r="F1012">
        <v>3</v>
      </c>
      <c r="G1012">
        <v>17.690000000000001</v>
      </c>
      <c r="H1012">
        <v>53.07</v>
      </c>
      <c r="I1012" t="str">
        <f t="shared" si="105"/>
        <v>Medium</v>
      </c>
      <c r="J1012">
        <v>5.31</v>
      </c>
      <c r="K1012">
        <f t="shared" si="110"/>
        <v>47.76</v>
      </c>
      <c r="L1012" t="str">
        <f t="shared" si="111"/>
        <v>August</v>
      </c>
      <c r="M1012">
        <f>YEAR(C1012)</f>
        <v>2024</v>
      </c>
      <c r="N1012">
        <v>464</v>
      </c>
      <c r="O1012" t="str">
        <f>IF(N1012&gt;=200,"Platinum",IF(N1012&gt;=100,"Gold",IF(N1012&gt;=50,"Silver","Regular")))</f>
        <v>Platinum</v>
      </c>
      <c r="P1012" s="4" t="str">
        <f t="shared" si="106"/>
        <v>Thursday</v>
      </c>
      <c r="Q1012" s="4" t="str">
        <f t="shared" si="107"/>
        <v>Medium Order</v>
      </c>
      <c r="R1012" s="4" t="str">
        <f t="shared" si="108"/>
        <v>Weekday</v>
      </c>
      <c r="S1012" s="4" t="str">
        <f t="shared" si="109"/>
        <v>Regular</v>
      </c>
    </row>
    <row r="1013" spans="1:19" x14ac:dyDescent="0.3">
      <c r="A1013">
        <v>4595</v>
      </c>
      <c r="B1013" t="s">
        <v>31</v>
      </c>
      <c r="C1013" s="1">
        <v>45356</v>
      </c>
      <c r="D1013" t="s">
        <v>27</v>
      </c>
      <c r="E1013" t="s">
        <v>35</v>
      </c>
      <c r="F1013">
        <v>5</v>
      </c>
      <c r="G1013">
        <v>17.829999999999998</v>
      </c>
      <c r="H1013">
        <v>89.15</v>
      </c>
      <c r="I1013" t="str">
        <f t="shared" si="105"/>
        <v>Medium</v>
      </c>
      <c r="J1013">
        <v>8.92</v>
      </c>
      <c r="K1013">
        <f t="shared" si="110"/>
        <v>80.23</v>
      </c>
      <c r="L1013" t="str">
        <f t="shared" si="111"/>
        <v>March</v>
      </c>
      <c r="M1013">
        <f>YEAR(C1013)</f>
        <v>2024</v>
      </c>
      <c r="N1013">
        <v>294</v>
      </c>
      <c r="O1013" t="str">
        <f>IF(N1013&gt;=200,"Platinum",IF(N1013&gt;=100,"Gold",IF(N1013&gt;=50,"Silver","Regular")))</f>
        <v>Platinum</v>
      </c>
      <c r="P1013" s="4" t="str">
        <f t="shared" si="106"/>
        <v>Tuesday</v>
      </c>
      <c r="Q1013" s="4" t="str">
        <f t="shared" si="107"/>
        <v>Medium Order</v>
      </c>
      <c r="R1013" s="4" t="str">
        <f t="shared" si="108"/>
        <v>Weekday</v>
      </c>
      <c r="S1013" s="4" t="str">
        <f t="shared" si="109"/>
        <v>Regular</v>
      </c>
    </row>
    <row r="1014" spans="1:19" x14ac:dyDescent="0.3">
      <c r="A1014">
        <v>6697</v>
      </c>
      <c r="B1014" t="s">
        <v>3</v>
      </c>
      <c r="C1014" s="1">
        <v>45237</v>
      </c>
      <c r="D1014" t="s">
        <v>4</v>
      </c>
      <c r="E1014" t="s">
        <v>22</v>
      </c>
      <c r="F1014">
        <v>5</v>
      </c>
      <c r="G1014">
        <v>17.850000000000001</v>
      </c>
      <c r="H1014">
        <v>89.25</v>
      </c>
      <c r="I1014" t="str">
        <f t="shared" si="105"/>
        <v>Medium</v>
      </c>
      <c r="J1014">
        <v>8.93</v>
      </c>
      <c r="K1014">
        <f t="shared" si="110"/>
        <v>80.319999999999993</v>
      </c>
      <c r="L1014" t="str">
        <f t="shared" si="111"/>
        <v>November</v>
      </c>
      <c r="M1014">
        <f>YEAR(C1014)</f>
        <v>2023</v>
      </c>
      <c r="N1014">
        <v>16</v>
      </c>
      <c r="O1014" t="str">
        <f>IF(N1014&gt;=200,"Platinum",IF(N1014&gt;=100,"Gold",IF(N1014&gt;=50,"Silver","Regular")))</f>
        <v>Regular</v>
      </c>
      <c r="P1014" s="4" t="str">
        <f t="shared" si="106"/>
        <v>Tuesday</v>
      </c>
      <c r="Q1014" s="4" t="str">
        <f t="shared" si="107"/>
        <v>Medium Order</v>
      </c>
      <c r="R1014" s="4" t="str">
        <f t="shared" si="108"/>
        <v>Weekday</v>
      </c>
      <c r="S1014" s="4" t="str">
        <f t="shared" si="109"/>
        <v>Regular</v>
      </c>
    </row>
    <row r="1015" spans="1:19" x14ac:dyDescent="0.3">
      <c r="A1015">
        <v>4814</v>
      </c>
      <c r="B1015" t="s">
        <v>0</v>
      </c>
      <c r="C1015" s="1">
        <v>45818</v>
      </c>
      <c r="D1015" t="s">
        <v>17</v>
      </c>
      <c r="E1015" t="s">
        <v>14</v>
      </c>
      <c r="F1015">
        <v>5</v>
      </c>
      <c r="G1015">
        <v>18.23</v>
      </c>
      <c r="H1015">
        <v>91.15</v>
      </c>
      <c r="I1015" t="str">
        <f t="shared" si="105"/>
        <v>Medium</v>
      </c>
      <c r="J1015">
        <v>9.1199999999999992</v>
      </c>
      <c r="K1015">
        <f t="shared" si="110"/>
        <v>82.03</v>
      </c>
      <c r="L1015" t="str">
        <f t="shared" si="111"/>
        <v>June</v>
      </c>
      <c r="M1015">
        <f>YEAR(C1015)</f>
        <v>2025</v>
      </c>
      <c r="N1015">
        <v>317</v>
      </c>
      <c r="O1015" t="str">
        <f>IF(N1015&gt;=200,"Platinum",IF(N1015&gt;=100,"Gold",IF(N1015&gt;=50,"Silver","Regular")))</f>
        <v>Platinum</v>
      </c>
      <c r="P1015" s="4" t="str">
        <f t="shared" si="106"/>
        <v>Tuesday</v>
      </c>
      <c r="Q1015" s="4" t="str">
        <f t="shared" si="107"/>
        <v>Medium Order</v>
      </c>
      <c r="R1015" s="4" t="str">
        <f t="shared" si="108"/>
        <v>Weekday</v>
      </c>
      <c r="S1015" s="4" t="str">
        <f t="shared" si="109"/>
        <v>Regular</v>
      </c>
    </row>
    <row r="1016" spans="1:19" x14ac:dyDescent="0.3">
      <c r="A1016">
        <v>1823</v>
      </c>
      <c r="B1016" t="s">
        <v>8</v>
      </c>
      <c r="C1016" s="1">
        <v>45347</v>
      </c>
      <c r="D1016" t="s">
        <v>27</v>
      </c>
      <c r="E1016" t="s">
        <v>21</v>
      </c>
      <c r="F1016">
        <v>4</v>
      </c>
      <c r="G1016">
        <v>18.29</v>
      </c>
      <c r="H1016">
        <v>73.16</v>
      </c>
      <c r="I1016" t="str">
        <f t="shared" si="105"/>
        <v>Medium</v>
      </c>
      <c r="J1016">
        <v>7.32</v>
      </c>
      <c r="K1016">
        <f t="shared" si="110"/>
        <v>65.84</v>
      </c>
      <c r="L1016" t="str">
        <f t="shared" si="111"/>
        <v>February</v>
      </c>
      <c r="M1016">
        <f>YEAR(C1016)</f>
        <v>2024</v>
      </c>
      <c r="N1016">
        <v>294</v>
      </c>
      <c r="O1016" t="str">
        <f>IF(N1016&gt;=200,"Platinum",IF(N1016&gt;=100,"Gold",IF(N1016&gt;=50,"Silver","Regular")))</f>
        <v>Platinum</v>
      </c>
      <c r="P1016" s="4" t="str">
        <f t="shared" si="106"/>
        <v>Sunday</v>
      </c>
      <c r="Q1016" s="4" t="str">
        <f t="shared" si="107"/>
        <v>Medium Order</v>
      </c>
      <c r="R1016" s="4" t="str">
        <f t="shared" si="108"/>
        <v>Weekend</v>
      </c>
      <c r="S1016" s="4" t="str">
        <f t="shared" si="109"/>
        <v>Regular</v>
      </c>
    </row>
    <row r="1017" spans="1:19" x14ac:dyDescent="0.3">
      <c r="A1017">
        <v>8432</v>
      </c>
      <c r="B1017" t="s">
        <v>8</v>
      </c>
      <c r="C1017" s="1">
        <v>45409</v>
      </c>
      <c r="D1017" t="s">
        <v>16</v>
      </c>
      <c r="E1017" t="s">
        <v>22</v>
      </c>
      <c r="F1017">
        <v>3</v>
      </c>
      <c r="G1017">
        <v>24.42</v>
      </c>
      <c r="H1017">
        <v>73.260000000000005</v>
      </c>
      <c r="I1017" t="str">
        <f t="shared" si="105"/>
        <v>Medium</v>
      </c>
      <c r="J1017">
        <v>7.33</v>
      </c>
      <c r="K1017">
        <f t="shared" si="110"/>
        <v>65.930000000000007</v>
      </c>
      <c r="L1017" t="str">
        <f t="shared" si="111"/>
        <v>April</v>
      </c>
      <c r="M1017">
        <f>YEAR(C1017)</f>
        <v>2024</v>
      </c>
      <c r="N1017">
        <v>133</v>
      </c>
      <c r="O1017" t="str">
        <f>IF(N1017&gt;=200,"Platinum",IF(N1017&gt;=100,"Gold",IF(N1017&gt;=50,"Silver","Regular")))</f>
        <v>Gold</v>
      </c>
      <c r="P1017" s="4" t="str">
        <f t="shared" si="106"/>
        <v>Saturday</v>
      </c>
      <c r="Q1017" s="4" t="str">
        <f t="shared" si="107"/>
        <v>Medium Order</v>
      </c>
      <c r="R1017" s="4" t="str">
        <f t="shared" si="108"/>
        <v>Weekend</v>
      </c>
      <c r="S1017" s="4" t="str">
        <f t="shared" si="109"/>
        <v>Regular</v>
      </c>
    </row>
    <row r="1018" spans="1:19" x14ac:dyDescent="0.3">
      <c r="A1018">
        <v>1341</v>
      </c>
      <c r="B1018" t="s">
        <v>8</v>
      </c>
      <c r="C1018" s="1">
        <v>45397</v>
      </c>
      <c r="D1018" t="s">
        <v>23</v>
      </c>
      <c r="E1018" t="s">
        <v>29</v>
      </c>
      <c r="F1018">
        <v>1</v>
      </c>
      <c r="G1018">
        <v>19.690000000000001</v>
      </c>
      <c r="H1018">
        <v>19.690000000000001</v>
      </c>
      <c r="I1018" t="str">
        <f t="shared" si="105"/>
        <v>Low</v>
      </c>
      <c r="J1018">
        <v>1.97</v>
      </c>
      <c r="K1018">
        <f t="shared" si="110"/>
        <v>17.720000000000002</v>
      </c>
      <c r="L1018" t="str">
        <f t="shared" si="111"/>
        <v>April</v>
      </c>
      <c r="M1018">
        <f>YEAR(C1018)</f>
        <v>2024</v>
      </c>
      <c r="N1018">
        <v>145</v>
      </c>
      <c r="O1018" t="str">
        <f>IF(N1018&gt;=200,"Platinum",IF(N1018&gt;=100,"Gold",IF(N1018&gt;=50,"Silver","Regular")))</f>
        <v>Gold</v>
      </c>
      <c r="P1018" s="4" t="str">
        <f t="shared" si="106"/>
        <v>Monday</v>
      </c>
      <c r="Q1018" s="4" t="str">
        <f t="shared" si="107"/>
        <v>Small Order</v>
      </c>
      <c r="R1018" s="4" t="str">
        <f t="shared" si="108"/>
        <v>Weekday</v>
      </c>
      <c r="S1018" s="4" t="str">
        <f t="shared" si="109"/>
        <v>Regular</v>
      </c>
    </row>
    <row r="1019" spans="1:19" x14ac:dyDescent="0.3">
      <c r="A1019">
        <v>7172</v>
      </c>
      <c r="B1019" t="s">
        <v>13</v>
      </c>
      <c r="C1019" s="1">
        <v>45264</v>
      </c>
      <c r="D1019" t="s">
        <v>34</v>
      </c>
      <c r="E1019" t="s">
        <v>37</v>
      </c>
      <c r="F1019">
        <v>5</v>
      </c>
      <c r="G1019">
        <v>20.57</v>
      </c>
      <c r="H1019">
        <v>102.85</v>
      </c>
      <c r="I1019" t="str">
        <f t="shared" si="105"/>
        <v>High</v>
      </c>
      <c r="J1019">
        <v>10.29</v>
      </c>
      <c r="K1019">
        <f t="shared" si="110"/>
        <v>92.56</v>
      </c>
      <c r="L1019" t="str">
        <f t="shared" si="111"/>
        <v>December</v>
      </c>
      <c r="M1019">
        <f>YEAR(C1019)</f>
        <v>2023</v>
      </c>
      <c r="N1019">
        <v>337</v>
      </c>
      <c r="O1019" t="str">
        <f>IF(N1019&gt;=200,"Platinum",IF(N1019&gt;=100,"Gold",IF(N1019&gt;=50,"Silver","Regular")))</f>
        <v>Platinum</v>
      </c>
      <c r="P1019" s="4" t="str">
        <f t="shared" si="106"/>
        <v>Monday</v>
      </c>
      <c r="Q1019" s="4" t="str">
        <f t="shared" si="107"/>
        <v>Medium Order</v>
      </c>
      <c r="R1019" s="4" t="str">
        <f t="shared" si="108"/>
        <v>Weekday</v>
      </c>
      <c r="S1019" s="4" t="str">
        <f t="shared" si="109"/>
        <v>Regular</v>
      </c>
    </row>
    <row r="1020" spans="1:19" x14ac:dyDescent="0.3">
      <c r="A1020">
        <v>5982</v>
      </c>
      <c r="B1020" t="s">
        <v>0</v>
      </c>
      <c r="C1020" s="1">
        <v>45688</v>
      </c>
      <c r="D1020" t="s">
        <v>16</v>
      </c>
      <c r="E1020" t="s">
        <v>28</v>
      </c>
      <c r="F1020">
        <v>1</v>
      </c>
      <c r="G1020">
        <v>20.99</v>
      </c>
      <c r="H1020">
        <v>20.99</v>
      </c>
      <c r="I1020" t="str">
        <f t="shared" si="105"/>
        <v>Low</v>
      </c>
      <c r="J1020">
        <v>2.1</v>
      </c>
      <c r="K1020">
        <f t="shared" si="110"/>
        <v>18.889999999999997</v>
      </c>
      <c r="L1020" t="str">
        <f t="shared" si="111"/>
        <v>January</v>
      </c>
      <c r="M1020">
        <f>YEAR(C1020)</f>
        <v>2025</v>
      </c>
      <c r="N1020">
        <v>213</v>
      </c>
      <c r="O1020" t="str">
        <f>IF(N1020&gt;=200,"Platinum",IF(N1020&gt;=100,"Gold",IF(N1020&gt;=50,"Silver","Regular")))</f>
        <v>Platinum</v>
      </c>
      <c r="P1020" s="4" t="str">
        <f t="shared" si="106"/>
        <v>Friday</v>
      </c>
      <c r="Q1020" s="4" t="str">
        <f t="shared" si="107"/>
        <v>Small Order</v>
      </c>
      <c r="R1020" s="4" t="str">
        <f t="shared" si="108"/>
        <v>Weekday</v>
      </c>
      <c r="S1020" s="4" t="str">
        <f t="shared" si="109"/>
        <v>Regular</v>
      </c>
    </row>
    <row r="1021" spans="1:19" x14ac:dyDescent="0.3">
      <c r="A1021">
        <v>7929</v>
      </c>
      <c r="B1021" t="s">
        <v>15</v>
      </c>
      <c r="C1021" s="1">
        <v>45819</v>
      </c>
      <c r="D1021" t="s">
        <v>9</v>
      </c>
      <c r="E1021" t="s">
        <v>32</v>
      </c>
      <c r="F1021">
        <v>3</v>
      </c>
      <c r="G1021">
        <v>7.03</v>
      </c>
      <c r="H1021">
        <v>21.09</v>
      </c>
      <c r="I1021" t="str">
        <f t="shared" si="105"/>
        <v>Low</v>
      </c>
      <c r="J1021">
        <v>2.11</v>
      </c>
      <c r="K1021">
        <f t="shared" si="110"/>
        <v>18.98</v>
      </c>
      <c r="L1021" t="str">
        <f t="shared" si="111"/>
        <v>June</v>
      </c>
      <c r="M1021">
        <f>YEAR(C1021)</f>
        <v>2025</v>
      </c>
      <c r="N1021">
        <v>355</v>
      </c>
      <c r="O1021" t="str">
        <f>IF(N1021&gt;=200,"Platinum",IF(N1021&gt;=100,"Gold",IF(N1021&gt;=50,"Silver","Regular")))</f>
        <v>Platinum</v>
      </c>
      <c r="P1021" s="4" t="str">
        <f t="shared" si="106"/>
        <v>Wednesday</v>
      </c>
      <c r="Q1021" s="4" t="str">
        <f t="shared" si="107"/>
        <v>Medium Order</v>
      </c>
      <c r="R1021" s="4" t="str">
        <f t="shared" si="108"/>
        <v>Weekday</v>
      </c>
      <c r="S1021" s="4" t="str">
        <f t="shared" si="109"/>
        <v>Regular</v>
      </c>
    </row>
    <row r="1022" spans="1:19" x14ac:dyDescent="0.3">
      <c r="A1022">
        <v>4189</v>
      </c>
      <c r="B1022" t="s">
        <v>25</v>
      </c>
      <c r="C1022" s="1">
        <v>45426</v>
      </c>
      <c r="D1022" t="s">
        <v>27</v>
      </c>
      <c r="E1022" t="s">
        <v>36</v>
      </c>
      <c r="F1022">
        <v>3</v>
      </c>
      <c r="G1022">
        <v>21.19</v>
      </c>
      <c r="H1022">
        <v>63.57</v>
      </c>
      <c r="I1022" t="str">
        <f t="shared" si="105"/>
        <v>Medium</v>
      </c>
      <c r="J1022">
        <v>6.36</v>
      </c>
      <c r="K1022">
        <f t="shared" si="110"/>
        <v>57.21</v>
      </c>
      <c r="L1022" t="str">
        <f t="shared" si="111"/>
        <v>May</v>
      </c>
      <c r="M1022">
        <f>YEAR(C1022)</f>
        <v>2024</v>
      </c>
      <c r="N1022">
        <v>333</v>
      </c>
      <c r="O1022" t="str">
        <f>IF(N1022&gt;=200,"Platinum",IF(N1022&gt;=100,"Gold",IF(N1022&gt;=50,"Silver","Regular")))</f>
        <v>Platinum</v>
      </c>
      <c r="P1022" s="4" t="str">
        <f t="shared" si="106"/>
        <v>Tuesday</v>
      </c>
      <c r="Q1022" s="4" t="str">
        <f t="shared" si="107"/>
        <v>Medium Order</v>
      </c>
      <c r="R1022" s="4" t="str">
        <f t="shared" si="108"/>
        <v>Weekday</v>
      </c>
      <c r="S1022" s="4" t="str">
        <f t="shared" si="109"/>
        <v>Regular</v>
      </c>
    </row>
    <row r="1023" spans="1:19" x14ac:dyDescent="0.3">
      <c r="A1023">
        <v>5247</v>
      </c>
      <c r="B1023" t="s">
        <v>13</v>
      </c>
      <c r="C1023" s="1">
        <v>45274</v>
      </c>
      <c r="D1023" t="s">
        <v>1</v>
      </c>
      <c r="E1023" t="s">
        <v>2</v>
      </c>
      <c r="F1023">
        <v>4</v>
      </c>
      <c r="G1023">
        <v>10.72</v>
      </c>
      <c r="H1023">
        <v>42.88</v>
      </c>
      <c r="I1023" t="str">
        <f t="shared" si="105"/>
        <v>Low</v>
      </c>
      <c r="J1023">
        <v>4.29</v>
      </c>
      <c r="K1023">
        <f t="shared" si="110"/>
        <v>38.590000000000003</v>
      </c>
      <c r="L1023" t="str">
        <f t="shared" si="111"/>
        <v>December</v>
      </c>
      <c r="M1023">
        <f>YEAR(C1023)</f>
        <v>2023</v>
      </c>
      <c r="N1023">
        <v>411</v>
      </c>
      <c r="O1023" t="str">
        <f>IF(N1023&gt;=200,"Platinum",IF(N1023&gt;=100,"Gold",IF(N1023&gt;=50,"Silver","Regular")))</f>
        <v>Platinum</v>
      </c>
      <c r="P1023" s="4" t="str">
        <f t="shared" si="106"/>
        <v>Thursday</v>
      </c>
      <c r="Q1023" s="4" t="str">
        <f t="shared" si="107"/>
        <v>Medium Order</v>
      </c>
      <c r="R1023" s="4" t="str">
        <f t="shared" si="108"/>
        <v>Weekday</v>
      </c>
      <c r="S1023" s="4" t="str">
        <f t="shared" si="109"/>
        <v>Regular</v>
      </c>
    </row>
    <row r="1024" spans="1:19" x14ac:dyDescent="0.3">
      <c r="A1024">
        <v>5839</v>
      </c>
      <c r="B1024" t="s">
        <v>15</v>
      </c>
      <c r="C1024" s="1">
        <v>45764</v>
      </c>
      <c r="D1024" t="s">
        <v>16</v>
      </c>
      <c r="E1024" t="s">
        <v>35</v>
      </c>
      <c r="F1024">
        <v>1</v>
      </c>
      <c r="G1024">
        <v>21.49</v>
      </c>
      <c r="H1024">
        <v>21.49</v>
      </c>
      <c r="I1024" t="str">
        <f t="shared" si="105"/>
        <v>Low</v>
      </c>
      <c r="J1024">
        <v>2.15</v>
      </c>
      <c r="K1024">
        <f t="shared" si="110"/>
        <v>19.34</v>
      </c>
      <c r="L1024" t="str">
        <f t="shared" si="111"/>
        <v>April</v>
      </c>
      <c r="M1024">
        <f>YEAR(C1024)</f>
        <v>2025</v>
      </c>
      <c r="N1024">
        <v>161</v>
      </c>
      <c r="O1024" t="str">
        <f>IF(N1024&gt;=200,"Platinum",IF(N1024&gt;=100,"Gold",IF(N1024&gt;=50,"Silver","Regular")))</f>
        <v>Gold</v>
      </c>
      <c r="P1024" s="4" t="str">
        <f t="shared" si="106"/>
        <v>Thursday</v>
      </c>
      <c r="Q1024" s="4" t="str">
        <f t="shared" si="107"/>
        <v>Small Order</v>
      </c>
      <c r="R1024" s="4" t="str">
        <f t="shared" si="108"/>
        <v>Weekday</v>
      </c>
      <c r="S1024" s="4" t="str">
        <f t="shared" si="109"/>
        <v>Regular</v>
      </c>
    </row>
    <row r="1025" spans="1:19" x14ac:dyDescent="0.3">
      <c r="A1025">
        <v>3262</v>
      </c>
      <c r="B1025" t="s">
        <v>8</v>
      </c>
      <c r="C1025" s="1">
        <v>45547</v>
      </c>
      <c r="D1025" t="s">
        <v>4</v>
      </c>
      <c r="E1025" t="s">
        <v>10</v>
      </c>
      <c r="F1025">
        <v>1</v>
      </c>
      <c r="G1025">
        <v>21.69</v>
      </c>
      <c r="H1025">
        <v>21.69</v>
      </c>
      <c r="I1025" t="str">
        <f t="shared" si="105"/>
        <v>Low</v>
      </c>
      <c r="J1025">
        <v>2.17</v>
      </c>
      <c r="K1025">
        <f t="shared" si="110"/>
        <v>19.520000000000003</v>
      </c>
      <c r="L1025" t="str">
        <f t="shared" si="111"/>
        <v>September</v>
      </c>
      <c r="M1025">
        <f>YEAR(C1025)</f>
        <v>2024</v>
      </c>
      <c r="N1025">
        <v>441</v>
      </c>
      <c r="O1025" t="str">
        <f>IF(N1025&gt;=200,"Platinum",IF(N1025&gt;=100,"Gold",IF(N1025&gt;=50,"Silver","Regular")))</f>
        <v>Platinum</v>
      </c>
      <c r="P1025" s="4" t="str">
        <f t="shared" si="106"/>
        <v>Thursday</v>
      </c>
      <c r="Q1025" s="4" t="str">
        <f t="shared" si="107"/>
        <v>Small Order</v>
      </c>
      <c r="R1025" s="4" t="str">
        <f t="shared" si="108"/>
        <v>Weekday</v>
      </c>
      <c r="S1025" s="4" t="str">
        <f t="shared" si="109"/>
        <v>Regular</v>
      </c>
    </row>
    <row r="1026" spans="1:19" x14ac:dyDescent="0.3">
      <c r="A1026">
        <v>5820</v>
      </c>
      <c r="B1026" t="s">
        <v>25</v>
      </c>
      <c r="C1026" s="1">
        <v>45317</v>
      </c>
      <c r="D1026" t="s">
        <v>34</v>
      </c>
      <c r="E1026" t="s">
        <v>7</v>
      </c>
      <c r="F1026">
        <v>4</v>
      </c>
      <c r="G1026">
        <v>10.97</v>
      </c>
      <c r="H1026">
        <v>43.88</v>
      </c>
      <c r="I1026" t="str">
        <f t="shared" ref="I1026:I1089" si="112">IF(J1026=0,"No Discount",IF(J1026&lt;=5,"Low",IF(J1026&lt;=10,"Medium",IF(J1026&lt;=20,"High","Very High"))))</f>
        <v>Low</v>
      </c>
      <c r="J1026">
        <v>4.3899999999999997</v>
      </c>
      <c r="K1026">
        <f t="shared" si="110"/>
        <v>39.49</v>
      </c>
      <c r="L1026" t="str">
        <f t="shared" si="111"/>
        <v>January</v>
      </c>
      <c r="M1026">
        <f>YEAR(C1026)</f>
        <v>2024</v>
      </c>
      <c r="N1026">
        <v>289</v>
      </c>
      <c r="O1026" t="str">
        <f>IF(N1026&gt;=200,"Platinum",IF(N1026&gt;=100,"Gold",IF(N1026&gt;=50,"Silver","Regular")))</f>
        <v>Platinum</v>
      </c>
      <c r="P1026" s="4" t="str">
        <f t="shared" ref="P1026:P1089" si="113">TEXT(C1026,"dddd")</f>
        <v>Friday</v>
      </c>
      <c r="Q1026" s="4" t="str">
        <f t="shared" ref="Q1026:Q1089" si="114">IF(F1026&lt;=2,"Small Order",IF(F1026&lt;=5,"Medium Order",IF(F1026&lt;=10,"Large Order","Bulk Order")))</f>
        <v>Medium Order</v>
      </c>
      <c r="R1026" s="4" t="str">
        <f t="shared" ref="R1026:R1089" si="115">IF(WEEKDAY(C1026,2)&gt;5,"Weekend","Weekday")</f>
        <v>Weekday</v>
      </c>
      <c r="S1026" s="4" t="str">
        <f t="shared" ref="S1026:S1089" si="116">IF(K1026&gt;=100,"High Value","Regular")</f>
        <v>Regular</v>
      </c>
    </row>
    <row r="1027" spans="1:19" x14ac:dyDescent="0.3">
      <c r="A1027">
        <v>9279</v>
      </c>
      <c r="B1027" t="s">
        <v>0</v>
      </c>
      <c r="C1027" s="1">
        <v>45612</v>
      </c>
      <c r="D1027" t="s">
        <v>17</v>
      </c>
      <c r="E1027" t="s">
        <v>18</v>
      </c>
      <c r="F1027">
        <v>5</v>
      </c>
      <c r="G1027">
        <v>22.13</v>
      </c>
      <c r="H1027">
        <v>110.65</v>
      </c>
      <c r="I1027" t="str">
        <f t="shared" si="112"/>
        <v>High</v>
      </c>
      <c r="J1027">
        <v>11.07</v>
      </c>
      <c r="K1027">
        <f t="shared" ref="K1027:K1090" si="117">MAX(0,H1027-J1027)</f>
        <v>99.580000000000013</v>
      </c>
      <c r="L1027" t="str">
        <f t="shared" ref="L1027:L1090" si="118">TEXT(C1027,"mmmm")</f>
        <v>November</v>
      </c>
      <c r="M1027">
        <f>YEAR(C1027)</f>
        <v>2024</v>
      </c>
      <c r="N1027">
        <v>83</v>
      </c>
      <c r="O1027" t="str">
        <f>IF(N1027&gt;=200,"Platinum",IF(N1027&gt;=100,"Gold",IF(N1027&gt;=50,"Silver","Regular")))</f>
        <v>Silver</v>
      </c>
      <c r="P1027" s="4" t="str">
        <f t="shared" si="113"/>
        <v>Saturday</v>
      </c>
      <c r="Q1027" s="4" t="str">
        <f t="shared" si="114"/>
        <v>Medium Order</v>
      </c>
      <c r="R1027" s="4" t="str">
        <f t="shared" si="115"/>
        <v>Weekend</v>
      </c>
      <c r="S1027" s="4" t="str">
        <f t="shared" si="116"/>
        <v>Regular</v>
      </c>
    </row>
    <row r="1028" spans="1:19" x14ac:dyDescent="0.3">
      <c r="A1028">
        <v>1243</v>
      </c>
      <c r="B1028" t="s">
        <v>13</v>
      </c>
      <c r="C1028" s="1">
        <v>45423</v>
      </c>
      <c r="D1028" t="s">
        <v>9</v>
      </c>
      <c r="E1028" t="s">
        <v>29</v>
      </c>
      <c r="F1028">
        <v>5</v>
      </c>
      <c r="G1028">
        <v>22.31</v>
      </c>
      <c r="H1028">
        <v>111.55</v>
      </c>
      <c r="I1028" t="str">
        <f t="shared" si="112"/>
        <v>High</v>
      </c>
      <c r="J1028">
        <v>11.16</v>
      </c>
      <c r="K1028">
        <f t="shared" si="117"/>
        <v>100.39</v>
      </c>
      <c r="L1028" t="str">
        <f t="shared" si="118"/>
        <v>May</v>
      </c>
      <c r="M1028">
        <f>YEAR(C1028)</f>
        <v>2024</v>
      </c>
      <c r="N1028">
        <v>194</v>
      </c>
      <c r="O1028" t="str">
        <f>IF(N1028&gt;=200,"Platinum",IF(N1028&gt;=100,"Gold",IF(N1028&gt;=50,"Silver","Regular")))</f>
        <v>Gold</v>
      </c>
      <c r="P1028" s="4" t="str">
        <f t="shared" si="113"/>
        <v>Saturday</v>
      </c>
      <c r="Q1028" s="4" t="str">
        <f t="shared" si="114"/>
        <v>Medium Order</v>
      </c>
      <c r="R1028" s="4" t="str">
        <f t="shared" si="115"/>
        <v>Weekend</v>
      </c>
      <c r="S1028" s="4" t="str">
        <f t="shared" si="116"/>
        <v>High Value</v>
      </c>
    </row>
    <row r="1029" spans="1:19" x14ac:dyDescent="0.3">
      <c r="A1029">
        <v>7149</v>
      </c>
      <c r="B1029" t="s">
        <v>20</v>
      </c>
      <c r="C1029" s="1">
        <v>45453</v>
      </c>
      <c r="D1029" t="s">
        <v>17</v>
      </c>
      <c r="E1029" t="s">
        <v>18</v>
      </c>
      <c r="F1029">
        <v>4</v>
      </c>
      <c r="G1029">
        <v>11.17</v>
      </c>
      <c r="H1029">
        <v>44.68</v>
      </c>
      <c r="I1029" t="str">
        <f t="shared" si="112"/>
        <v>Low</v>
      </c>
      <c r="J1029">
        <v>4.47</v>
      </c>
      <c r="K1029">
        <f t="shared" si="117"/>
        <v>40.21</v>
      </c>
      <c r="L1029" t="str">
        <f t="shared" si="118"/>
        <v>June</v>
      </c>
      <c r="M1029">
        <f>YEAR(C1029)</f>
        <v>2024</v>
      </c>
      <c r="N1029">
        <v>109</v>
      </c>
      <c r="O1029" t="str">
        <f>IF(N1029&gt;=200,"Platinum",IF(N1029&gt;=100,"Gold",IF(N1029&gt;=50,"Silver","Regular")))</f>
        <v>Gold</v>
      </c>
      <c r="P1029" s="4" t="str">
        <f t="shared" si="113"/>
        <v>Monday</v>
      </c>
      <c r="Q1029" s="4" t="str">
        <f t="shared" si="114"/>
        <v>Medium Order</v>
      </c>
      <c r="R1029" s="4" t="str">
        <f t="shared" si="115"/>
        <v>Weekday</v>
      </c>
      <c r="S1029" s="4" t="str">
        <f t="shared" si="116"/>
        <v>Regular</v>
      </c>
    </row>
    <row r="1030" spans="1:19" x14ac:dyDescent="0.3">
      <c r="A1030">
        <v>2731</v>
      </c>
      <c r="B1030" t="s">
        <v>20</v>
      </c>
      <c r="C1030" s="1">
        <v>45272</v>
      </c>
      <c r="D1030" t="s">
        <v>24</v>
      </c>
      <c r="E1030" t="s">
        <v>7</v>
      </c>
      <c r="F1030">
        <v>2</v>
      </c>
      <c r="G1030">
        <v>22.44</v>
      </c>
      <c r="H1030">
        <v>44.88</v>
      </c>
      <c r="I1030" t="str">
        <f t="shared" si="112"/>
        <v>Low</v>
      </c>
      <c r="J1030">
        <v>4.49</v>
      </c>
      <c r="K1030">
        <f t="shared" si="117"/>
        <v>40.39</v>
      </c>
      <c r="L1030" t="str">
        <f t="shared" si="118"/>
        <v>December</v>
      </c>
      <c r="M1030">
        <f>YEAR(C1030)</f>
        <v>2023</v>
      </c>
      <c r="N1030">
        <v>350</v>
      </c>
      <c r="O1030" t="str">
        <f>IF(N1030&gt;=200,"Platinum",IF(N1030&gt;=100,"Gold",IF(N1030&gt;=50,"Silver","Regular")))</f>
        <v>Platinum</v>
      </c>
      <c r="P1030" s="4" t="str">
        <f t="shared" si="113"/>
        <v>Tuesday</v>
      </c>
      <c r="Q1030" s="4" t="str">
        <f t="shared" si="114"/>
        <v>Small Order</v>
      </c>
      <c r="R1030" s="4" t="str">
        <f t="shared" si="115"/>
        <v>Weekday</v>
      </c>
      <c r="S1030" s="4" t="str">
        <f t="shared" si="116"/>
        <v>Regular</v>
      </c>
    </row>
    <row r="1031" spans="1:19" x14ac:dyDescent="0.3">
      <c r="A1031">
        <v>3252</v>
      </c>
      <c r="B1031" t="s">
        <v>19</v>
      </c>
      <c r="C1031" s="1">
        <v>45799</v>
      </c>
      <c r="D1031" t="s">
        <v>34</v>
      </c>
      <c r="E1031" t="s">
        <v>22</v>
      </c>
      <c r="F1031">
        <v>3</v>
      </c>
      <c r="G1031">
        <v>7.53</v>
      </c>
      <c r="H1031">
        <v>22.59</v>
      </c>
      <c r="I1031" t="str">
        <f t="shared" si="112"/>
        <v>Low</v>
      </c>
      <c r="J1031">
        <v>2.2599999999999998</v>
      </c>
      <c r="K1031">
        <f t="shared" si="117"/>
        <v>20.329999999999998</v>
      </c>
      <c r="L1031" t="str">
        <f t="shared" si="118"/>
        <v>May</v>
      </c>
      <c r="M1031">
        <f>YEAR(C1031)</f>
        <v>2025</v>
      </c>
      <c r="N1031">
        <v>379</v>
      </c>
      <c r="O1031" t="str">
        <f>IF(N1031&gt;=200,"Platinum",IF(N1031&gt;=100,"Gold",IF(N1031&gt;=50,"Silver","Regular")))</f>
        <v>Platinum</v>
      </c>
      <c r="P1031" s="4" t="str">
        <f t="shared" si="113"/>
        <v>Thursday</v>
      </c>
      <c r="Q1031" s="4" t="str">
        <f t="shared" si="114"/>
        <v>Medium Order</v>
      </c>
      <c r="R1031" s="4" t="str">
        <f t="shared" si="115"/>
        <v>Weekday</v>
      </c>
      <c r="S1031" s="4" t="str">
        <f t="shared" si="116"/>
        <v>Regular</v>
      </c>
    </row>
    <row r="1032" spans="1:19" x14ac:dyDescent="0.3">
      <c r="A1032">
        <v>3695</v>
      </c>
      <c r="B1032" t="s">
        <v>0</v>
      </c>
      <c r="C1032" s="1">
        <v>45399</v>
      </c>
      <c r="D1032" t="s">
        <v>6</v>
      </c>
      <c r="E1032" t="s">
        <v>33</v>
      </c>
      <c r="F1032">
        <v>2</v>
      </c>
      <c r="G1032">
        <v>23.29</v>
      </c>
      <c r="H1032">
        <v>46.58</v>
      </c>
      <c r="I1032" t="str">
        <f t="shared" si="112"/>
        <v>Low</v>
      </c>
      <c r="J1032">
        <v>4.66</v>
      </c>
      <c r="K1032">
        <f t="shared" si="117"/>
        <v>41.92</v>
      </c>
      <c r="L1032" t="str">
        <f t="shared" si="118"/>
        <v>April</v>
      </c>
      <c r="M1032">
        <f>YEAR(C1032)</f>
        <v>2024</v>
      </c>
      <c r="N1032">
        <v>82</v>
      </c>
      <c r="O1032" t="str">
        <f>IF(N1032&gt;=200,"Platinum",IF(N1032&gt;=100,"Gold",IF(N1032&gt;=50,"Silver","Regular")))</f>
        <v>Silver</v>
      </c>
      <c r="P1032" s="4" t="str">
        <f t="shared" si="113"/>
        <v>Wednesday</v>
      </c>
      <c r="Q1032" s="4" t="str">
        <f t="shared" si="114"/>
        <v>Small Order</v>
      </c>
      <c r="R1032" s="4" t="str">
        <f t="shared" si="115"/>
        <v>Weekday</v>
      </c>
      <c r="S1032" s="4" t="str">
        <f t="shared" si="116"/>
        <v>Regular</v>
      </c>
    </row>
    <row r="1033" spans="1:19" x14ac:dyDescent="0.3">
      <c r="A1033">
        <v>4340</v>
      </c>
      <c r="B1033" t="s">
        <v>19</v>
      </c>
      <c r="C1033" s="1">
        <v>45463</v>
      </c>
      <c r="D1033" t="s">
        <v>17</v>
      </c>
      <c r="E1033" t="s">
        <v>18</v>
      </c>
      <c r="F1033">
        <v>4</v>
      </c>
      <c r="G1033">
        <v>23.49</v>
      </c>
      <c r="H1033">
        <v>93.96</v>
      </c>
      <c r="I1033" t="str">
        <f t="shared" si="112"/>
        <v>Medium</v>
      </c>
      <c r="J1033">
        <v>9.4</v>
      </c>
      <c r="K1033">
        <f t="shared" si="117"/>
        <v>84.559999999999988</v>
      </c>
      <c r="L1033" t="str">
        <f t="shared" si="118"/>
        <v>June</v>
      </c>
      <c r="M1033">
        <f>YEAR(C1033)</f>
        <v>2024</v>
      </c>
      <c r="N1033">
        <v>407</v>
      </c>
      <c r="O1033" t="str">
        <f>IF(N1033&gt;=200,"Platinum",IF(N1033&gt;=100,"Gold",IF(N1033&gt;=50,"Silver","Regular")))</f>
        <v>Platinum</v>
      </c>
      <c r="P1033" s="4" t="str">
        <f t="shared" si="113"/>
        <v>Thursday</v>
      </c>
      <c r="Q1033" s="4" t="str">
        <f t="shared" si="114"/>
        <v>Medium Order</v>
      </c>
      <c r="R1033" s="4" t="str">
        <f t="shared" si="115"/>
        <v>Weekday</v>
      </c>
      <c r="S1033" s="4" t="str">
        <f t="shared" si="116"/>
        <v>Regular</v>
      </c>
    </row>
    <row r="1034" spans="1:19" x14ac:dyDescent="0.3">
      <c r="A1034">
        <v>4155</v>
      </c>
      <c r="B1034" t="s">
        <v>25</v>
      </c>
      <c r="C1034" s="1">
        <v>45390</v>
      </c>
      <c r="D1034" t="s">
        <v>23</v>
      </c>
      <c r="E1034" t="s">
        <v>7</v>
      </c>
      <c r="F1034">
        <v>5</v>
      </c>
      <c r="G1034">
        <v>23.81</v>
      </c>
      <c r="H1034">
        <v>119.05</v>
      </c>
      <c r="I1034" t="str">
        <f t="shared" si="112"/>
        <v>High</v>
      </c>
      <c r="J1034">
        <v>11.91</v>
      </c>
      <c r="K1034">
        <f t="shared" si="117"/>
        <v>107.14</v>
      </c>
      <c r="L1034" t="str">
        <f t="shared" si="118"/>
        <v>April</v>
      </c>
      <c r="M1034">
        <f>YEAR(C1034)</f>
        <v>2024</v>
      </c>
      <c r="N1034">
        <v>114</v>
      </c>
      <c r="O1034" t="str">
        <f>IF(N1034&gt;=200,"Platinum",IF(N1034&gt;=100,"Gold",IF(N1034&gt;=50,"Silver","Regular")))</f>
        <v>Gold</v>
      </c>
      <c r="P1034" s="4" t="str">
        <f t="shared" si="113"/>
        <v>Monday</v>
      </c>
      <c r="Q1034" s="4" t="str">
        <f t="shared" si="114"/>
        <v>Medium Order</v>
      </c>
      <c r="R1034" s="4" t="str">
        <f t="shared" si="115"/>
        <v>Weekday</v>
      </c>
      <c r="S1034" s="4" t="str">
        <f t="shared" si="116"/>
        <v>High Value</v>
      </c>
    </row>
    <row r="1035" spans="1:19" x14ac:dyDescent="0.3">
      <c r="A1035">
        <v>3068</v>
      </c>
      <c r="B1035" t="s">
        <v>31</v>
      </c>
      <c r="C1035" s="1">
        <v>45197</v>
      </c>
      <c r="D1035" t="s">
        <v>6</v>
      </c>
      <c r="E1035" t="s">
        <v>22</v>
      </c>
      <c r="F1035">
        <v>1</v>
      </c>
      <c r="G1035">
        <v>24.39</v>
      </c>
      <c r="H1035">
        <v>24.39</v>
      </c>
      <c r="I1035" t="str">
        <f t="shared" si="112"/>
        <v>Low</v>
      </c>
      <c r="J1035">
        <v>2.44</v>
      </c>
      <c r="K1035">
        <f t="shared" si="117"/>
        <v>21.95</v>
      </c>
      <c r="L1035" t="str">
        <f t="shared" si="118"/>
        <v>September</v>
      </c>
      <c r="M1035">
        <f>YEAR(C1035)</f>
        <v>2023</v>
      </c>
      <c r="N1035">
        <v>310</v>
      </c>
      <c r="O1035" t="str">
        <f>IF(N1035&gt;=200,"Platinum",IF(N1035&gt;=100,"Gold",IF(N1035&gt;=50,"Silver","Regular")))</f>
        <v>Platinum</v>
      </c>
      <c r="P1035" s="4" t="str">
        <f t="shared" si="113"/>
        <v>Thursday</v>
      </c>
      <c r="Q1035" s="4" t="str">
        <f t="shared" si="114"/>
        <v>Small Order</v>
      </c>
      <c r="R1035" s="4" t="str">
        <f t="shared" si="115"/>
        <v>Weekday</v>
      </c>
      <c r="S1035" s="4" t="str">
        <f t="shared" si="116"/>
        <v>Regular</v>
      </c>
    </row>
    <row r="1036" spans="1:19" x14ac:dyDescent="0.3">
      <c r="A1036">
        <v>9004</v>
      </c>
      <c r="B1036" t="s">
        <v>13</v>
      </c>
      <c r="C1036" s="1">
        <v>45340</v>
      </c>
      <c r="D1036" t="s">
        <v>4</v>
      </c>
      <c r="E1036" t="s">
        <v>14</v>
      </c>
      <c r="F1036">
        <v>4</v>
      </c>
      <c r="G1036">
        <v>26.64</v>
      </c>
      <c r="H1036">
        <v>106.56</v>
      </c>
      <c r="I1036" t="str">
        <f t="shared" si="112"/>
        <v>High</v>
      </c>
      <c r="J1036">
        <v>10.66</v>
      </c>
      <c r="K1036">
        <f t="shared" si="117"/>
        <v>95.9</v>
      </c>
      <c r="L1036" t="str">
        <f t="shared" si="118"/>
        <v>February</v>
      </c>
      <c r="M1036">
        <f>YEAR(C1036)</f>
        <v>2024</v>
      </c>
      <c r="N1036">
        <v>476</v>
      </c>
      <c r="O1036" t="str">
        <f>IF(N1036&gt;=200,"Platinum",IF(N1036&gt;=100,"Gold",IF(N1036&gt;=50,"Silver","Regular")))</f>
        <v>Platinum</v>
      </c>
      <c r="P1036" s="4" t="str">
        <f t="shared" si="113"/>
        <v>Sunday</v>
      </c>
      <c r="Q1036" s="4" t="str">
        <f t="shared" si="114"/>
        <v>Medium Order</v>
      </c>
      <c r="R1036" s="4" t="str">
        <f t="shared" si="115"/>
        <v>Weekend</v>
      </c>
      <c r="S1036" s="4" t="str">
        <f t="shared" si="116"/>
        <v>Regular</v>
      </c>
    </row>
    <row r="1037" spans="1:19" x14ac:dyDescent="0.3">
      <c r="A1037">
        <v>7730</v>
      </c>
      <c r="B1037" t="s">
        <v>31</v>
      </c>
      <c r="C1037" s="1">
        <v>45178</v>
      </c>
      <c r="D1037" t="s">
        <v>1</v>
      </c>
      <c r="E1037" t="s">
        <v>33</v>
      </c>
      <c r="F1037">
        <v>5</v>
      </c>
      <c r="G1037">
        <v>27.31</v>
      </c>
      <c r="H1037">
        <v>136.55000000000001</v>
      </c>
      <c r="I1037" t="str">
        <f t="shared" si="112"/>
        <v>High</v>
      </c>
      <c r="J1037">
        <v>13.66</v>
      </c>
      <c r="K1037">
        <f t="shared" si="117"/>
        <v>122.89000000000001</v>
      </c>
      <c r="L1037" t="str">
        <f t="shared" si="118"/>
        <v>September</v>
      </c>
      <c r="M1037">
        <f>YEAR(C1037)</f>
        <v>2023</v>
      </c>
      <c r="N1037">
        <v>184</v>
      </c>
      <c r="O1037" t="str">
        <f>IF(N1037&gt;=200,"Platinum",IF(N1037&gt;=100,"Gold",IF(N1037&gt;=50,"Silver","Regular")))</f>
        <v>Gold</v>
      </c>
      <c r="P1037" s="4" t="str">
        <f t="shared" si="113"/>
        <v>Saturday</v>
      </c>
      <c r="Q1037" s="4" t="str">
        <f t="shared" si="114"/>
        <v>Medium Order</v>
      </c>
      <c r="R1037" s="4" t="str">
        <f t="shared" si="115"/>
        <v>Weekend</v>
      </c>
      <c r="S1037" s="4" t="str">
        <f t="shared" si="116"/>
        <v>High Value</v>
      </c>
    </row>
    <row r="1038" spans="1:19" x14ac:dyDescent="0.3">
      <c r="A1038">
        <v>2294</v>
      </c>
      <c r="B1038" t="s">
        <v>20</v>
      </c>
      <c r="C1038" s="1">
        <v>45414</v>
      </c>
      <c r="D1038" t="s">
        <v>4</v>
      </c>
      <c r="E1038" t="s">
        <v>26</v>
      </c>
      <c r="F1038">
        <v>5</v>
      </c>
      <c r="G1038">
        <v>27.95</v>
      </c>
      <c r="H1038">
        <v>139.75</v>
      </c>
      <c r="I1038" t="str">
        <f t="shared" si="112"/>
        <v>High</v>
      </c>
      <c r="J1038">
        <v>13.98</v>
      </c>
      <c r="K1038">
        <f t="shared" si="117"/>
        <v>125.77</v>
      </c>
      <c r="L1038" t="str">
        <f t="shared" si="118"/>
        <v>May</v>
      </c>
      <c r="M1038">
        <f>YEAR(C1038)</f>
        <v>2024</v>
      </c>
      <c r="N1038">
        <v>413</v>
      </c>
      <c r="O1038" t="str">
        <f>IF(N1038&gt;=200,"Platinum",IF(N1038&gt;=100,"Gold",IF(N1038&gt;=50,"Silver","Regular")))</f>
        <v>Platinum</v>
      </c>
      <c r="P1038" s="4" t="str">
        <f t="shared" si="113"/>
        <v>Thursday</v>
      </c>
      <c r="Q1038" s="4" t="str">
        <f t="shared" si="114"/>
        <v>Medium Order</v>
      </c>
      <c r="R1038" s="4" t="str">
        <f t="shared" si="115"/>
        <v>Weekday</v>
      </c>
      <c r="S1038" s="4" t="str">
        <f t="shared" si="116"/>
        <v>High Value</v>
      </c>
    </row>
    <row r="1039" spans="1:19" x14ac:dyDescent="0.3">
      <c r="A1039">
        <v>8993</v>
      </c>
      <c r="B1039" t="s">
        <v>0</v>
      </c>
      <c r="C1039" s="1">
        <v>45157</v>
      </c>
      <c r="D1039" t="s">
        <v>27</v>
      </c>
      <c r="E1039" t="s">
        <v>14</v>
      </c>
      <c r="F1039">
        <v>5</v>
      </c>
      <c r="G1039">
        <v>28.01</v>
      </c>
      <c r="H1039">
        <v>140.05000000000001</v>
      </c>
      <c r="I1039" t="str">
        <f t="shared" si="112"/>
        <v>High</v>
      </c>
      <c r="J1039">
        <v>14.01</v>
      </c>
      <c r="K1039">
        <f t="shared" si="117"/>
        <v>126.04</v>
      </c>
      <c r="L1039" t="str">
        <f t="shared" si="118"/>
        <v>August</v>
      </c>
      <c r="M1039">
        <f>YEAR(C1039)</f>
        <v>2023</v>
      </c>
      <c r="N1039">
        <v>256</v>
      </c>
      <c r="O1039" t="str">
        <f>IF(N1039&gt;=200,"Platinum",IF(N1039&gt;=100,"Gold",IF(N1039&gt;=50,"Silver","Regular")))</f>
        <v>Platinum</v>
      </c>
      <c r="P1039" s="4" t="str">
        <f t="shared" si="113"/>
        <v>Saturday</v>
      </c>
      <c r="Q1039" s="4" t="str">
        <f t="shared" si="114"/>
        <v>Medium Order</v>
      </c>
      <c r="R1039" s="4" t="str">
        <f t="shared" si="115"/>
        <v>Weekend</v>
      </c>
      <c r="S1039" s="4" t="str">
        <f t="shared" si="116"/>
        <v>High Value</v>
      </c>
    </row>
    <row r="1040" spans="1:19" x14ac:dyDescent="0.3">
      <c r="A1040">
        <v>2104</v>
      </c>
      <c r="B1040" t="s">
        <v>0</v>
      </c>
      <c r="C1040" s="1">
        <v>45848</v>
      </c>
      <c r="D1040" t="s">
        <v>16</v>
      </c>
      <c r="E1040" t="s">
        <v>30</v>
      </c>
      <c r="F1040">
        <v>4</v>
      </c>
      <c r="G1040">
        <v>28.04</v>
      </c>
      <c r="H1040">
        <v>112.16</v>
      </c>
      <c r="I1040" t="str">
        <f t="shared" si="112"/>
        <v>High</v>
      </c>
      <c r="J1040">
        <v>11.22</v>
      </c>
      <c r="K1040">
        <f t="shared" si="117"/>
        <v>100.94</v>
      </c>
      <c r="L1040" t="str">
        <f t="shared" si="118"/>
        <v>July</v>
      </c>
      <c r="M1040">
        <f>YEAR(C1040)</f>
        <v>2025</v>
      </c>
      <c r="N1040">
        <v>149</v>
      </c>
      <c r="O1040" t="str">
        <f>IF(N1040&gt;=200,"Platinum",IF(N1040&gt;=100,"Gold",IF(N1040&gt;=50,"Silver","Regular")))</f>
        <v>Gold</v>
      </c>
      <c r="P1040" s="4" t="str">
        <f t="shared" si="113"/>
        <v>Thursday</v>
      </c>
      <c r="Q1040" s="4" t="str">
        <f t="shared" si="114"/>
        <v>Medium Order</v>
      </c>
      <c r="R1040" s="4" t="str">
        <f t="shared" si="115"/>
        <v>Weekday</v>
      </c>
      <c r="S1040" s="4" t="str">
        <f t="shared" si="116"/>
        <v>High Value</v>
      </c>
    </row>
    <row r="1041" spans="1:19" x14ac:dyDescent="0.3">
      <c r="A1041">
        <v>2369</v>
      </c>
      <c r="B1041" t="s">
        <v>13</v>
      </c>
      <c r="C1041" s="1">
        <v>45385</v>
      </c>
      <c r="D1041" t="s">
        <v>27</v>
      </c>
      <c r="E1041" t="s">
        <v>5</v>
      </c>
      <c r="F1041">
        <v>2</v>
      </c>
      <c r="G1041">
        <v>28.34</v>
      </c>
      <c r="H1041">
        <v>56.68</v>
      </c>
      <c r="I1041" t="str">
        <f t="shared" si="112"/>
        <v>Medium</v>
      </c>
      <c r="J1041">
        <v>5.67</v>
      </c>
      <c r="K1041">
        <f t="shared" si="117"/>
        <v>51.01</v>
      </c>
      <c r="L1041" t="str">
        <f t="shared" si="118"/>
        <v>April</v>
      </c>
      <c r="M1041">
        <f>YEAR(C1041)</f>
        <v>2024</v>
      </c>
      <c r="N1041">
        <v>12</v>
      </c>
      <c r="O1041" t="str">
        <f>IF(N1041&gt;=200,"Platinum",IF(N1041&gt;=100,"Gold",IF(N1041&gt;=50,"Silver","Regular")))</f>
        <v>Regular</v>
      </c>
      <c r="P1041" s="4" t="str">
        <f t="shared" si="113"/>
        <v>Wednesday</v>
      </c>
      <c r="Q1041" s="4" t="str">
        <f t="shared" si="114"/>
        <v>Small Order</v>
      </c>
      <c r="R1041" s="4" t="str">
        <f t="shared" si="115"/>
        <v>Weekday</v>
      </c>
      <c r="S1041" s="4" t="str">
        <f t="shared" si="116"/>
        <v>Regular</v>
      </c>
    </row>
    <row r="1042" spans="1:19" x14ac:dyDescent="0.3">
      <c r="A1042">
        <v>1478</v>
      </c>
      <c r="B1042" t="s">
        <v>3</v>
      </c>
      <c r="C1042" s="1">
        <v>45717</v>
      </c>
      <c r="D1042" t="s">
        <v>23</v>
      </c>
      <c r="E1042" t="s">
        <v>21</v>
      </c>
      <c r="F1042">
        <v>5</v>
      </c>
      <c r="G1042">
        <v>28.51</v>
      </c>
      <c r="H1042">
        <v>142.55000000000001</v>
      </c>
      <c r="I1042" t="str">
        <f t="shared" si="112"/>
        <v>High</v>
      </c>
      <c r="J1042">
        <v>14.26</v>
      </c>
      <c r="K1042">
        <f t="shared" si="117"/>
        <v>128.29000000000002</v>
      </c>
      <c r="L1042" t="str">
        <f t="shared" si="118"/>
        <v>March</v>
      </c>
      <c r="M1042">
        <f>YEAR(C1042)</f>
        <v>2025</v>
      </c>
      <c r="N1042">
        <v>63</v>
      </c>
      <c r="O1042" t="str">
        <f>IF(N1042&gt;=200,"Platinum",IF(N1042&gt;=100,"Gold",IF(N1042&gt;=50,"Silver","Regular")))</f>
        <v>Silver</v>
      </c>
      <c r="P1042" s="4" t="str">
        <f t="shared" si="113"/>
        <v>Saturday</v>
      </c>
      <c r="Q1042" s="4" t="str">
        <f t="shared" si="114"/>
        <v>Medium Order</v>
      </c>
      <c r="R1042" s="4" t="str">
        <f t="shared" si="115"/>
        <v>Weekend</v>
      </c>
      <c r="S1042" s="4" t="str">
        <f t="shared" si="116"/>
        <v>High Value</v>
      </c>
    </row>
    <row r="1043" spans="1:19" x14ac:dyDescent="0.3">
      <c r="A1043">
        <v>7499</v>
      </c>
      <c r="B1043" t="s">
        <v>25</v>
      </c>
      <c r="C1043" s="1">
        <v>45745</v>
      </c>
      <c r="D1043" t="s">
        <v>9</v>
      </c>
      <c r="E1043" t="s">
        <v>10</v>
      </c>
      <c r="F1043">
        <v>2</v>
      </c>
      <c r="G1043">
        <v>28.64</v>
      </c>
      <c r="H1043">
        <v>57.28</v>
      </c>
      <c r="I1043" t="str">
        <f t="shared" si="112"/>
        <v>Medium</v>
      </c>
      <c r="J1043">
        <v>5.73</v>
      </c>
      <c r="K1043">
        <f t="shared" si="117"/>
        <v>51.55</v>
      </c>
      <c r="L1043" t="str">
        <f t="shared" si="118"/>
        <v>March</v>
      </c>
      <c r="M1043">
        <f>YEAR(C1043)</f>
        <v>2025</v>
      </c>
      <c r="N1043">
        <v>21</v>
      </c>
      <c r="O1043" t="str">
        <f>IF(N1043&gt;=200,"Platinum",IF(N1043&gt;=100,"Gold",IF(N1043&gt;=50,"Silver","Regular")))</f>
        <v>Regular</v>
      </c>
      <c r="P1043" s="4" t="str">
        <f t="shared" si="113"/>
        <v>Saturday</v>
      </c>
      <c r="Q1043" s="4" t="str">
        <f t="shared" si="114"/>
        <v>Small Order</v>
      </c>
      <c r="R1043" s="4" t="str">
        <f t="shared" si="115"/>
        <v>Weekend</v>
      </c>
      <c r="S1043" s="4" t="str">
        <f t="shared" si="116"/>
        <v>Regular</v>
      </c>
    </row>
    <row r="1044" spans="1:19" x14ac:dyDescent="0.3">
      <c r="A1044">
        <v>6464</v>
      </c>
      <c r="B1044" t="s">
        <v>8</v>
      </c>
      <c r="C1044" s="1">
        <v>45334</v>
      </c>
      <c r="D1044" t="s">
        <v>4</v>
      </c>
      <c r="E1044" t="s">
        <v>21</v>
      </c>
      <c r="F1044">
        <v>5</v>
      </c>
      <c r="G1044">
        <v>28.85</v>
      </c>
      <c r="H1044">
        <v>144.25</v>
      </c>
      <c r="I1044" t="str">
        <f t="shared" si="112"/>
        <v>High</v>
      </c>
      <c r="J1044">
        <v>14.43</v>
      </c>
      <c r="K1044">
        <f t="shared" si="117"/>
        <v>129.82</v>
      </c>
      <c r="L1044" t="str">
        <f t="shared" si="118"/>
        <v>February</v>
      </c>
      <c r="M1044">
        <f>YEAR(C1044)</f>
        <v>2024</v>
      </c>
      <c r="N1044">
        <v>313</v>
      </c>
      <c r="O1044" t="str">
        <f>IF(N1044&gt;=200,"Platinum",IF(N1044&gt;=100,"Gold",IF(N1044&gt;=50,"Silver","Regular")))</f>
        <v>Platinum</v>
      </c>
      <c r="P1044" s="4" t="str">
        <f t="shared" si="113"/>
        <v>Monday</v>
      </c>
      <c r="Q1044" s="4" t="str">
        <f t="shared" si="114"/>
        <v>Medium Order</v>
      </c>
      <c r="R1044" s="4" t="str">
        <f t="shared" si="115"/>
        <v>Weekday</v>
      </c>
      <c r="S1044" s="4" t="str">
        <f t="shared" si="116"/>
        <v>High Value</v>
      </c>
    </row>
    <row r="1045" spans="1:19" x14ac:dyDescent="0.3">
      <c r="A1045">
        <v>2982</v>
      </c>
      <c r="B1045" t="s">
        <v>8</v>
      </c>
      <c r="C1045" s="1">
        <v>45337</v>
      </c>
      <c r="D1045" t="s">
        <v>17</v>
      </c>
      <c r="E1045" t="s">
        <v>5</v>
      </c>
      <c r="F1045">
        <v>4</v>
      </c>
      <c r="G1045">
        <v>29.09</v>
      </c>
      <c r="H1045">
        <v>116.36</v>
      </c>
      <c r="I1045" t="str">
        <f t="shared" si="112"/>
        <v>High</v>
      </c>
      <c r="J1045">
        <v>11.64</v>
      </c>
      <c r="K1045">
        <f t="shared" si="117"/>
        <v>104.72</v>
      </c>
      <c r="L1045" t="str">
        <f t="shared" si="118"/>
        <v>February</v>
      </c>
      <c r="M1045">
        <f>YEAR(C1045)</f>
        <v>2024</v>
      </c>
      <c r="N1045">
        <v>240</v>
      </c>
      <c r="O1045" t="str">
        <f>IF(N1045&gt;=200,"Platinum",IF(N1045&gt;=100,"Gold",IF(N1045&gt;=50,"Silver","Regular")))</f>
        <v>Platinum</v>
      </c>
      <c r="P1045" s="4" t="str">
        <f t="shared" si="113"/>
        <v>Thursday</v>
      </c>
      <c r="Q1045" s="4" t="str">
        <f t="shared" si="114"/>
        <v>Medium Order</v>
      </c>
      <c r="R1045" s="4" t="str">
        <f t="shared" si="115"/>
        <v>Weekday</v>
      </c>
      <c r="S1045" s="4" t="str">
        <f t="shared" si="116"/>
        <v>High Value</v>
      </c>
    </row>
    <row r="1046" spans="1:19" x14ac:dyDescent="0.3">
      <c r="A1046">
        <v>2276</v>
      </c>
      <c r="B1046" t="s">
        <v>25</v>
      </c>
      <c r="C1046" s="1">
        <v>45588</v>
      </c>
      <c r="D1046" t="s">
        <v>23</v>
      </c>
      <c r="E1046" t="s">
        <v>12</v>
      </c>
      <c r="F1046">
        <v>5</v>
      </c>
      <c r="G1046">
        <v>29.13</v>
      </c>
      <c r="H1046">
        <v>145.65</v>
      </c>
      <c r="I1046" t="str">
        <f t="shared" si="112"/>
        <v>High</v>
      </c>
      <c r="J1046">
        <v>14.57</v>
      </c>
      <c r="K1046">
        <f t="shared" si="117"/>
        <v>131.08000000000001</v>
      </c>
      <c r="L1046" t="str">
        <f t="shared" si="118"/>
        <v>October</v>
      </c>
      <c r="M1046">
        <f>YEAR(C1046)</f>
        <v>2024</v>
      </c>
      <c r="N1046">
        <v>32</v>
      </c>
      <c r="O1046" t="str">
        <f>IF(N1046&gt;=200,"Platinum",IF(N1046&gt;=100,"Gold",IF(N1046&gt;=50,"Silver","Regular")))</f>
        <v>Regular</v>
      </c>
      <c r="P1046" s="4" t="str">
        <f t="shared" si="113"/>
        <v>Wednesday</v>
      </c>
      <c r="Q1046" s="4" t="str">
        <f t="shared" si="114"/>
        <v>Medium Order</v>
      </c>
      <c r="R1046" s="4" t="str">
        <f t="shared" si="115"/>
        <v>Weekday</v>
      </c>
      <c r="S1046" s="4" t="str">
        <f t="shared" si="116"/>
        <v>High Value</v>
      </c>
    </row>
    <row r="1047" spans="1:19" x14ac:dyDescent="0.3">
      <c r="A1047">
        <v>3063</v>
      </c>
      <c r="B1047" t="s">
        <v>31</v>
      </c>
      <c r="C1047" s="1">
        <v>45756</v>
      </c>
      <c r="D1047" t="s">
        <v>17</v>
      </c>
      <c r="E1047" t="s">
        <v>30</v>
      </c>
      <c r="F1047">
        <v>4</v>
      </c>
      <c r="G1047">
        <v>29.14</v>
      </c>
      <c r="H1047">
        <v>116.56</v>
      </c>
      <c r="I1047" t="str">
        <f t="shared" si="112"/>
        <v>High</v>
      </c>
      <c r="J1047">
        <v>11.66</v>
      </c>
      <c r="K1047">
        <f t="shared" si="117"/>
        <v>104.9</v>
      </c>
      <c r="L1047" t="str">
        <f t="shared" si="118"/>
        <v>April</v>
      </c>
      <c r="M1047">
        <f>YEAR(C1047)</f>
        <v>2025</v>
      </c>
      <c r="N1047">
        <v>465</v>
      </c>
      <c r="O1047" t="str">
        <f>IF(N1047&gt;=200,"Platinum",IF(N1047&gt;=100,"Gold",IF(N1047&gt;=50,"Silver","Regular")))</f>
        <v>Platinum</v>
      </c>
      <c r="P1047" s="4" t="str">
        <f t="shared" si="113"/>
        <v>Wednesday</v>
      </c>
      <c r="Q1047" s="4" t="str">
        <f t="shared" si="114"/>
        <v>Medium Order</v>
      </c>
      <c r="R1047" s="4" t="str">
        <f t="shared" si="115"/>
        <v>Weekday</v>
      </c>
      <c r="S1047" s="4" t="str">
        <f t="shared" si="116"/>
        <v>High Value</v>
      </c>
    </row>
    <row r="1048" spans="1:19" x14ac:dyDescent="0.3">
      <c r="A1048">
        <v>5065</v>
      </c>
      <c r="B1048" t="s">
        <v>13</v>
      </c>
      <c r="C1048" s="1">
        <v>45352</v>
      </c>
      <c r="D1048" t="s">
        <v>17</v>
      </c>
      <c r="E1048" t="s">
        <v>32</v>
      </c>
      <c r="F1048">
        <v>2</v>
      </c>
      <c r="G1048">
        <v>29.19</v>
      </c>
      <c r="H1048">
        <v>58.38</v>
      </c>
      <c r="I1048" t="str">
        <f t="shared" si="112"/>
        <v>Medium</v>
      </c>
      <c r="J1048">
        <v>5.84</v>
      </c>
      <c r="K1048">
        <f t="shared" si="117"/>
        <v>52.540000000000006</v>
      </c>
      <c r="L1048" t="str">
        <f t="shared" si="118"/>
        <v>March</v>
      </c>
      <c r="M1048">
        <f>YEAR(C1048)</f>
        <v>2024</v>
      </c>
      <c r="N1048">
        <v>328</v>
      </c>
      <c r="O1048" t="str">
        <f>IF(N1048&gt;=200,"Platinum",IF(N1048&gt;=100,"Gold",IF(N1048&gt;=50,"Silver","Regular")))</f>
        <v>Platinum</v>
      </c>
      <c r="P1048" s="4" t="str">
        <f t="shared" si="113"/>
        <v>Friday</v>
      </c>
      <c r="Q1048" s="4" t="str">
        <f t="shared" si="114"/>
        <v>Small Order</v>
      </c>
      <c r="R1048" s="4" t="str">
        <f t="shared" si="115"/>
        <v>Weekday</v>
      </c>
      <c r="S1048" s="4" t="str">
        <f t="shared" si="116"/>
        <v>Regular</v>
      </c>
    </row>
    <row r="1049" spans="1:19" x14ac:dyDescent="0.3">
      <c r="A1049">
        <v>4228</v>
      </c>
      <c r="B1049" t="s">
        <v>31</v>
      </c>
      <c r="C1049" s="1">
        <v>45500</v>
      </c>
      <c r="D1049" t="s">
        <v>23</v>
      </c>
      <c r="E1049" t="s">
        <v>22</v>
      </c>
      <c r="F1049">
        <v>3</v>
      </c>
      <c r="G1049">
        <v>21.96</v>
      </c>
      <c r="H1049">
        <v>65.88</v>
      </c>
      <c r="I1049" t="str">
        <f t="shared" si="112"/>
        <v>Medium</v>
      </c>
      <c r="J1049">
        <v>6.59</v>
      </c>
      <c r="K1049">
        <f t="shared" si="117"/>
        <v>59.289999999999992</v>
      </c>
      <c r="L1049" t="str">
        <f t="shared" si="118"/>
        <v>July</v>
      </c>
      <c r="M1049">
        <f>YEAR(C1049)</f>
        <v>2024</v>
      </c>
      <c r="N1049">
        <v>122</v>
      </c>
      <c r="O1049" t="str">
        <f>IF(N1049&gt;=200,"Platinum",IF(N1049&gt;=100,"Gold",IF(N1049&gt;=50,"Silver","Regular")))</f>
        <v>Gold</v>
      </c>
      <c r="P1049" s="4" t="str">
        <f t="shared" si="113"/>
        <v>Saturday</v>
      </c>
      <c r="Q1049" s="4" t="str">
        <f t="shared" si="114"/>
        <v>Medium Order</v>
      </c>
      <c r="R1049" s="4" t="str">
        <f t="shared" si="115"/>
        <v>Weekend</v>
      </c>
      <c r="S1049" s="4" t="str">
        <f t="shared" si="116"/>
        <v>Regular</v>
      </c>
    </row>
    <row r="1050" spans="1:19" x14ac:dyDescent="0.3">
      <c r="A1050">
        <v>1505</v>
      </c>
      <c r="B1050" t="s">
        <v>25</v>
      </c>
      <c r="C1050" s="1">
        <v>45763</v>
      </c>
      <c r="D1050" t="s">
        <v>23</v>
      </c>
      <c r="E1050" t="s">
        <v>26</v>
      </c>
      <c r="F1050">
        <v>3</v>
      </c>
      <c r="G1050">
        <v>22.06</v>
      </c>
      <c r="H1050">
        <v>66.180000000000007</v>
      </c>
      <c r="I1050" t="str">
        <f t="shared" si="112"/>
        <v>Medium</v>
      </c>
      <c r="J1050">
        <v>6.62</v>
      </c>
      <c r="K1050">
        <f t="shared" si="117"/>
        <v>59.560000000000009</v>
      </c>
      <c r="L1050" t="str">
        <f t="shared" si="118"/>
        <v>April</v>
      </c>
      <c r="M1050">
        <f>YEAR(C1050)</f>
        <v>2025</v>
      </c>
      <c r="N1050">
        <v>424</v>
      </c>
      <c r="O1050" t="str">
        <f>IF(N1050&gt;=200,"Platinum",IF(N1050&gt;=100,"Gold",IF(N1050&gt;=50,"Silver","Regular")))</f>
        <v>Platinum</v>
      </c>
      <c r="P1050" s="4" t="str">
        <f t="shared" si="113"/>
        <v>Wednesday</v>
      </c>
      <c r="Q1050" s="4" t="str">
        <f t="shared" si="114"/>
        <v>Medium Order</v>
      </c>
      <c r="R1050" s="4" t="str">
        <f t="shared" si="115"/>
        <v>Weekday</v>
      </c>
      <c r="S1050" s="4" t="str">
        <f t="shared" si="116"/>
        <v>Regular</v>
      </c>
    </row>
    <row r="1051" spans="1:19" x14ac:dyDescent="0.3">
      <c r="A1051">
        <v>7658</v>
      </c>
      <c r="B1051" t="s">
        <v>25</v>
      </c>
      <c r="C1051" s="1">
        <v>45522</v>
      </c>
      <c r="D1051" t="s">
        <v>16</v>
      </c>
      <c r="E1051" t="s">
        <v>7</v>
      </c>
      <c r="F1051">
        <v>4</v>
      </c>
      <c r="G1051">
        <v>18.02</v>
      </c>
      <c r="H1051">
        <v>72.08</v>
      </c>
      <c r="I1051" t="str">
        <f t="shared" si="112"/>
        <v>Medium</v>
      </c>
      <c r="J1051">
        <v>7.21</v>
      </c>
      <c r="K1051">
        <f t="shared" si="117"/>
        <v>64.87</v>
      </c>
      <c r="L1051" t="str">
        <f t="shared" si="118"/>
        <v>August</v>
      </c>
      <c r="M1051">
        <f>YEAR(C1051)</f>
        <v>2024</v>
      </c>
      <c r="N1051">
        <v>372</v>
      </c>
      <c r="O1051" t="str">
        <f>IF(N1051&gt;=200,"Platinum",IF(N1051&gt;=100,"Gold",IF(N1051&gt;=50,"Silver","Regular")))</f>
        <v>Platinum</v>
      </c>
      <c r="P1051" s="4" t="str">
        <f t="shared" si="113"/>
        <v>Sunday</v>
      </c>
      <c r="Q1051" s="4" t="str">
        <f t="shared" si="114"/>
        <v>Medium Order</v>
      </c>
      <c r="R1051" s="4" t="str">
        <f t="shared" si="115"/>
        <v>Weekend</v>
      </c>
      <c r="S1051" s="4" t="str">
        <f t="shared" si="116"/>
        <v>Regular</v>
      </c>
    </row>
    <row r="1052" spans="1:19" x14ac:dyDescent="0.3">
      <c r="A1052">
        <v>9568</v>
      </c>
      <c r="B1052" t="s">
        <v>20</v>
      </c>
      <c r="C1052" s="1">
        <v>45546</v>
      </c>
      <c r="D1052" t="s">
        <v>17</v>
      </c>
      <c r="E1052" t="s">
        <v>28</v>
      </c>
      <c r="F1052">
        <v>3</v>
      </c>
      <c r="G1052">
        <v>12.03</v>
      </c>
      <c r="H1052">
        <v>36.090000000000003</v>
      </c>
      <c r="I1052" t="str">
        <f t="shared" si="112"/>
        <v>Low</v>
      </c>
      <c r="J1052">
        <v>3.61</v>
      </c>
      <c r="K1052">
        <f t="shared" si="117"/>
        <v>32.480000000000004</v>
      </c>
      <c r="L1052" t="str">
        <f t="shared" si="118"/>
        <v>September</v>
      </c>
      <c r="M1052">
        <f>YEAR(C1052)</f>
        <v>2024</v>
      </c>
      <c r="N1052">
        <v>463</v>
      </c>
      <c r="O1052" t="str">
        <f>IF(N1052&gt;=200,"Platinum",IF(N1052&gt;=100,"Gold",IF(N1052&gt;=50,"Silver","Regular")))</f>
        <v>Platinum</v>
      </c>
      <c r="P1052" s="4" t="str">
        <f t="shared" si="113"/>
        <v>Wednesday</v>
      </c>
      <c r="Q1052" s="4" t="str">
        <f t="shared" si="114"/>
        <v>Medium Order</v>
      </c>
      <c r="R1052" s="4" t="str">
        <f t="shared" si="115"/>
        <v>Weekday</v>
      </c>
      <c r="S1052" s="4" t="str">
        <f t="shared" si="116"/>
        <v>Regular</v>
      </c>
    </row>
    <row r="1053" spans="1:19" x14ac:dyDescent="0.3">
      <c r="A1053">
        <v>1741</v>
      </c>
      <c r="B1053" t="s">
        <v>13</v>
      </c>
      <c r="C1053" s="1">
        <v>45456</v>
      </c>
      <c r="D1053" t="s">
        <v>9</v>
      </c>
      <c r="E1053" t="s">
        <v>21</v>
      </c>
      <c r="F1053">
        <v>3</v>
      </c>
      <c r="G1053">
        <v>12.13</v>
      </c>
      <c r="H1053">
        <v>36.39</v>
      </c>
      <c r="I1053" t="str">
        <f t="shared" si="112"/>
        <v>Low</v>
      </c>
      <c r="J1053">
        <v>3.64</v>
      </c>
      <c r="K1053">
        <f t="shared" si="117"/>
        <v>32.75</v>
      </c>
      <c r="L1053" t="str">
        <f t="shared" si="118"/>
        <v>June</v>
      </c>
      <c r="M1053">
        <f>YEAR(C1053)</f>
        <v>2024</v>
      </c>
      <c r="N1053">
        <v>157</v>
      </c>
      <c r="O1053" t="str">
        <f>IF(N1053&gt;=200,"Platinum",IF(N1053&gt;=100,"Gold",IF(N1053&gt;=50,"Silver","Regular")))</f>
        <v>Gold</v>
      </c>
      <c r="P1053" s="4" t="str">
        <f t="shared" si="113"/>
        <v>Thursday</v>
      </c>
      <c r="Q1053" s="4" t="str">
        <f t="shared" si="114"/>
        <v>Medium Order</v>
      </c>
      <c r="R1053" s="4" t="str">
        <f t="shared" si="115"/>
        <v>Weekday</v>
      </c>
      <c r="S1053" s="4" t="str">
        <f t="shared" si="116"/>
        <v>Regular</v>
      </c>
    </row>
    <row r="1054" spans="1:19" x14ac:dyDescent="0.3">
      <c r="A1054">
        <v>1815</v>
      </c>
      <c r="B1054" t="s">
        <v>19</v>
      </c>
      <c r="C1054" s="1">
        <v>45668</v>
      </c>
      <c r="D1054" t="s">
        <v>11</v>
      </c>
      <c r="E1054" t="s">
        <v>2</v>
      </c>
      <c r="F1054">
        <v>3</v>
      </c>
      <c r="G1054">
        <v>24.26</v>
      </c>
      <c r="H1054">
        <v>72.78</v>
      </c>
      <c r="I1054" t="str">
        <f t="shared" si="112"/>
        <v>Medium</v>
      </c>
      <c r="J1054">
        <v>7.28</v>
      </c>
      <c r="K1054">
        <f t="shared" si="117"/>
        <v>65.5</v>
      </c>
      <c r="L1054" t="str">
        <f t="shared" si="118"/>
        <v>January</v>
      </c>
      <c r="M1054">
        <f>YEAR(C1054)</f>
        <v>2025</v>
      </c>
      <c r="N1054">
        <v>130</v>
      </c>
      <c r="O1054" t="str">
        <f>IF(N1054&gt;=200,"Platinum",IF(N1054&gt;=100,"Gold",IF(N1054&gt;=50,"Silver","Regular")))</f>
        <v>Gold</v>
      </c>
      <c r="P1054" s="4" t="str">
        <f t="shared" si="113"/>
        <v>Saturday</v>
      </c>
      <c r="Q1054" s="4" t="str">
        <f t="shared" si="114"/>
        <v>Medium Order</v>
      </c>
      <c r="R1054" s="4" t="str">
        <f t="shared" si="115"/>
        <v>Weekend</v>
      </c>
      <c r="S1054" s="4" t="str">
        <f t="shared" si="116"/>
        <v>Regular</v>
      </c>
    </row>
    <row r="1055" spans="1:19" x14ac:dyDescent="0.3">
      <c r="A1055">
        <v>1981</v>
      </c>
      <c r="B1055" t="s">
        <v>15</v>
      </c>
      <c r="C1055" s="1">
        <v>45267</v>
      </c>
      <c r="D1055" t="s">
        <v>11</v>
      </c>
      <c r="E1055" t="s">
        <v>26</v>
      </c>
      <c r="F1055">
        <v>4</v>
      </c>
      <c r="G1055">
        <v>18.77</v>
      </c>
      <c r="H1055">
        <v>75.08</v>
      </c>
      <c r="I1055" t="str">
        <f t="shared" si="112"/>
        <v>Medium</v>
      </c>
      <c r="J1055">
        <v>7.51</v>
      </c>
      <c r="K1055">
        <f t="shared" si="117"/>
        <v>67.569999999999993</v>
      </c>
      <c r="L1055" t="str">
        <f t="shared" si="118"/>
        <v>December</v>
      </c>
      <c r="M1055">
        <f>YEAR(C1055)</f>
        <v>2023</v>
      </c>
      <c r="N1055">
        <v>414</v>
      </c>
      <c r="O1055" t="str">
        <f>IF(N1055&gt;=200,"Platinum",IF(N1055&gt;=100,"Gold",IF(N1055&gt;=50,"Silver","Regular")))</f>
        <v>Platinum</v>
      </c>
      <c r="P1055" s="4" t="str">
        <f t="shared" si="113"/>
        <v>Thursday</v>
      </c>
      <c r="Q1055" s="4" t="str">
        <f t="shared" si="114"/>
        <v>Medium Order</v>
      </c>
      <c r="R1055" s="4" t="str">
        <f t="shared" si="115"/>
        <v>Weekday</v>
      </c>
      <c r="S1055" s="4" t="str">
        <f t="shared" si="116"/>
        <v>Regular</v>
      </c>
    </row>
    <row r="1056" spans="1:19" x14ac:dyDescent="0.3">
      <c r="A1056">
        <v>3039</v>
      </c>
      <c r="B1056" t="s">
        <v>31</v>
      </c>
      <c r="C1056" s="1">
        <v>45765</v>
      </c>
      <c r="D1056" t="s">
        <v>23</v>
      </c>
      <c r="E1056" t="s">
        <v>35</v>
      </c>
      <c r="F1056">
        <v>4</v>
      </c>
      <c r="G1056">
        <v>23.82</v>
      </c>
      <c r="H1056">
        <v>95.28</v>
      </c>
      <c r="I1056" t="str">
        <f t="shared" si="112"/>
        <v>Medium</v>
      </c>
      <c r="J1056">
        <v>9.5299999999999994</v>
      </c>
      <c r="K1056">
        <f t="shared" si="117"/>
        <v>85.75</v>
      </c>
      <c r="L1056" t="str">
        <f t="shared" si="118"/>
        <v>April</v>
      </c>
      <c r="M1056">
        <f>YEAR(C1056)</f>
        <v>2025</v>
      </c>
      <c r="N1056">
        <v>70</v>
      </c>
      <c r="O1056" t="str">
        <f>IF(N1056&gt;=200,"Platinum",IF(N1056&gt;=100,"Gold",IF(N1056&gt;=50,"Silver","Regular")))</f>
        <v>Silver</v>
      </c>
      <c r="P1056" s="4" t="str">
        <f t="shared" si="113"/>
        <v>Friday</v>
      </c>
      <c r="Q1056" s="4" t="str">
        <f t="shared" si="114"/>
        <v>Medium Order</v>
      </c>
      <c r="R1056" s="4" t="str">
        <f t="shared" si="115"/>
        <v>Weekday</v>
      </c>
      <c r="S1056" s="4" t="str">
        <f t="shared" si="116"/>
        <v>Regular</v>
      </c>
    </row>
    <row r="1057" spans="1:19" x14ac:dyDescent="0.3">
      <c r="A1057">
        <v>8080</v>
      </c>
      <c r="B1057" t="s">
        <v>13</v>
      </c>
      <c r="C1057" s="1">
        <v>45452</v>
      </c>
      <c r="D1057" t="s">
        <v>9</v>
      </c>
      <c r="E1057" t="s">
        <v>28</v>
      </c>
      <c r="F1057">
        <v>3</v>
      </c>
      <c r="G1057">
        <v>17.13</v>
      </c>
      <c r="H1057">
        <v>51.39</v>
      </c>
      <c r="I1057" t="str">
        <f t="shared" si="112"/>
        <v>Medium</v>
      </c>
      <c r="J1057">
        <v>5.14</v>
      </c>
      <c r="K1057">
        <f t="shared" si="117"/>
        <v>46.25</v>
      </c>
      <c r="L1057" t="str">
        <f t="shared" si="118"/>
        <v>June</v>
      </c>
      <c r="M1057">
        <f>YEAR(C1057)</f>
        <v>2024</v>
      </c>
      <c r="N1057">
        <v>251</v>
      </c>
      <c r="O1057" t="str">
        <f>IF(N1057&gt;=200,"Platinum",IF(N1057&gt;=100,"Gold",IF(N1057&gt;=50,"Silver","Regular")))</f>
        <v>Platinum</v>
      </c>
      <c r="P1057" s="4" t="str">
        <f t="shared" si="113"/>
        <v>Sunday</v>
      </c>
      <c r="Q1057" s="4" t="str">
        <f t="shared" si="114"/>
        <v>Medium Order</v>
      </c>
      <c r="R1057" s="4" t="str">
        <f t="shared" si="115"/>
        <v>Weekend</v>
      </c>
      <c r="S1057" s="4" t="str">
        <f t="shared" si="116"/>
        <v>Regular</v>
      </c>
    </row>
    <row r="1058" spans="1:19" x14ac:dyDescent="0.3">
      <c r="A1058">
        <v>8900</v>
      </c>
      <c r="B1058" t="s">
        <v>31</v>
      </c>
      <c r="C1058" s="1">
        <v>45319</v>
      </c>
      <c r="D1058" t="s">
        <v>16</v>
      </c>
      <c r="E1058" t="s">
        <v>10</v>
      </c>
      <c r="F1058">
        <v>3</v>
      </c>
      <c r="G1058">
        <v>17.53</v>
      </c>
      <c r="H1058">
        <v>52.59</v>
      </c>
      <c r="I1058" t="str">
        <f t="shared" si="112"/>
        <v>Medium</v>
      </c>
      <c r="J1058">
        <v>5.26</v>
      </c>
      <c r="K1058">
        <f t="shared" si="117"/>
        <v>47.330000000000005</v>
      </c>
      <c r="L1058" t="str">
        <f t="shared" si="118"/>
        <v>January</v>
      </c>
      <c r="M1058">
        <f>YEAR(C1058)</f>
        <v>2024</v>
      </c>
      <c r="N1058">
        <v>467</v>
      </c>
      <c r="O1058" t="str">
        <f>IF(N1058&gt;=200,"Platinum",IF(N1058&gt;=100,"Gold",IF(N1058&gt;=50,"Silver","Regular")))</f>
        <v>Platinum</v>
      </c>
      <c r="P1058" s="4" t="str">
        <f t="shared" si="113"/>
        <v>Sunday</v>
      </c>
      <c r="Q1058" s="4" t="str">
        <f t="shared" si="114"/>
        <v>Medium Order</v>
      </c>
      <c r="R1058" s="4" t="str">
        <f t="shared" si="115"/>
        <v>Weekend</v>
      </c>
      <c r="S1058" s="4" t="str">
        <f t="shared" si="116"/>
        <v>Regular</v>
      </c>
    </row>
    <row r="1059" spans="1:19" x14ac:dyDescent="0.3">
      <c r="A1059">
        <v>5807</v>
      </c>
      <c r="B1059" t="s">
        <v>15</v>
      </c>
      <c r="C1059" s="1">
        <v>45301</v>
      </c>
      <c r="D1059" t="s">
        <v>23</v>
      </c>
      <c r="E1059" t="s">
        <v>26</v>
      </c>
      <c r="F1059">
        <v>4</v>
      </c>
      <c r="G1059">
        <v>28.82</v>
      </c>
      <c r="H1059">
        <v>115.28</v>
      </c>
      <c r="I1059" t="str">
        <f t="shared" si="112"/>
        <v>High</v>
      </c>
      <c r="J1059">
        <v>11.53</v>
      </c>
      <c r="K1059">
        <f t="shared" si="117"/>
        <v>103.75</v>
      </c>
      <c r="L1059" t="str">
        <f t="shared" si="118"/>
        <v>January</v>
      </c>
      <c r="M1059">
        <f>YEAR(C1059)</f>
        <v>2024</v>
      </c>
      <c r="N1059">
        <v>426</v>
      </c>
      <c r="O1059" t="str">
        <f>IF(N1059&gt;=200,"Platinum",IF(N1059&gt;=100,"Gold",IF(N1059&gt;=50,"Silver","Regular")))</f>
        <v>Platinum</v>
      </c>
      <c r="P1059" s="4" t="str">
        <f t="shared" si="113"/>
        <v>Wednesday</v>
      </c>
      <c r="Q1059" s="4" t="str">
        <f t="shared" si="114"/>
        <v>Medium Order</v>
      </c>
      <c r="R1059" s="4" t="str">
        <f t="shared" si="115"/>
        <v>Weekday</v>
      </c>
      <c r="S1059" s="4" t="str">
        <f t="shared" si="116"/>
        <v>High Value</v>
      </c>
    </row>
    <row r="1060" spans="1:19" x14ac:dyDescent="0.3">
      <c r="A1060">
        <v>3267</v>
      </c>
      <c r="B1060" t="s">
        <v>31</v>
      </c>
      <c r="C1060" s="1">
        <v>45823</v>
      </c>
      <c r="D1060" t="s">
        <v>9</v>
      </c>
      <c r="E1060" t="s">
        <v>2</v>
      </c>
      <c r="F1060">
        <v>3</v>
      </c>
      <c r="G1060">
        <v>19.73</v>
      </c>
      <c r="H1060">
        <v>59.19</v>
      </c>
      <c r="I1060" t="str">
        <f t="shared" si="112"/>
        <v>Medium</v>
      </c>
      <c r="J1060">
        <v>5.92</v>
      </c>
      <c r="K1060">
        <f t="shared" si="117"/>
        <v>53.269999999999996</v>
      </c>
      <c r="L1060" t="str">
        <f t="shared" si="118"/>
        <v>June</v>
      </c>
      <c r="M1060">
        <f>YEAR(C1060)</f>
        <v>2025</v>
      </c>
      <c r="N1060">
        <v>131</v>
      </c>
      <c r="O1060" t="str">
        <f>IF(N1060&gt;=200,"Platinum",IF(N1060&gt;=100,"Gold",IF(N1060&gt;=50,"Silver","Regular")))</f>
        <v>Gold</v>
      </c>
      <c r="P1060" s="4" t="str">
        <f t="shared" si="113"/>
        <v>Sunday</v>
      </c>
      <c r="Q1060" s="4" t="str">
        <f t="shared" si="114"/>
        <v>Medium Order</v>
      </c>
      <c r="R1060" s="4" t="str">
        <f t="shared" si="115"/>
        <v>Weekend</v>
      </c>
      <c r="S1060" s="4" t="str">
        <f t="shared" si="116"/>
        <v>Regular</v>
      </c>
    </row>
    <row r="1061" spans="1:19" x14ac:dyDescent="0.3">
      <c r="A1061">
        <v>9702</v>
      </c>
      <c r="B1061" t="s">
        <v>3</v>
      </c>
      <c r="C1061" s="1">
        <v>45579</v>
      </c>
      <c r="D1061" t="s">
        <v>16</v>
      </c>
      <c r="E1061" t="s">
        <v>10</v>
      </c>
      <c r="F1061">
        <v>3</v>
      </c>
      <c r="G1061">
        <v>23.13</v>
      </c>
      <c r="H1061">
        <v>69.39</v>
      </c>
      <c r="I1061" t="str">
        <f t="shared" si="112"/>
        <v>Medium</v>
      </c>
      <c r="J1061">
        <v>6.94</v>
      </c>
      <c r="K1061">
        <f t="shared" si="117"/>
        <v>62.45</v>
      </c>
      <c r="L1061" t="str">
        <f t="shared" si="118"/>
        <v>October</v>
      </c>
      <c r="M1061">
        <f>YEAR(C1061)</f>
        <v>2024</v>
      </c>
      <c r="N1061">
        <v>250</v>
      </c>
      <c r="O1061" t="str">
        <f>IF(N1061&gt;=200,"Platinum",IF(N1061&gt;=100,"Gold",IF(N1061&gt;=50,"Silver","Regular")))</f>
        <v>Platinum</v>
      </c>
      <c r="P1061" s="4" t="str">
        <f t="shared" si="113"/>
        <v>Monday</v>
      </c>
      <c r="Q1061" s="4" t="str">
        <f t="shared" si="114"/>
        <v>Medium Order</v>
      </c>
      <c r="R1061" s="4" t="str">
        <f t="shared" si="115"/>
        <v>Weekday</v>
      </c>
      <c r="S1061" s="4" t="str">
        <f t="shared" si="116"/>
        <v>Regular</v>
      </c>
    </row>
    <row r="1062" spans="1:19" x14ac:dyDescent="0.3">
      <c r="A1062">
        <v>1924</v>
      </c>
      <c r="B1062" t="s">
        <v>31</v>
      </c>
      <c r="C1062" s="1">
        <v>45253</v>
      </c>
      <c r="D1062" t="s">
        <v>17</v>
      </c>
      <c r="E1062" t="s">
        <v>12</v>
      </c>
      <c r="F1062">
        <v>3</v>
      </c>
      <c r="G1062">
        <v>27.03</v>
      </c>
      <c r="H1062">
        <v>81.09</v>
      </c>
      <c r="I1062" t="str">
        <f t="shared" si="112"/>
        <v>Medium</v>
      </c>
      <c r="J1062">
        <v>8.11</v>
      </c>
      <c r="K1062">
        <f t="shared" si="117"/>
        <v>72.98</v>
      </c>
      <c r="L1062" t="str">
        <f t="shared" si="118"/>
        <v>November</v>
      </c>
      <c r="M1062">
        <f>YEAR(C1062)</f>
        <v>2023</v>
      </c>
      <c r="N1062">
        <v>419</v>
      </c>
      <c r="O1062" t="str">
        <f>IF(N1062&gt;=200,"Platinum",IF(N1062&gt;=100,"Gold",IF(N1062&gt;=50,"Silver","Regular")))</f>
        <v>Platinum</v>
      </c>
      <c r="P1062" s="4" t="str">
        <f t="shared" si="113"/>
        <v>Thursday</v>
      </c>
      <c r="Q1062" s="4" t="str">
        <f t="shared" si="114"/>
        <v>Medium Order</v>
      </c>
      <c r="R1062" s="4" t="str">
        <f t="shared" si="115"/>
        <v>Weekday</v>
      </c>
      <c r="S1062" s="4" t="str">
        <f t="shared" si="116"/>
        <v>Regular</v>
      </c>
    </row>
    <row r="1063" spans="1:19" x14ac:dyDescent="0.3">
      <c r="A1063">
        <v>7252</v>
      </c>
      <c r="B1063" t="s">
        <v>25</v>
      </c>
      <c r="C1063" s="1">
        <v>45607</v>
      </c>
      <c r="D1063" t="s">
        <v>27</v>
      </c>
      <c r="E1063" t="s">
        <v>22</v>
      </c>
      <c r="F1063">
        <v>4</v>
      </c>
      <c r="G1063">
        <v>2.8</v>
      </c>
      <c r="H1063">
        <v>11.2</v>
      </c>
      <c r="I1063" t="str">
        <f t="shared" si="112"/>
        <v>Low</v>
      </c>
      <c r="J1063">
        <v>1.1200000000000001</v>
      </c>
      <c r="K1063">
        <f t="shared" si="117"/>
        <v>10.079999999999998</v>
      </c>
      <c r="L1063" t="str">
        <f t="shared" si="118"/>
        <v>November</v>
      </c>
      <c r="M1063">
        <f>YEAR(C1063)</f>
        <v>2024</v>
      </c>
      <c r="N1063">
        <v>426</v>
      </c>
      <c r="O1063" t="str">
        <f>IF(N1063&gt;=200,"Platinum",IF(N1063&gt;=100,"Gold",IF(N1063&gt;=50,"Silver","Regular")))</f>
        <v>Platinum</v>
      </c>
      <c r="P1063" s="4" t="str">
        <f t="shared" si="113"/>
        <v>Monday</v>
      </c>
      <c r="Q1063" s="4" t="str">
        <f t="shared" si="114"/>
        <v>Medium Order</v>
      </c>
      <c r="R1063" s="4" t="str">
        <f t="shared" si="115"/>
        <v>Weekday</v>
      </c>
      <c r="S1063" s="4" t="str">
        <f t="shared" si="116"/>
        <v>Regular</v>
      </c>
    </row>
    <row r="1064" spans="1:19" x14ac:dyDescent="0.3">
      <c r="A1064">
        <v>2776</v>
      </c>
      <c r="B1064" t="s">
        <v>3</v>
      </c>
      <c r="C1064" s="1">
        <v>45608</v>
      </c>
      <c r="D1064" t="s">
        <v>9</v>
      </c>
      <c r="E1064" t="s">
        <v>35</v>
      </c>
      <c r="F1064">
        <v>1</v>
      </c>
      <c r="G1064">
        <v>2.2999999999999998</v>
      </c>
      <c r="H1064">
        <v>2.2999999999999998</v>
      </c>
      <c r="I1064" t="str">
        <f t="shared" si="112"/>
        <v>Low</v>
      </c>
      <c r="J1064">
        <v>0.23</v>
      </c>
      <c r="K1064">
        <f t="shared" si="117"/>
        <v>2.0699999999999998</v>
      </c>
      <c r="L1064" t="str">
        <f t="shared" si="118"/>
        <v>November</v>
      </c>
      <c r="M1064">
        <f>YEAR(C1064)</f>
        <v>2024</v>
      </c>
      <c r="N1064">
        <v>70</v>
      </c>
      <c r="O1064" t="str">
        <f>IF(N1064&gt;=200,"Platinum",IF(N1064&gt;=100,"Gold",IF(N1064&gt;=50,"Silver","Regular")))</f>
        <v>Silver</v>
      </c>
      <c r="P1064" s="4" t="str">
        <f t="shared" si="113"/>
        <v>Tuesday</v>
      </c>
      <c r="Q1064" s="4" t="str">
        <f t="shared" si="114"/>
        <v>Small Order</v>
      </c>
      <c r="R1064" s="4" t="str">
        <f t="shared" si="115"/>
        <v>Weekday</v>
      </c>
      <c r="S1064" s="4" t="str">
        <f t="shared" si="116"/>
        <v>Regular</v>
      </c>
    </row>
    <row r="1065" spans="1:19" x14ac:dyDescent="0.3">
      <c r="A1065">
        <v>8242</v>
      </c>
      <c r="B1065" t="s">
        <v>31</v>
      </c>
      <c r="C1065" s="1">
        <v>45466</v>
      </c>
      <c r="D1065" t="s">
        <v>17</v>
      </c>
      <c r="E1065" t="s">
        <v>37</v>
      </c>
      <c r="F1065">
        <v>1</v>
      </c>
      <c r="G1065">
        <v>3.5</v>
      </c>
      <c r="H1065">
        <v>3.5</v>
      </c>
      <c r="I1065" t="str">
        <f t="shared" si="112"/>
        <v>Low</v>
      </c>
      <c r="J1065">
        <v>0.35</v>
      </c>
      <c r="K1065">
        <f t="shared" si="117"/>
        <v>3.15</v>
      </c>
      <c r="L1065" t="str">
        <f t="shared" si="118"/>
        <v>June</v>
      </c>
      <c r="M1065">
        <f>YEAR(C1065)</f>
        <v>2024</v>
      </c>
      <c r="N1065">
        <v>309</v>
      </c>
      <c r="O1065" t="str">
        <f>IF(N1065&gt;=200,"Platinum",IF(N1065&gt;=100,"Gold",IF(N1065&gt;=50,"Silver","Regular")))</f>
        <v>Platinum</v>
      </c>
      <c r="P1065" s="4" t="str">
        <f t="shared" si="113"/>
        <v>Sunday</v>
      </c>
      <c r="Q1065" s="4" t="str">
        <f t="shared" si="114"/>
        <v>Small Order</v>
      </c>
      <c r="R1065" s="4" t="str">
        <f t="shared" si="115"/>
        <v>Weekend</v>
      </c>
      <c r="S1065" s="4" t="str">
        <f t="shared" si="116"/>
        <v>Regular</v>
      </c>
    </row>
    <row r="1066" spans="1:19" x14ac:dyDescent="0.3">
      <c r="A1066">
        <v>8527</v>
      </c>
      <c r="B1066" t="s">
        <v>15</v>
      </c>
      <c r="C1066" s="1">
        <v>45561</v>
      </c>
      <c r="D1066" t="s">
        <v>9</v>
      </c>
      <c r="E1066" t="s">
        <v>33</v>
      </c>
      <c r="F1066">
        <v>1</v>
      </c>
      <c r="G1066">
        <v>3.8</v>
      </c>
      <c r="H1066">
        <v>3.8</v>
      </c>
      <c r="I1066" t="str">
        <f t="shared" si="112"/>
        <v>Low</v>
      </c>
      <c r="J1066">
        <v>0.38</v>
      </c>
      <c r="K1066">
        <f t="shared" si="117"/>
        <v>3.42</v>
      </c>
      <c r="L1066" t="str">
        <f t="shared" si="118"/>
        <v>September</v>
      </c>
      <c r="M1066">
        <f>YEAR(C1066)</f>
        <v>2024</v>
      </c>
      <c r="N1066">
        <v>220</v>
      </c>
      <c r="O1066" t="str">
        <f>IF(N1066&gt;=200,"Platinum",IF(N1066&gt;=100,"Gold",IF(N1066&gt;=50,"Silver","Regular")))</f>
        <v>Platinum</v>
      </c>
      <c r="P1066" s="4" t="str">
        <f t="shared" si="113"/>
        <v>Thursday</v>
      </c>
      <c r="Q1066" s="4" t="str">
        <f t="shared" si="114"/>
        <v>Small Order</v>
      </c>
      <c r="R1066" s="4" t="str">
        <f t="shared" si="115"/>
        <v>Weekday</v>
      </c>
      <c r="S1066" s="4" t="str">
        <f t="shared" si="116"/>
        <v>Regular</v>
      </c>
    </row>
    <row r="1067" spans="1:19" x14ac:dyDescent="0.3">
      <c r="A1067">
        <v>3492</v>
      </c>
      <c r="B1067" t="s">
        <v>25</v>
      </c>
      <c r="C1067" s="1">
        <v>45529</v>
      </c>
      <c r="D1067" t="s">
        <v>34</v>
      </c>
      <c r="E1067" t="s">
        <v>36</v>
      </c>
      <c r="F1067">
        <v>5</v>
      </c>
      <c r="G1067">
        <v>1.18</v>
      </c>
      <c r="H1067">
        <v>5.9</v>
      </c>
      <c r="I1067" t="str">
        <f t="shared" si="112"/>
        <v>Low</v>
      </c>
      <c r="J1067">
        <v>0.59</v>
      </c>
      <c r="K1067">
        <f t="shared" si="117"/>
        <v>5.3100000000000005</v>
      </c>
      <c r="L1067" t="str">
        <f t="shared" si="118"/>
        <v>August</v>
      </c>
      <c r="M1067">
        <f>YEAR(C1067)</f>
        <v>2024</v>
      </c>
      <c r="N1067">
        <v>451</v>
      </c>
      <c r="O1067" t="str">
        <f>IF(N1067&gt;=200,"Platinum",IF(N1067&gt;=100,"Gold",IF(N1067&gt;=50,"Silver","Regular")))</f>
        <v>Platinum</v>
      </c>
      <c r="P1067" s="4" t="str">
        <f t="shared" si="113"/>
        <v>Sunday</v>
      </c>
      <c r="Q1067" s="4" t="str">
        <f t="shared" si="114"/>
        <v>Medium Order</v>
      </c>
      <c r="R1067" s="4" t="str">
        <f t="shared" si="115"/>
        <v>Weekend</v>
      </c>
      <c r="S1067" s="4" t="str">
        <f t="shared" si="116"/>
        <v>Regular</v>
      </c>
    </row>
    <row r="1068" spans="1:19" x14ac:dyDescent="0.3">
      <c r="A1068">
        <v>2489</v>
      </c>
      <c r="B1068" t="s">
        <v>31</v>
      </c>
      <c r="C1068" s="1">
        <v>45732</v>
      </c>
      <c r="D1068" t="s">
        <v>23</v>
      </c>
      <c r="E1068" t="s">
        <v>35</v>
      </c>
      <c r="F1068">
        <v>4</v>
      </c>
      <c r="G1068">
        <v>2.4500000000000002</v>
      </c>
      <c r="H1068">
        <v>9.8000000000000007</v>
      </c>
      <c r="I1068" t="str">
        <f t="shared" si="112"/>
        <v>Low</v>
      </c>
      <c r="J1068">
        <v>0.98</v>
      </c>
      <c r="K1068">
        <f t="shared" si="117"/>
        <v>8.82</v>
      </c>
      <c r="L1068" t="str">
        <f t="shared" si="118"/>
        <v>March</v>
      </c>
      <c r="M1068">
        <f>YEAR(C1068)</f>
        <v>2025</v>
      </c>
      <c r="N1068">
        <v>127</v>
      </c>
      <c r="O1068" t="str">
        <f>IF(N1068&gt;=200,"Platinum",IF(N1068&gt;=100,"Gold",IF(N1068&gt;=50,"Silver","Regular")))</f>
        <v>Gold</v>
      </c>
      <c r="P1068" s="4" t="str">
        <f t="shared" si="113"/>
        <v>Sunday</v>
      </c>
      <c r="Q1068" s="4" t="str">
        <f t="shared" si="114"/>
        <v>Medium Order</v>
      </c>
      <c r="R1068" s="4" t="str">
        <f t="shared" si="115"/>
        <v>Weekend</v>
      </c>
      <c r="S1068" s="4" t="str">
        <f t="shared" si="116"/>
        <v>Regular</v>
      </c>
    </row>
    <row r="1069" spans="1:19" x14ac:dyDescent="0.3">
      <c r="A1069">
        <v>6404</v>
      </c>
      <c r="B1069" t="s">
        <v>20</v>
      </c>
      <c r="C1069" s="1">
        <v>45323</v>
      </c>
      <c r="D1069" t="s">
        <v>27</v>
      </c>
      <c r="E1069" t="s">
        <v>22</v>
      </c>
      <c r="F1069">
        <v>4</v>
      </c>
      <c r="G1069">
        <v>2.6</v>
      </c>
      <c r="H1069">
        <v>10.4</v>
      </c>
      <c r="I1069" t="str">
        <f t="shared" si="112"/>
        <v>Low</v>
      </c>
      <c r="J1069">
        <v>1.04</v>
      </c>
      <c r="K1069">
        <f t="shared" si="117"/>
        <v>9.36</v>
      </c>
      <c r="L1069" t="str">
        <f t="shared" si="118"/>
        <v>February</v>
      </c>
      <c r="M1069">
        <f>YEAR(C1069)</f>
        <v>2024</v>
      </c>
      <c r="N1069">
        <v>62</v>
      </c>
      <c r="O1069" t="str">
        <f>IF(N1069&gt;=200,"Platinum",IF(N1069&gt;=100,"Gold",IF(N1069&gt;=50,"Silver","Regular")))</f>
        <v>Silver</v>
      </c>
      <c r="P1069" s="4" t="str">
        <f t="shared" si="113"/>
        <v>Thursday</v>
      </c>
      <c r="Q1069" s="4" t="str">
        <f t="shared" si="114"/>
        <v>Medium Order</v>
      </c>
      <c r="R1069" s="4" t="str">
        <f t="shared" si="115"/>
        <v>Weekday</v>
      </c>
      <c r="S1069" s="4" t="str">
        <f t="shared" si="116"/>
        <v>Regular</v>
      </c>
    </row>
    <row r="1070" spans="1:19" x14ac:dyDescent="0.3">
      <c r="A1070">
        <v>9433</v>
      </c>
      <c r="B1070" t="s">
        <v>8</v>
      </c>
      <c r="C1070" s="1">
        <v>45507</v>
      </c>
      <c r="D1070" t="s">
        <v>16</v>
      </c>
      <c r="E1070" t="s">
        <v>10</v>
      </c>
      <c r="F1070">
        <v>4</v>
      </c>
      <c r="G1070">
        <v>2.95</v>
      </c>
      <c r="H1070">
        <v>11.8</v>
      </c>
      <c r="I1070" t="str">
        <f t="shared" si="112"/>
        <v>Low</v>
      </c>
      <c r="J1070">
        <v>1.18</v>
      </c>
      <c r="K1070">
        <f t="shared" si="117"/>
        <v>10.620000000000001</v>
      </c>
      <c r="L1070" t="str">
        <f t="shared" si="118"/>
        <v>August</v>
      </c>
      <c r="M1070">
        <f>YEAR(C1070)</f>
        <v>2024</v>
      </c>
      <c r="N1070">
        <v>9</v>
      </c>
      <c r="O1070" t="str">
        <f>IF(N1070&gt;=200,"Platinum",IF(N1070&gt;=100,"Gold",IF(N1070&gt;=50,"Silver","Regular")))</f>
        <v>Regular</v>
      </c>
      <c r="P1070" s="4" t="str">
        <f t="shared" si="113"/>
        <v>Saturday</v>
      </c>
      <c r="Q1070" s="4" t="str">
        <f t="shared" si="114"/>
        <v>Medium Order</v>
      </c>
      <c r="R1070" s="4" t="str">
        <f t="shared" si="115"/>
        <v>Weekend</v>
      </c>
      <c r="S1070" s="4" t="str">
        <f t="shared" si="116"/>
        <v>Regular</v>
      </c>
    </row>
    <row r="1071" spans="1:19" x14ac:dyDescent="0.3">
      <c r="A1071">
        <v>4467</v>
      </c>
      <c r="B1071" t="s">
        <v>8</v>
      </c>
      <c r="C1071" s="1">
        <v>45498</v>
      </c>
      <c r="D1071" t="s">
        <v>11</v>
      </c>
      <c r="E1071" t="s">
        <v>22</v>
      </c>
      <c r="F1071">
        <v>5</v>
      </c>
      <c r="G1071">
        <v>2.54</v>
      </c>
      <c r="H1071">
        <v>12.7</v>
      </c>
      <c r="I1071" t="str">
        <f t="shared" si="112"/>
        <v>Low</v>
      </c>
      <c r="J1071">
        <v>1.27</v>
      </c>
      <c r="K1071">
        <f t="shared" si="117"/>
        <v>11.43</v>
      </c>
      <c r="L1071" t="str">
        <f t="shared" si="118"/>
        <v>July</v>
      </c>
      <c r="M1071">
        <f>YEAR(C1071)</f>
        <v>2024</v>
      </c>
      <c r="N1071">
        <v>183</v>
      </c>
      <c r="O1071" t="str">
        <f>IF(N1071&gt;=200,"Platinum",IF(N1071&gt;=100,"Gold",IF(N1071&gt;=50,"Silver","Regular")))</f>
        <v>Gold</v>
      </c>
      <c r="P1071" s="4" t="str">
        <f t="shared" si="113"/>
        <v>Thursday</v>
      </c>
      <c r="Q1071" s="4" t="str">
        <f t="shared" si="114"/>
        <v>Medium Order</v>
      </c>
      <c r="R1071" s="4" t="str">
        <f t="shared" si="115"/>
        <v>Weekday</v>
      </c>
      <c r="S1071" s="4" t="str">
        <f t="shared" si="116"/>
        <v>Regular</v>
      </c>
    </row>
    <row r="1072" spans="1:19" x14ac:dyDescent="0.3">
      <c r="A1072">
        <v>3426</v>
      </c>
      <c r="B1072" t="s">
        <v>25</v>
      </c>
      <c r="C1072" s="1">
        <v>45478</v>
      </c>
      <c r="D1072" t="s">
        <v>1</v>
      </c>
      <c r="E1072" t="s">
        <v>10</v>
      </c>
      <c r="F1072">
        <v>3</v>
      </c>
      <c r="G1072">
        <v>4.5999999999999996</v>
      </c>
      <c r="H1072">
        <v>13.8</v>
      </c>
      <c r="I1072" t="str">
        <f t="shared" si="112"/>
        <v>Low</v>
      </c>
      <c r="J1072">
        <v>1.38</v>
      </c>
      <c r="K1072">
        <f t="shared" si="117"/>
        <v>12.420000000000002</v>
      </c>
      <c r="L1072" t="str">
        <f t="shared" si="118"/>
        <v>July</v>
      </c>
      <c r="M1072">
        <f>YEAR(C1072)</f>
        <v>2024</v>
      </c>
      <c r="N1072">
        <v>188</v>
      </c>
      <c r="O1072" t="str">
        <f>IF(N1072&gt;=200,"Platinum",IF(N1072&gt;=100,"Gold",IF(N1072&gt;=50,"Silver","Regular")))</f>
        <v>Gold</v>
      </c>
      <c r="P1072" s="4" t="str">
        <f t="shared" si="113"/>
        <v>Friday</v>
      </c>
      <c r="Q1072" s="4" t="str">
        <f t="shared" si="114"/>
        <v>Medium Order</v>
      </c>
      <c r="R1072" s="4" t="str">
        <f t="shared" si="115"/>
        <v>Weekday</v>
      </c>
      <c r="S1072" s="4" t="str">
        <f t="shared" si="116"/>
        <v>Regular</v>
      </c>
    </row>
    <row r="1073" spans="1:19" x14ac:dyDescent="0.3">
      <c r="A1073">
        <v>5741</v>
      </c>
      <c r="B1073" t="s">
        <v>0</v>
      </c>
      <c r="C1073" s="1">
        <v>45206</v>
      </c>
      <c r="D1073" t="s">
        <v>23</v>
      </c>
      <c r="E1073" t="s">
        <v>32</v>
      </c>
      <c r="F1073">
        <v>5</v>
      </c>
      <c r="G1073">
        <v>2.96</v>
      </c>
      <c r="H1073">
        <v>14.8</v>
      </c>
      <c r="I1073" t="str">
        <f t="shared" si="112"/>
        <v>Low</v>
      </c>
      <c r="J1073">
        <v>1.48</v>
      </c>
      <c r="K1073">
        <f t="shared" si="117"/>
        <v>13.32</v>
      </c>
      <c r="L1073" t="str">
        <f t="shared" si="118"/>
        <v>October</v>
      </c>
      <c r="M1073">
        <f>YEAR(C1073)</f>
        <v>2023</v>
      </c>
      <c r="N1073">
        <v>441</v>
      </c>
      <c r="O1073" t="str">
        <f>IF(N1073&gt;=200,"Platinum",IF(N1073&gt;=100,"Gold",IF(N1073&gt;=50,"Silver","Regular")))</f>
        <v>Platinum</v>
      </c>
      <c r="P1073" s="4" t="str">
        <f t="shared" si="113"/>
        <v>Saturday</v>
      </c>
      <c r="Q1073" s="4" t="str">
        <f t="shared" si="114"/>
        <v>Medium Order</v>
      </c>
      <c r="R1073" s="4" t="str">
        <f t="shared" si="115"/>
        <v>Weekend</v>
      </c>
      <c r="S1073" s="4" t="str">
        <f t="shared" si="116"/>
        <v>Regular</v>
      </c>
    </row>
    <row r="1074" spans="1:19" x14ac:dyDescent="0.3">
      <c r="A1074">
        <v>3497</v>
      </c>
      <c r="B1074" t="s">
        <v>8</v>
      </c>
      <c r="C1074" s="1">
        <v>45297</v>
      </c>
      <c r="D1074" t="s">
        <v>17</v>
      </c>
      <c r="E1074" t="s">
        <v>37</v>
      </c>
      <c r="F1074">
        <v>5</v>
      </c>
      <c r="G1074">
        <v>3.8</v>
      </c>
      <c r="H1074">
        <v>19</v>
      </c>
      <c r="I1074" t="str">
        <f t="shared" si="112"/>
        <v>Low</v>
      </c>
      <c r="J1074">
        <v>1.9</v>
      </c>
      <c r="K1074">
        <f t="shared" si="117"/>
        <v>17.100000000000001</v>
      </c>
      <c r="L1074" t="str">
        <f t="shared" si="118"/>
        <v>January</v>
      </c>
      <c r="M1074">
        <f>YEAR(C1074)</f>
        <v>2024</v>
      </c>
      <c r="N1074">
        <v>104</v>
      </c>
      <c r="O1074" t="str">
        <f>IF(N1074&gt;=200,"Platinum",IF(N1074&gt;=100,"Gold",IF(N1074&gt;=50,"Silver","Regular")))</f>
        <v>Gold</v>
      </c>
      <c r="P1074" s="4" t="str">
        <f t="shared" si="113"/>
        <v>Saturday</v>
      </c>
      <c r="Q1074" s="4" t="str">
        <f t="shared" si="114"/>
        <v>Medium Order</v>
      </c>
      <c r="R1074" s="4" t="str">
        <f t="shared" si="115"/>
        <v>Weekend</v>
      </c>
      <c r="S1074" s="4" t="str">
        <f t="shared" si="116"/>
        <v>Regular</v>
      </c>
    </row>
    <row r="1075" spans="1:19" x14ac:dyDescent="0.3">
      <c r="A1075">
        <v>1971</v>
      </c>
      <c r="B1075" t="s">
        <v>25</v>
      </c>
      <c r="C1075" s="1">
        <v>45360</v>
      </c>
      <c r="D1075" t="s">
        <v>24</v>
      </c>
      <c r="E1075" t="s">
        <v>10</v>
      </c>
      <c r="F1075">
        <v>1</v>
      </c>
      <c r="G1075">
        <v>23.7</v>
      </c>
      <c r="H1075">
        <v>23.7</v>
      </c>
      <c r="I1075" t="str">
        <f t="shared" si="112"/>
        <v>Low</v>
      </c>
      <c r="J1075">
        <v>2.37</v>
      </c>
      <c r="K1075">
        <f t="shared" si="117"/>
        <v>21.33</v>
      </c>
      <c r="L1075" t="str">
        <f t="shared" si="118"/>
        <v>March</v>
      </c>
      <c r="M1075">
        <f>YEAR(C1075)</f>
        <v>2024</v>
      </c>
      <c r="N1075">
        <v>169</v>
      </c>
      <c r="O1075" t="str">
        <f>IF(N1075&gt;=200,"Platinum",IF(N1075&gt;=100,"Gold",IF(N1075&gt;=50,"Silver","Regular")))</f>
        <v>Gold</v>
      </c>
      <c r="P1075" s="4" t="str">
        <f t="shared" si="113"/>
        <v>Saturday</v>
      </c>
      <c r="Q1075" s="4" t="str">
        <f t="shared" si="114"/>
        <v>Small Order</v>
      </c>
      <c r="R1075" s="4" t="str">
        <f t="shared" si="115"/>
        <v>Weekend</v>
      </c>
      <c r="S1075" s="4" t="str">
        <f t="shared" si="116"/>
        <v>Regular</v>
      </c>
    </row>
    <row r="1076" spans="1:19" x14ac:dyDescent="0.3">
      <c r="A1076">
        <v>2391</v>
      </c>
      <c r="B1076" t="s">
        <v>19</v>
      </c>
      <c r="C1076" s="1">
        <v>45831</v>
      </c>
      <c r="D1076" t="s">
        <v>34</v>
      </c>
      <c r="E1076" t="s">
        <v>7</v>
      </c>
      <c r="F1076">
        <v>2</v>
      </c>
      <c r="G1076">
        <v>12</v>
      </c>
      <c r="H1076">
        <v>24</v>
      </c>
      <c r="I1076" t="str">
        <f t="shared" si="112"/>
        <v>Low</v>
      </c>
      <c r="J1076">
        <v>2.4</v>
      </c>
      <c r="K1076">
        <f t="shared" si="117"/>
        <v>21.6</v>
      </c>
      <c r="L1076" t="str">
        <f t="shared" si="118"/>
        <v>June</v>
      </c>
      <c r="M1076">
        <f>YEAR(C1076)</f>
        <v>2025</v>
      </c>
      <c r="N1076">
        <v>361</v>
      </c>
      <c r="O1076" t="str">
        <f>IF(N1076&gt;=200,"Platinum",IF(N1076&gt;=100,"Gold",IF(N1076&gt;=50,"Silver","Regular")))</f>
        <v>Platinum</v>
      </c>
      <c r="P1076" s="4" t="str">
        <f t="shared" si="113"/>
        <v>Monday</v>
      </c>
      <c r="Q1076" s="4" t="str">
        <f t="shared" si="114"/>
        <v>Small Order</v>
      </c>
      <c r="R1076" s="4" t="str">
        <f t="shared" si="115"/>
        <v>Weekday</v>
      </c>
      <c r="S1076" s="4" t="str">
        <f t="shared" si="116"/>
        <v>Regular</v>
      </c>
    </row>
    <row r="1077" spans="1:19" x14ac:dyDescent="0.3">
      <c r="A1077">
        <v>9199</v>
      </c>
      <c r="B1077" t="s">
        <v>15</v>
      </c>
      <c r="C1077" s="1">
        <v>45262</v>
      </c>
      <c r="D1077" t="s">
        <v>1</v>
      </c>
      <c r="E1077" t="s">
        <v>2</v>
      </c>
      <c r="F1077">
        <v>4</v>
      </c>
      <c r="G1077">
        <v>6.2</v>
      </c>
      <c r="H1077">
        <v>24.8</v>
      </c>
      <c r="I1077" t="str">
        <f t="shared" si="112"/>
        <v>Low</v>
      </c>
      <c r="J1077">
        <v>2.48</v>
      </c>
      <c r="K1077">
        <f t="shared" si="117"/>
        <v>22.32</v>
      </c>
      <c r="L1077" t="str">
        <f t="shared" si="118"/>
        <v>December</v>
      </c>
      <c r="M1077">
        <f>YEAR(C1077)</f>
        <v>2023</v>
      </c>
      <c r="N1077">
        <v>203</v>
      </c>
      <c r="O1077" t="str">
        <f>IF(N1077&gt;=200,"Platinum",IF(N1077&gt;=100,"Gold",IF(N1077&gt;=50,"Silver","Regular")))</f>
        <v>Platinum</v>
      </c>
      <c r="P1077" s="4" t="str">
        <f t="shared" si="113"/>
        <v>Saturday</v>
      </c>
      <c r="Q1077" s="4" t="str">
        <f t="shared" si="114"/>
        <v>Medium Order</v>
      </c>
      <c r="R1077" s="4" t="str">
        <f t="shared" si="115"/>
        <v>Weekend</v>
      </c>
      <c r="S1077" s="4" t="str">
        <f t="shared" si="116"/>
        <v>Regular</v>
      </c>
    </row>
    <row r="1078" spans="1:19" x14ac:dyDescent="0.3">
      <c r="A1078">
        <v>8962</v>
      </c>
      <c r="B1078" t="s">
        <v>8</v>
      </c>
      <c r="C1078" s="1">
        <v>45778</v>
      </c>
      <c r="D1078" t="s">
        <v>16</v>
      </c>
      <c r="E1078" t="s">
        <v>36</v>
      </c>
      <c r="F1078">
        <v>1</v>
      </c>
      <c r="G1078">
        <v>26.3</v>
      </c>
      <c r="H1078">
        <v>26.3</v>
      </c>
      <c r="I1078" t="str">
        <f t="shared" si="112"/>
        <v>Low</v>
      </c>
      <c r="J1078">
        <v>2.63</v>
      </c>
      <c r="K1078">
        <f t="shared" si="117"/>
        <v>23.67</v>
      </c>
      <c r="L1078" t="str">
        <f t="shared" si="118"/>
        <v>May</v>
      </c>
      <c r="M1078">
        <f>YEAR(C1078)</f>
        <v>2025</v>
      </c>
      <c r="N1078">
        <v>293</v>
      </c>
      <c r="O1078" t="str">
        <f>IF(N1078&gt;=200,"Platinum",IF(N1078&gt;=100,"Gold",IF(N1078&gt;=50,"Silver","Regular")))</f>
        <v>Platinum</v>
      </c>
      <c r="P1078" s="4" t="str">
        <f t="shared" si="113"/>
        <v>Thursday</v>
      </c>
      <c r="Q1078" s="4" t="str">
        <f t="shared" si="114"/>
        <v>Small Order</v>
      </c>
      <c r="R1078" s="4" t="str">
        <f t="shared" si="115"/>
        <v>Weekday</v>
      </c>
      <c r="S1078" s="4" t="str">
        <f t="shared" si="116"/>
        <v>Regular</v>
      </c>
    </row>
    <row r="1079" spans="1:19" x14ac:dyDescent="0.3">
      <c r="A1079">
        <v>3579</v>
      </c>
      <c r="B1079" t="s">
        <v>25</v>
      </c>
      <c r="C1079" s="1">
        <v>45730</v>
      </c>
      <c r="D1079" t="s">
        <v>27</v>
      </c>
      <c r="E1079" t="s">
        <v>29</v>
      </c>
      <c r="F1079">
        <v>1</v>
      </c>
      <c r="G1079">
        <v>27.6</v>
      </c>
      <c r="H1079">
        <v>27.6</v>
      </c>
      <c r="I1079" t="str">
        <f t="shared" si="112"/>
        <v>Low</v>
      </c>
      <c r="J1079">
        <v>2.76</v>
      </c>
      <c r="K1079">
        <f t="shared" si="117"/>
        <v>24.840000000000003</v>
      </c>
      <c r="L1079" t="str">
        <f t="shared" si="118"/>
        <v>March</v>
      </c>
      <c r="M1079">
        <f>YEAR(C1079)</f>
        <v>2025</v>
      </c>
      <c r="N1079">
        <v>326</v>
      </c>
      <c r="O1079" t="str">
        <f>IF(N1079&gt;=200,"Platinum",IF(N1079&gt;=100,"Gold",IF(N1079&gt;=50,"Silver","Regular")))</f>
        <v>Platinum</v>
      </c>
      <c r="P1079" s="4" t="str">
        <f t="shared" si="113"/>
        <v>Friday</v>
      </c>
      <c r="Q1079" s="4" t="str">
        <f t="shared" si="114"/>
        <v>Small Order</v>
      </c>
      <c r="R1079" s="4" t="str">
        <f t="shared" si="115"/>
        <v>Weekday</v>
      </c>
      <c r="S1079" s="4" t="str">
        <f t="shared" si="116"/>
        <v>Regular</v>
      </c>
    </row>
    <row r="1080" spans="1:19" x14ac:dyDescent="0.3">
      <c r="A1080">
        <v>1721</v>
      </c>
      <c r="B1080" t="s">
        <v>3</v>
      </c>
      <c r="C1080" s="1">
        <v>45811</v>
      </c>
      <c r="D1080" t="s">
        <v>6</v>
      </c>
      <c r="E1080" t="s">
        <v>14</v>
      </c>
      <c r="F1080">
        <v>5</v>
      </c>
      <c r="G1080">
        <v>5.94</v>
      </c>
      <c r="H1080">
        <v>29.7</v>
      </c>
      <c r="I1080" t="str">
        <f t="shared" si="112"/>
        <v>Low</v>
      </c>
      <c r="J1080">
        <v>2.97</v>
      </c>
      <c r="K1080">
        <f t="shared" si="117"/>
        <v>26.73</v>
      </c>
      <c r="L1080" t="str">
        <f t="shared" si="118"/>
        <v>June</v>
      </c>
      <c r="M1080">
        <f>YEAR(C1080)</f>
        <v>2025</v>
      </c>
      <c r="N1080">
        <v>353</v>
      </c>
      <c r="O1080" t="str">
        <f>IF(N1080&gt;=200,"Platinum",IF(N1080&gt;=100,"Gold",IF(N1080&gt;=50,"Silver","Regular")))</f>
        <v>Platinum</v>
      </c>
      <c r="P1080" s="4" t="str">
        <f t="shared" si="113"/>
        <v>Tuesday</v>
      </c>
      <c r="Q1080" s="4" t="str">
        <f t="shared" si="114"/>
        <v>Medium Order</v>
      </c>
      <c r="R1080" s="4" t="str">
        <f t="shared" si="115"/>
        <v>Weekday</v>
      </c>
      <c r="S1080" s="4" t="str">
        <f t="shared" si="116"/>
        <v>Regular</v>
      </c>
    </row>
    <row r="1081" spans="1:19" x14ac:dyDescent="0.3">
      <c r="A1081">
        <v>4939</v>
      </c>
      <c r="B1081" t="s">
        <v>8</v>
      </c>
      <c r="C1081" s="1">
        <v>45585</v>
      </c>
      <c r="D1081" t="s">
        <v>17</v>
      </c>
      <c r="E1081" t="s">
        <v>2</v>
      </c>
      <c r="F1081">
        <v>3</v>
      </c>
      <c r="G1081">
        <v>10.9</v>
      </c>
      <c r="H1081">
        <v>32.700000000000003</v>
      </c>
      <c r="I1081" t="str">
        <f t="shared" si="112"/>
        <v>Low</v>
      </c>
      <c r="J1081">
        <v>3.27</v>
      </c>
      <c r="K1081">
        <f t="shared" si="117"/>
        <v>29.430000000000003</v>
      </c>
      <c r="L1081" t="str">
        <f t="shared" si="118"/>
        <v>October</v>
      </c>
      <c r="M1081">
        <f>YEAR(C1081)</f>
        <v>2024</v>
      </c>
      <c r="N1081">
        <v>60</v>
      </c>
      <c r="O1081" t="str">
        <f>IF(N1081&gt;=200,"Platinum",IF(N1081&gt;=100,"Gold",IF(N1081&gt;=50,"Silver","Regular")))</f>
        <v>Silver</v>
      </c>
      <c r="P1081" s="4" t="str">
        <f t="shared" si="113"/>
        <v>Sunday</v>
      </c>
      <c r="Q1081" s="4" t="str">
        <f t="shared" si="114"/>
        <v>Medium Order</v>
      </c>
      <c r="R1081" s="4" t="str">
        <f t="shared" si="115"/>
        <v>Weekend</v>
      </c>
      <c r="S1081" s="4" t="str">
        <f t="shared" si="116"/>
        <v>Regular</v>
      </c>
    </row>
    <row r="1082" spans="1:19" x14ac:dyDescent="0.3">
      <c r="A1082">
        <v>9348</v>
      </c>
      <c r="B1082" t="s">
        <v>13</v>
      </c>
      <c r="C1082" s="1">
        <v>45291</v>
      </c>
      <c r="D1082" t="s">
        <v>1</v>
      </c>
      <c r="E1082" t="s">
        <v>30</v>
      </c>
      <c r="F1082">
        <v>2</v>
      </c>
      <c r="G1082">
        <v>18.350000000000001</v>
      </c>
      <c r="H1082">
        <v>36.700000000000003</v>
      </c>
      <c r="I1082" t="str">
        <f t="shared" si="112"/>
        <v>Low</v>
      </c>
      <c r="J1082">
        <v>3.67</v>
      </c>
      <c r="K1082">
        <f t="shared" si="117"/>
        <v>33.03</v>
      </c>
      <c r="L1082" t="str">
        <f t="shared" si="118"/>
        <v>December</v>
      </c>
      <c r="M1082">
        <f>YEAR(C1082)</f>
        <v>2023</v>
      </c>
      <c r="N1082">
        <v>318</v>
      </c>
      <c r="O1082" t="str">
        <f>IF(N1082&gt;=200,"Platinum",IF(N1082&gt;=100,"Gold",IF(N1082&gt;=50,"Silver","Regular")))</f>
        <v>Platinum</v>
      </c>
      <c r="P1082" s="4" t="str">
        <f t="shared" si="113"/>
        <v>Sunday</v>
      </c>
      <c r="Q1082" s="4" t="str">
        <f t="shared" si="114"/>
        <v>Small Order</v>
      </c>
      <c r="R1082" s="4" t="str">
        <f t="shared" si="115"/>
        <v>Weekend</v>
      </c>
      <c r="S1082" s="4" t="str">
        <f t="shared" si="116"/>
        <v>Regular</v>
      </c>
    </row>
    <row r="1083" spans="1:19" x14ac:dyDescent="0.3">
      <c r="A1083">
        <v>7999</v>
      </c>
      <c r="B1083" t="s">
        <v>19</v>
      </c>
      <c r="C1083" s="1">
        <v>45576</v>
      </c>
      <c r="D1083" t="s">
        <v>24</v>
      </c>
      <c r="E1083" t="s">
        <v>10</v>
      </c>
      <c r="F1083">
        <v>3</v>
      </c>
      <c r="G1083">
        <v>12.6</v>
      </c>
      <c r="H1083">
        <v>37.799999999999997</v>
      </c>
      <c r="I1083" t="str">
        <f t="shared" si="112"/>
        <v>Low</v>
      </c>
      <c r="J1083">
        <v>3.78</v>
      </c>
      <c r="K1083">
        <f t="shared" si="117"/>
        <v>34.019999999999996</v>
      </c>
      <c r="L1083" t="str">
        <f t="shared" si="118"/>
        <v>October</v>
      </c>
      <c r="M1083">
        <f>YEAR(C1083)</f>
        <v>2024</v>
      </c>
      <c r="N1083">
        <v>284</v>
      </c>
      <c r="O1083" t="str">
        <f>IF(N1083&gt;=200,"Platinum",IF(N1083&gt;=100,"Gold",IF(N1083&gt;=50,"Silver","Regular")))</f>
        <v>Platinum</v>
      </c>
      <c r="P1083" s="4" t="str">
        <f t="shared" si="113"/>
        <v>Friday</v>
      </c>
      <c r="Q1083" s="4" t="str">
        <f t="shared" si="114"/>
        <v>Medium Order</v>
      </c>
      <c r="R1083" s="4" t="str">
        <f t="shared" si="115"/>
        <v>Weekday</v>
      </c>
      <c r="S1083" s="4" t="str">
        <f t="shared" si="116"/>
        <v>Regular</v>
      </c>
    </row>
    <row r="1084" spans="1:19" x14ac:dyDescent="0.3">
      <c r="A1084">
        <v>9369</v>
      </c>
      <c r="B1084" t="s">
        <v>25</v>
      </c>
      <c r="C1084" s="1">
        <v>45232</v>
      </c>
      <c r="D1084" t="s">
        <v>24</v>
      </c>
      <c r="E1084" t="s">
        <v>7</v>
      </c>
      <c r="F1084">
        <v>3</v>
      </c>
      <c r="G1084">
        <v>13.7</v>
      </c>
      <c r="H1084">
        <v>41.1</v>
      </c>
      <c r="I1084" t="str">
        <f t="shared" si="112"/>
        <v>Low</v>
      </c>
      <c r="J1084">
        <v>4.1100000000000003</v>
      </c>
      <c r="K1084">
        <f t="shared" si="117"/>
        <v>36.99</v>
      </c>
      <c r="L1084" t="str">
        <f t="shared" si="118"/>
        <v>November</v>
      </c>
      <c r="M1084">
        <f>YEAR(C1084)</f>
        <v>2023</v>
      </c>
      <c r="N1084">
        <v>145</v>
      </c>
      <c r="O1084" t="str">
        <f>IF(N1084&gt;=200,"Platinum",IF(N1084&gt;=100,"Gold",IF(N1084&gt;=50,"Silver","Regular")))</f>
        <v>Gold</v>
      </c>
      <c r="P1084" s="4" t="str">
        <f t="shared" si="113"/>
        <v>Thursday</v>
      </c>
      <c r="Q1084" s="4" t="str">
        <f t="shared" si="114"/>
        <v>Medium Order</v>
      </c>
      <c r="R1084" s="4" t="str">
        <f t="shared" si="115"/>
        <v>Weekday</v>
      </c>
      <c r="S1084" s="4" t="str">
        <f t="shared" si="116"/>
        <v>Regular</v>
      </c>
    </row>
    <row r="1085" spans="1:19" x14ac:dyDescent="0.3">
      <c r="A1085">
        <v>1282</v>
      </c>
      <c r="B1085" t="s">
        <v>8</v>
      </c>
      <c r="C1085" s="1">
        <v>45217</v>
      </c>
      <c r="D1085" t="s">
        <v>9</v>
      </c>
      <c r="E1085" t="s">
        <v>33</v>
      </c>
      <c r="F1085">
        <v>5</v>
      </c>
      <c r="G1085">
        <v>8.2200000000000006</v>
      </c>
      <c r="H1085">
        <v>41.1</v>
      </c>
      <c r="I1085" t="str">
        <f t="shared" si="112"/>
        <v>Low</v>
      </c>
      <c r="J1085">
        <v>4.1100000000000003</v>
      </c>
      <c r="K1085">
        <f t="shared" si="117"/>
        <v>36.99</v>
      </c>
      <c r="L1085" t="str">
        <f t="shared" si="118"/>
        <v>October</v>
      </c>
      <c r="M1085">
        <f>YEAR(C1085)</f>
        <v>2023</v>
      </c>
      <c r="N1085">
        <v>410</v>
      </c>
      <c r="O1085" t="str">
        <f>IF(N1085&gt;=200,"Platinum",IF(N1085&gt;=100,"Gold",IF(N1085&gt;=50,"Silver","Regular")))</f>
        <v>Platinum</v>
      </c>
      <c r="P1085" s="4" t="str">
        <f t="shared" si="113"/>
        <v>Wednesday</v>
      </c>
      <c r="Q1085" s="4" t="str">
        <f t="shared" si="114"/>
        <v>Medium Order</v>
      </c>
      <c r="R1085" s="4" t="str">
        <f t="shared" si="115"/>
        <v>Weekday</v>
      </c>
      <c r="S1085" s="4" t="str">
        <f t="shared" si="116"/>
        <v>Regular</v>
      </c>
    </row>
    <row r="1086" spans="1:19" x14ac:dyDescent="0.3">
      <c r="A1086">
        <v>1652</v>
      </c>
      <c r="B1086" t="s">
        <v>31</v>
      </c>
      <c r="C1086" s="1">
        <v>45861</v>
      </c>
      <c r="D1086" t="s">
        <v>16</v>
      </c>
      <c r="E1086" t="s">
        <v>36</v>
      </c>
      <c r="F1086">
        <v>5</v>
      </c>
      <c r="G1086">
        <v>8.24</v>
      </c>
      <c r="H1086">
        <v>41.2</v>
      </c>
      <c r="I1086" t="str">
        <f t="shared" si="112"/>
        <v>Low</v>
      </c>
      <c r="J1086">
        <v>4.12</v>
      </c>
      <c r="K1086">
        <f t="shared" si="117"/>
        <v>37.080000000000005</v>
      </c>
      <c r="L1086" t="str">
        <f t="shared" si="118"/>
        <v>July</v>
      </c>
      <c r="M1086">
        <f>YEAR(C1086)</f>
        <v>2025</v>
      </c>
      <c r="N1086">
        <v>325</v>
      </c>
      <c r="O1086" t="str">
        <f>IF(N1086&gt;=200,"Platinum",IF(N1086&gt;=100,"Gold",IF(N1086&gt;=50,"Silver","Regular")))</f>
        <v>Platinum</v>
      </c>
      <c r="P1086" s="4" t="str">
        <f t="shared" si="113"/>
        <v>Wednesday</v>
      </c>
      <c r="Q1086" s="4" t="str">
        <f t="shared" si="114"/>
        <v>Medium Order</v>
      </c>
      <c r="R1086" s="4" t="str">
        <f t="shared" si="115"/>
        <v>Weekday</v>
      </c>
      <c r="S1086" s="4" t="str">
        <f t="shared" si="116"/>
        <v>Regular</v>
      </c>
    </row>
    <row r="1087" spans="1:19" x14ac:dyDescent="0.3">
      <c r="A1087">
        <v>3434</v>
      </c>
      <c r="B1087" t="s">
        <v>13</v>
      </c>
      <c r="C1087" s="1">
        <v>45491</v>
      </c>
      <c r="D1087" t="s">
        <v>24</v>
      </c>
      <c r="E1087" t="s">
        <v>12</v>
      </c>
      <c r="F1087">
        <v>2</v>
      </c>
      <c r="G1087">
        <v>20.7</v>
      </c>
      <c r="H1087">
        <v>41.4</v>
      </c>
      <c r="I1087" t="str">
        <f t="shared" si="112"/>
        <v>Low</v>
      </c>
      <c r="J1087">
        <v>4.1399999999999997</v>
      </c>
      <c r="K1087">
        <f t="shared" si="117"/>
        <v>37.26</v>
      </c>
      <c r="L1087" t="str">
        <f t="shared" si="118"/>
        <v>July</v>
      </c>
      <c r="M1087">
        <f>YEAR(C1087)</f>
        <v>2024</v>
      </c>
      <c r="N1087">
        <v>169</v>
      </c>
      <c r="O1087" t="str">
        <f>IF(N1087&gt;=200,"Platinum",IF(N1087&gt;=100,"Gold",IF(N1087&gt;=50,"Silver","Regular")))</f>
        <v>Gold</v>
      </c>
      <c r="P1087" s="4" t="str">
        <f t="shared" si="113"/>
        <v>Thursday</v>
      </c>
      <c r="Q1087" s="4" t="str">
        <f t="shared" si="114"/>
        <v>Small Order</v>
      </c>
      <c r="R1087" s="4" t="str">
        <f t="shared" si="115"/>
        <v>Weekday</v>
      </c>
      <c r="S1087" s="4" t="str">
        <f t="shared" si="116"/>
        <v>Regular</v>
      </c>
    </row>
    <row r="1088" spans="1:19" x14ac:dyDescent="0.3">
      <c r="A1088">
        <v>1841</v>
      </c>
      <c r="B1088" t="s">
        <v>25</v>
      </c>
      <c r="C1088" s="1">
        <v>45598</v>
      </c>
      <c r="D1088" t="s">
        <v>23</v>
      </c>
      <c r="E1088" t="s">
        <v>33</v>
      </c>
      <c r="F1088">
        <v>2</v>
      </c>
      <c r="G1088">
        <v>21.3</v>
      </c>
      <c r="H1088">
        <v>42.6</v>
      </c>
      <c r="I1088" t="str">
        <f t="shared" si="112"/>
        <v>Low</v>
      </c>
      <c r="J1088">
        <v>4.26</v>
      </c>
      <c r="K1088">
        <f t="shared" si="117"/>
        <v>38.340000000000003</v>
      </c>
      <c r="L1088" t="str">
        <f t="shared" si="118"/>
        <v>November</v>
      </c>
      <c r="M1088">
        <f>YEAR(C1088)</f>
        <v>2024</v>
      </c>
      <c r="N1088">
        <v>26</v>
      </c>
      <c r="O1088" t="str">
        <f>IF(N1088&gt;=200,"Platinum",IF(N1088&gt;=100,"Gold",IF(N1088&gt;=50,"Silver","Regular")))</f>
        <v>Regular</v>
      </c>
      <c r="P1088" s="4" t="str">
        <f t="shared" si="113"/>
        <v>Saturday</v>
      </c>
      <c r="Q1088" s="4" t="str">
        <f t="shared" si="114"/>
        <v>Small Order</v>
      </c>
      <c r="R1088" s="4" t="str">
        <f t="shared" si="115"/>
        <v>Weekend</v>
      </c>
      <c r="S1088" s="4" t="str">
        <f t="shared" si="116"/>
        <v>Regular</v>
      </c>
    </row>
    <row r="1089" spans="1:19" x14ac:dyDescent="0.3">
      <c r="A1089">
        <v>1185</v>
      </c>
      <c r="B1089" t="s">
        <v>25</v>
      </c>
      <c r="C1089" s="1">
        <v>45272</v>
      </c>
      <c r="D1089" t="s">
        <v>23</v>
      </c>
      <c r="E1089" t="s">
        <v>29</v>
      </c>
      <c r="F1089">
        <v>2</v>
      </c>
      <c r="G1089">
        <v>21.3</v>
      </c>
      <c r="H1089">
        <v>42.6</v>
      </c>
      <c r="I1089" t="str">
        <f t="shared" si="112"/>
        <v>Low</v>
      </c>
      <c r="J1089">
        <v>4.26</v>
      </c>
      <c r="K1089">
        <f t="shared" si="117"/>
        <v>38.340000000000003</v>
      </c>
      <c r="L1089" t="str">
        <f t="shared" si="118"/>
        <v>December</v>
      </c>
      <c r="M1089">
        <f>YEAR(C1089)</f>
        <v>2023</v>
      </c>
      <c r="N1089">
        <v>134</v>
      </c>
      <c r="O1089" t="str">
        <f>IF(N1089&gt;=200,"Platinum",IF(N1089&gt;=100,"Gold",IF(N1089&gt;=50,"Silver","Regular")))</f>
        <v>Gold</v>
      </c>
      <c r="P1089" s="4" t="str">
        <f t="shared" si="113"/>
        <v>Tuesday</v>
      </c>
      <c r="Q1089" s="4" t="str">
        <f t="shared" si="114"/>
        <v>Small Order</v>
      </c>
      <c r="R1089" s="4" t="str">
        <f t="shared" si="115"/>
        <v>Weekday</v>
      </c>
      <c r="S1089" s="4" t="str">
        <f t="shared" si="116"/>
        <v>Regular</v>
      </c>
    </row>
    <row r="1090" spans="1:19" x14ac:dyDescent="0.3">
      <c r="A1090">
        <v>1439</v>
      </c>
      <c r="B1090" t="s">
        <v>0</v>
      </c>
      <c r="C1090" s="1">
        <v>45803</v>
      </c>
      <c r="D1090" t="s">
        <v>34</v>
      </c>
      <c r="E1090" t="s">
        <v>18</v>
      </c>
      <c r="F1090">
        <v>2</v>
      </c>
      <c r="G1090">
        <v>21.65</v>
      </c>
      <c r="H1090">
        <v>43.3</v>
      </c>
      <c r="I1090" t="str">
        <f t="shared" ref="I1090:I1153" si="119">IF(J1090=0,"No Discount",IF(J1090&lt;=5,"Low",IF(J1090&lt;=10,"Medium",IF(J1090&lt;=20,"High","Very High"))))</f>
        <v>Low</v>
      </c>
      <c r="J1090">
        <v>4.33</v>
      </c>
      <c r="K1090">
        <f t="shared" si="117"/>
        <v>38.97</v>
      </c>
      <c r="L1090" t="str">
        <f t="shared" si="118"/>
        <v>May</v>
      </c>
      <c r="M1090">
        <f>YEAR(C1090)</f>
        <v>2025</v>
      </c>
      <c r="N1090">
        <v>37</v>
      </c>
      <c r="O1090" t="str">
        <f>IF(N1090&gt;=200,"Platinum",IF(N1090&gt;=100,"Gold",IF(N1090&gt;=50,"Silver","Regular")))</f>
        <v>Regular</v>
      </c>
      <c r="P1090" s="4" t="str">
        <f t="shared" ref="P1090:P1153" si="120">TEXT(C1090,"dddd")</f>
        <v>Monday</v>
      </c>
      <c r="Q1090" s="4" t="str">
        <f t="shared" ref="Q1090:Q1153" si="121">IF(F1090&lt;=2,"Small Order",IF(F1090&lt;=5,"Medium Order",IF(F1090&lt;=10,"Large Order","Bulk Order")))</f>
        <v>Small Order</v>
      </c>
      <c r="R1090" s="4" t="str">
        <f t="shared" ref="R1090:R1153" si="122">IF(WEEKDAY(C1090,2)&gt;5,"Weekend","Weekday")</f>
        <v>Weekday</v>
      </c>
      <c r="S1090" s="4" t="str">
        <f t="shared" ref="S1090:S1153" si="123">IF(K1090&gt;=100,"High Value","Regular")</f>
        <v>Regular</v>
      </c>
    </row>
    <row r="1091" spans="1:19" x14ac:dyDescent="0.3">
      <c r="A1091">
        <v>8840</v>
      </c>
      <c r="B1091" t="s">
        <v>15</v>
      </c>
      <c r="C1091" s="1">
        <v>45635</v>
      </c>
      <c r="D1091" t="s">
        <v>27</v>
      </c>
      <c r="E1091" t="s">
        <v>36</v>
      </c>
      <c r="F1091">
        <v>2</v>
      </c>
      <c r="G1091">
        <v>21.7</v>
      </c>
      <c r="H1091">
        <v>43.4</v>
      </c>
      <c r="I1091" t="str">
        <f t="shared" si="119"/>
        <v>Low</v>
      </c>
      <c r="J1091">
        <v>4.34</v>
      </c>
      <c r="K1091">
        <f t="shared" ref="K1091:K1154" si="124">MAX(0,H1091-J1091)</f>
        <v>39.06</v>
      </c>
      <c r="L1091" t="str">
        <f t="shared" ref="L1091:L1154" si="125">TEXT(C1091,"mmmm")</f>
        <v>December</v>
      </c>
      <c r="M1091">
        <f>YEAR(C1091)</f>
        <v>2024</v>
      </c>
      <c r="N1091">
        <v>270</v>
      </c>
      <c r="O1091" t="str">
        <f>IF(N1091&gt;=200,"Platinum",IF(N1091&gt;=100,"Gold",IF(N1091&gt;=50,"Silver","Regular")))</f>
        <v>Platinum</v>
      </c>
      <c r="P1091" s="4" t="str">
        <f t="shared" si="120"/>
        <v>Monday</v>
      </c>
      <c r="Q1091" s="4" t="str">
        <f t="shared" si="121"/>
        <v>Small Order</v>
      </c>
      <c r="R1091" s="4" t="str">
        <f t="shared" si="122"/>
        <v>Weekday</v>
      </c>
      <c r="S1091" s="4" t="str">
        <f t="shared" si="123"/>
        <v>Regular</v>
      </c>
    </row>
    <row r="1092" spans="1:19" x14ac:dyDescent="0.3">
      <c r="A1092">
        <v>9199</v>
      </c>
      <c r="B1092" t="s">
        <v>13</v>
      </c>
      <c r="C1092" s="1">
        <v>45564</v>
      </c>
      <c r="D1092" t="s">
        <v>16</v>
      </c>
      <c r="E1092" t="s">
        <v>37</v>
      </c>
      <c r="F1092">
        <v>5</v>
      </c>
      <c r="G1092">
        <v>8.82</v>
      </c>
      <c r="H1092">
        <v>44.1</v>
      </c>
      <c r="I1092" t="str">
        <f t="shared" si="119"/>
        <v>Low</v>
      </c>
      <c r="J1092">
        <v>4.41</v>
      </c>
      <c r="K1092">
        <f t="shared" si="124"/>
        <v>39.69</v>
      </c>
      <c r="L1092" t="str">
        <f t="shared" si="125"/>
        <v>September</v>
      </c>
      <c r="M1092">
        <f>YEAR(C1092)</f>
        <v>2024</v>
      </c>
      <c r="N1092">
        <v>310</v>
      </c>
      <c r="O1092" t="str">
        <f>IF(N1092&gt;=200,"Platinum",IF(N1092&gt;=100,"Gold",IF(N1092&gt;=50,"Silver","Regular")))</f>
        <v>Platinum</v>
      </c>
      <c r="P1092" s="4" t="str">
        <f t="shared" si="120"/>
        <v>Sunday</v>
      </c>
      <c r="Q1092" s="4" t="str">
        <f t="shared" si="121"/>
        <v>Medium Order</v>
      </c>
      <c r="R1092" s="4" t="str">
        <f t="shared" si="122"/>
        <v>Weekend</v>
      </c>
      <c r="S1092" s="4" t="str">
        <f t="shared" si="123"/>
        <v>Regular</v>
      </c>
    </row>
    <row r="1093" spans="1:19" x14ac:dyDescent="0.3">
      <c r="A1093">
        <v>8792</v>
      </c>
      <c r="B1093" t="s">
        <v>15</v>
      </c>
      <c r="C1093" s="1">
        <v>45534</v>
      </c>
      <c r="D1093" t="s">
        <v>27</v>
      </c>
      <c r="E1093" t="s">
        <v>32</v>
      </c>
      <c r="F1093">
        <v>2</v>
      </c>
      <c r="G1093">
        <v>22.1</v>
      </c>
      <c r="H1093">
        <v>44.2</v>
      </c>
      <c r="I1093" t="str">
        <f t="shared" si="119"/>
        <v>Low</v>
      </c>
      <c r="J1093">
        <v>4.42</v>
      </c>
      <c r="K1093">
        <f t="shared" si="124"/>
        <v>39.78</v>
      </c>
      <c r="L1093" t="str">
        <f t="shared" si="125"/>
        <v>August</v>
      </c>
      <c r="M1093">
        <f>YEAR(C1093)</f>
        <v>2024</v>
      </c>
      <c r="N1093">
        <v>227</v>
      </c>
      <c r="O1093" t="str">
        <f>IF(N1093&gt;=200,"Platinum",IF(N1093&gt;=100,"Gold",IF(N1093&gt;=50,"Silver","Regular")))</f>
        <v>Platinum</v>
      </c>
      <c r="P1093" s="4" t="str">
        <f t="shared" si="120"/>
        <v>Friday</v>
      </c>
      <c r="Q1093" s="4" t="str">
        <f t="shared" si="121"/>
        <v>Small Order</v>
      </c>
      <c r="R1093" s="4" t="str">
        <f t="shared" si="122"/>
        <v>Weekday</v>
      </c>
      <c r="S1093" s="4" t="str">
        <f t="shared" si="123"/>
        <v>Regular</v>
      </c>
    </row>
    <row r="1094" spans="1:19" x14ac:dyDescent="0.3">
      <c r="A1094">
        <v>3248</v>
      </c>
      <c r="B1094" t="s">
        <v>25</v>
      </c>
      <c r="C1094" s="1">
        <v>45689</v>
      </c>
      <c r="D1094" t="s">
        <v>24</v>
      </c>
      <c r="E1094" t="s">
        <v>33</v>
      </c>
      <c r="F1094">
        <v>5</v>
      </c>
      <c r="G1094">
        <v>9.1199999999999992</v>
      </c>
      <c r="H1094">
        <v>45.6</v>
      </c>
      <c r="I1094" t="str">
        <f t="shared" si="119"/>
        <v>Low</v>
      </c>
      <c r="J1094">
        <v>4.5599999999999996</v>
      </c>
      <c r="K1094">
        <f t="shared" si="124"/>
        <v>41.04</v>
      </c>
      <c r="L1094" t="str">
        <f t="shared" si="125"/>
        <v>February</v>
      </c>
      <c r="M1094">
        <f>YEAR(C1094)</f>
        <v>2025</v>
      </c>
      <c r="N1094">
        <v>266</v>
      </c>
      <c r="O1094" t="str">
        <f>IF(N1094&gt;=200,"Platinum",IF(N1094&gt;=100,"Gold",IF(N1094&gt;=50,"Silver","Regular")))</f>
        <v>Platinum</v>
      </c>
      <c r="P1094" s="4" t="str">
        <f t="shared" si="120"/>
        <v>Saturday</v>
      </c>
      <c r="Q1094" s="4" t="str">
        <f t="shared" si="121"/>
        <v>Medium Order</v>
      </c>
      <c r="R1094" s="4" t="str">
        <f t="shared" si="122"/>
        <v>Weekend</v>
      </c>
      <c r="S1094" s="4" t="str">
        <f t="shared" si="123"/>
        <v>Regular</v>
      </c>
    </row>
    <row r="1095" spans="1:19" x14ac:dyDescent="0.3">
      <c r="A1095">
        <v>6718</v>
      </c>
      <c r="B1095" t="s">
        <v>19</v>
      </c>
      <c r="C1095" s="1">
        <v>45829</v>
      </c>
      <c r="D1095" t="s">
        <v>24</v>
      </c>
      <c r="E1095" t="s">
        <v>29</v>
      </c>
      <c r="F1095">
        <v>3</v>
      </c>
      <c r="G1095">
        <v>15.7</v>
      </c>
      <c r="H1095">
        <v>47.1</v>
      </c>
      <c r="I1095" t="str">
        <f t="shared" si="119"/>
        <v>Low</v>
      </c>
      <c r="J1095">
        <v>4.71</v>
      </c>
      <c r="K1095">
        <f t="shared" si="124"/>
        <v>42.39</v>
      </c>
      <c r="L1095" t="str">
        <f t="shared" si="125"/>
        <v>June</v>
      </c>
      <c r="M1095">
        <f>YEAR(C1095)</f>
        <v>2025</v>
      </c>
      <c r="N1095">
        <v>158</v>
      </c>
      <c r="O1095" t="str">
        <f>IF(N1095&gt;=200,"Platinum",IF(N1095&gt;=100,"Gold",IF(N1095&gt;=50,"Silver","Regular")))</f>
        <v>Gold</v>
      </c>
      <c r="P1095" s="4" t="str">
        <f t="shared" si="120"/>
        <v>Saturday</v>
      </c>
      <c r="Q1095" s="4" t="str">
        <f t="shared" si="121"/>
        <v>Medium Order</v>
      </c>
      <c r="R1095" s="4" t="str">
        <f t="shared" si="122"/>
        <v>Weekend</v>
      </c>
      <c r="S1095" s="4" t="str">
        <f t="shared" si="123"/>
        <v>Regular</v>
      </c>
    </row>
    <row r="1096" spans="1:19" x14ac:dyDescent="0.3">
      <c r="A1096">
        <v>3955</v>
      </c>
      <c r="B1096" t="s">
        <v>3</v>
      </c>
      <c r="C1096" s="1">
        <v>45357</v>
      </c>
      <c r="D1096" t="s">
        <v>9</v>
      </c>
      <c r="E1096" t="s">
        <v>7</v>
      </c>
      <c r="F1096">
        <v>4</v>
      </c>
      <c r="G1096">
        <v>12.15</v>
      </c>
      <c r="H1096">
        <v>48.6</v>
      </c>
      <c r="I1096" t="str">
        <f t="shared" si="119"/>
        <v>Low</v>
      </c>
      <c r="J1096">
        <v>4.8600000000000003</v>
      </c>
      <c r="K1096">
        <f t="shared" si="124"/>
        <v>43.74</v>
      </c>
      <c r="L1096" t="str">
        <f t="shared" si="125"/>
        <v>March</v>
      </c>
      <c r="M1096">
        <f>YEAR(C1096)</f>
        <v>2024</v>
      </c>
      <c r="N1096">
        <v>115</v>
      </c>
      <c r="O1096" t="str">
        <f>IF(N1096&gt;=200,"Platinum",IF(N1096&gt;=100,"Gold",IF(N1096&gt;=50,"Silver","Regular")))</f>
        <v>Gold</v>
      </c>
      <c r="P1096" s="4" t="str">
        <f t="shared" si="120"/>
        <v>Wednesday</v>
      </c>
      <c r="Q1096" s="4" t="str">
        <f t="shared" si="121"/>
        <v>Medium Order</v>
      </c>
      <c r="R1096" s="4" t="str">
        <f t="shared" si="122"/>
        <v>Weekday</v>
      </c>
      <c r="S1096" s="4" t="str">
        <f t="shared" si="123"/>
        <v>Regular</v>
      </c>
    </row>
    <row r="1097" spans="1:19" x14ac:dyDescent="0.3">
      <c r="A1097">
        <v>2228</v>
      </c>
      <c r="B1097" t="s">
        <v>13</v>
      </c>
      <c r="C1097" s="1">
        <v>45161</v>
      </c>
      <c r="D1097" t="s">
        <v>16</v>
      </c>
      <c r="E1097" t="s">
        <v>12</v>
      </c>
      <c r="F1097">
        <v>2</v>
      </c>
      <c r="G1097">
        <v>25</v>
      </c>
      <c r="H1097">
        <v>50</v>
      </c>
      <c r="I1097" t="str">
        <f t="shared" si="119"/>
        <v>Low</v>
      </c>
      <c r="J1097">
        <v>5</v>
      </c>
      <c r="K1097">
        <f t="shared" si="124"/>
        <v>45</v>
      </c>
      <c r="L1097" t="str">
        <f t="shared" si="125"/>
        <v>August</v>
      </c>
      <c r="M1097">
        <f>YEAR(C1097)</f>
        <v>2023</v>
      </c>
      <c r="N1097">
        <v>208</v>
      </c>
      <c r="O1097" t="str">
        <f>IF(N1097&gt;=200,"Platinum",IF(N1097&gt;=100,"Gold",IF(N1097&gt;=50,"Silver","Regular")))</f>
        <v>Platinum</v>
      </c>
      <c r="P1097" s="4" t="str">
        <f t="shared" si="120"/>
        <v>Wednesday</v>
      </c>
      <c r="Q1097" s="4" t="str">
        <f t="shared" si="121"/>
        <v>Small Order</v>
      </c>
      <c r="R1097" s="4" t="str">
        <f t="shared" si="122"/>
        <v>Weekday</v>
      </c>
      <c r="S1097" s="4" t="str">
        <f t="shared" si="123"/>
        <v>Regular</v>
      </c>
    </row>
    <row r="1098" spans="1:19" x14ac:dyDescent="0.3">
      <c r="A1098">
        <v>5415</v>
      </c>
      <c r="B1098" t="s">
        <v>25</v>
      </c>
      <c r="C1098" s="1">
        <v>45592</v>
      </c>
      <c r="D1098" t="s">
        <v>23</v>
      </c>
      <c r="E1098" t="s">
        <v>37</v>
      </c>
      <c r="F1098">
        <v>4</v>
      </c>
      <c r="G1098">
        <v>12.6</v>
      </c>
      <c r="H1098">
        <v>50.4</v>
      </c>
      <c r="I1098" t="str">
        <f t="shared" si="119"/>
        <v>Medium</v>
      </c>
      <c r="J1098">
        <v>5.04</v>
      </c>
      <c r="K1098">
        <f t="shared" si="124"/>
        <v>45.36</v>
      </c>
      <c r="L1098" t="str">
        <f t="shared" si="125"/>
        <v>October</v>
      </c>
      <c r="M1098">
        <f>YEAR(C1098)</f>
        <v>2024</v>
      </c>
      <c r="N1098">
        <v>233</v>
      </c>
      <c r="O1098" t="str">
        <f>IF(N1098&gt;=200,"Platinum",IF(N1098&gt;=100,"Gold",IF(N1098&gt;=50,"Silver","Regular")))</f>
        <v>Platinum</v>
      </c>
      <c r="P1098" s="4" t="str">
        <f t="shared" si="120"/>
        <v>Sunday</v>
      </c>
      <c r="Q1098" s="4" t="str">
        <f t="shared" si="121"/>
        <v>Medium Order</v>
      </c>
      <c r="R1098" s="4" t="str">
        <f t="shared" si="122"/>
        <v>Weekend</v>
      </c>
      <c r="S1098" s="4" t="str">
        <f t="shared" si="123"/>
        <v>Regular</v>
      </c>
    </row>
    <row r="1099" spans="1:19" x14ac:dyDescent="0.3">
      <c r="A1099">
        <v>5693</v>
      </c>
      <c r="B1099" t="s">
        <v>3</v>
      </c>
      <c r="C1099" s="1">
        <v>45633</v>
      </c>
      <c r="D1099" t="s">
        <v>6</v>
      </c>
      <c r="E1099" t="s">
        <v>21</v>
      </c>
      <c r="F1099">
        <v>2</v>
      </c>
      <c r="G1099">
        <v>25.35</v>
      </c>
      <c r="H1099">
        <v>50.7</v>
      </c>
      <c r="I1099" t="str">
        <f t="shared" si="119"/>
        <v>Medium</v>
      </c>
      <c r="J1099">
        <v>5.07</v>
      </c>
      <c r="K1099">
        <f t="shared" si="124"/>
        <v>45.63</v>
      </c>
      <c r="L1099" t="str">
        <f t="shared" si="125"/>
        <v>December</v>
      </c>
      <c r="M1099">
        <f>YEAR(C1099)</f>
        <v>2024</v>
      </c>
      <c r="N1099">
        <v>180</v>
      </c>
      <c r="O1099" t="str">
        <f>IF(N1099&gt;=200,"Platinum",IF(N1099&gt;=100,"Gold",IF(N1099&gt;=50,"Silver","Regular")))</f>
        <v>Gold</v>
      </c>
      <c r="P1099" s="4" t="str">
        <f t="shared" si="120"/>
        <v>Saturday</v>
      </c>
      <c r="Q1099" s="4" t="str">
        <f t="shared" si="121"/>
        <v>Small Order</v>
      </c>
      <c r="R1099" s="4" t="str">
        <f t="shared" si="122"/>
        <v>Weekend</v>
      </c>
      <c r="S1099" s="4" t="str">
        <f t="shared" si="123"/>
        <v>Regular</v>
      </c>
    </row>
    <row r="1100" spans="1:19" x14ac:dyDescent="0.3">
      <c r="A1100">
        <v>5653</v>
      </c>
      <c r="B1100" t="s">
        <v>20</v>
      </c>
      <c r="C1100" s="1">
        <v>45802</v>
      </c>
      <c r="D1100" t="s">
        <v>34</v>
      </c>
      <c r="E1100" t="s">
        <v>35</v>
      </c>
      <c r="F1100">
        <v>5</v>
      </c>
      <c r="G1100">
        <v>10.74</v>
      </c>
      <c r="H1100">
        <v>53.7</v>
      </c>
      <c r="I1100" t="str">
        <f t="shared" si="119"/>
        <v>Medium</v>
      </c>
      <c r="J1100">
        <v>5.37</v>
      </c>
      <c r="K1100">
        <f t="shared" si="124"/>
        <v>48.330000000000005</v>
      </c>
      <c r="L1100" t="str">
        <f t="shared" si="125"/>
        <v>May</v>
      </c>
      <c r="M1100">
        <f>YEAR(C1100)</f>
        <v>2025</v>
      </c>
      <c r="N1100">
        <v>230</v>
      </c>
      <c r="O1100" t="str">
        <f>IF(N1100&gt;=200,"Platinum",IF(N1100&gt;=100,"Gold",IF(N1100&gt;=50,"Silver","Regular")))</f>
        <v>Platinum</v>
      </c>
      <c r="P1100" s="4" t="str">
        <f t="shared" si="120"/>
        <v>Sunday</v>
      </c>
      <c r="Q1100" s="4" t="str">
        <f t="shared" si="121"/>
        <v>Medium Order</v>
      </c>
      <c r="R1100" s="4" t="str">
        <f t="shared" si="122"/>
        <v>Weekend</v>
      </c>
      <c r="S1100" s="4" t="str">
        <f t="shared" si="123"/>
        <v>Regular</v>
      </c>
    </row>
    <row r="1101" spans="1:19" x14ac:dyDescent="0.3">
      <c r="A1101">
        <v>2192</v>
      </c>
      <c r="B1101" t="s">
        <v>0</v>
      </c>
      <c r="C1101" s="1">
        <v>45291</v>
      </c>
      <c r="D1101" t="s">
        <v>23</v>
      </c>
      <c r="E1101" t="s">
        <v>28</v>
      </c>
      <c r="F1101">
        <v>5</v>
      </c>
      <c r="G1101">
        <v>11.2</v>
      </c>
      <c r="H1101">
        <v>56</v>
      </c>
      <c r="I1101" t="str">
        <f t="shared" si="119"/>
        <v>Medium</v>
      </c>
      <c r="J1101">
        <v>5.6</v>
      </c>
      <c r="K1101">
        <f t="shared" si="124"/>
        <v>50.4</v>
      </c>
      <c r="L1101" t="str">
        <f t="shared" si="125"/>
        <v>December</v>
      </c>
      <c r="M1101">
        <f>YEAR(C1101)</f>
        <v>2023</v>
      </c>
      <c r="N1101">
        <v>242</v>
      </c>
      <c r="O1101" t="str">
        <f>IF(N1101&gt;=200,"Platinum",IF(N1101&gt;=100,"Gold",IF(N1101&gt;=50,"Silver","Regular")))</f>
        <v>Platinum</v>
      </c>
      <c r="P1101" s="4" t="str">
        <f t="shared" si="120"/>
        <v>Sunday</v>
      </c>
      <c r="Q1101" s="4" t="str">
        <f t="shared" si="121"/>
        <v>Medium Order</v>
      </c>
      <c r="R1101" s="4" t="str">
        <f t="shared" si="122"/>
        <v>Weekend</v>
      </c>
      <c r="S1101" s="4" t="str">
        <f t="shared" si="123"/>
        <v>Regular</v>
      </c>
    </row>
    <row r="1102" spans="1:19" x14ac:dyDescent="0.3">
      <c r="A1102">
        <v>4310</v>
      </c>
      <c r="B1102" t="s">
        <v>0</v>
      </c>
      <c r="C1102" s="1">
        <v>45788</v>
      </c>
      <c r="D1102" t="s">
        <v>11</v>
      </c>
      <c r="E1102" t="s">
        <v>30</v>
      </c>
      <c r="F1102">
        <v>5</v>
      </c>
      <c r="G1102">
        <v>11.24</v>
      </c>
      <c r="H1102">
        <v>56.2</v>
      </c>
      <c r="I1102" t="str">
        <f t="shared" si="119"/>
        <v>Medium</v>
      </c>
      <c r="J1102">
        <v>5.62</v>
      </c>
      <c r="K1102">
        <f t="shared" si="124"/>
        <v>50.580000000000005</v>
      </c>
      <c r="L1102" t="str">
        <f t="shared" si="125"/>
        <v>May</v>
      </c>
      <c r="M1102">
        <f>YEAR(C1102)</f>
        <v>2025</v>
      </c>
      <c r="N1102">
        <v>26</v>
      </c>
      <c r="O1102" t="str">
        <f>IF(N1102&gt;=200,"Platinum",IF(N1102&gt;=100,"Gold",IF(N1102&gt;=50,"Silver","Regular")))</f>
        <v>Regular</v>
      </c>
      <c r="P1102" s="4" t="str">
        <f t="shared" si="120"/>
        <v>Sunday</v>
      </c>
      <c r="Q1102" s="4" t="str">
        <f t="shared" si="121"/>
        <v>Medium Order</v>
      </c>
      <c r="R1102" s="4" t="str">
        <f t="shared" si="122"/>
        <v>Weekend</v>
      </c>
      <c r="S1102" s="4" t="str">
        <f t="shared" si="123"/>
        <v>Regular</v>
      </c>
    </row>
    <row r="1103" spans="1:19" x14ac:dyDescent="0.3">
      <c r="A1103">
        <v>4878</v>
      </c>
      <c r="B1103" t="s">
        <v>25</v>
      </c>
      <c r="C1103" s="1">
        <v>45816</v>
      </c>
      <c r="D1103" t="s">
        <v>16</v>
      </c>
      <c r="E1103" t="s">
        <v>2</v>
      </c>
      <c r="F1103">
        <v>2</v>
      </c>
      <c r="G1103">
        <v>28.85</v>
      </c>
      <c r="H1103">
        <v>57.7</v>
      </c>
      <c r="I1103" t="str">
        <f t="shared" si="119"/>
        <v>Medium</v>
      </c>
      <c r="J1103">
        <v>5.77</v>
      </c>
      <c r="K1103">
        <f t="shared" si="124"/>
        <v>51.930000000000007</v>
      </c>
      <c r="L1103" t="str">
        <f t="shared" si="125"/>
        <v>June</v>
      </c>
      <c r="M1103">
        <f>YEAR(C1103)</f>
        <v>2025</v>
      </c>
      <c r="N1103">
        <v>13</v>
      </c>
      <c r="O1103" t="str">
        <f>IF(N1103&gt;=200,"Platinum",IF(N1103&gt;=100,"Gold",IF(N1103&gt;=50,"Silver","Regular")))</f>
        <v>Regular</v>
      </c>
      <c r="P1103" s="4" t="str">
        <f t="shared" si="120"/>
        <v>Sunday</v>
      </c>
      <c r="Q1103" s="4" t="str">
        <f t="shared" si="121"/>
        <v>Small Order</v>
      </c>
      <c r="R1103" s="4" t="str">
        <f t="shared" si="122"/>
        <v>Weekend</v>
      </c>
      <c r="S1103" s="4" t="str">
        <f t="shared" si="123"/>
        <v>Regular</v>
      </c>
    </row>
    <row r="1104" spans="1:19" x14ac:dyDescent="0.3">
      <c r="A1104">
        <v>5564</v>
      </c>
      <c r="B1104" t="s">
        <v>20</v>
      </c>
      <c r="C1104" s="1">
        <v>45590</v>
      </c>
      <c r="D1104" t="s">
        <v>6</v>
      </c>
      <c r="E1104" t="s">
        <v>5</v>
      </c>
      <c r="F1104">
        <v>5</v>
      </c>
      <c r="G1104">
        <v>12.42</v>
      </c>
      <c r="H1104">
        <v>62.1</v>
      </c>
      <c r="I1104" t="str">
        <f t="shared" si="119"/>
        <v>Medium</v>
      </c>
      <c r="J1104">
        <v>6.21</v>
      </c>
      <c r="K1104">
        <f t="shared" si="124"/>
        <v>55.89</v>
      </c>
      <c r="L1104" t="str">
        <f t="shared" si="125"/>
        <v>October</v>
      </c>
      <c r="M1104">
        <f>YEAR(C1104)</f>
        <v>2024</v>
      </c>
      <c r="N1104">
        <v>162</v>
      </c>
      <c r="O1104" t="str">
        <f>IF(N1104&gt;=200,"Platinum",IF(N1104&gt;=100,"Gold",IF(N1104&gt;=50,"Silver","Regular")))</f>
        <v>Gold</v>
      </c>
      <c r="P1104" s="4" t="str">
        <f t="shared" si="120"/>
        <v>Friday</v>
      </c>
      <c r="Q1104" s="4" t="str">
        <f t="shared" si="121"/>
        <v>Medium Order</v>
      </c>
      <c r="R1104" s="4" t="str">
        <f t="shared" si="122"/>
        <v>Weekday</v>
      </c>
      <c r="S1104" s="4" t="str">
        <f t="shared" si="123"/>
        <v>Regular</v>
      </c>
    </row>
    <row r="1105" spans="1:19" x14ac:dyDescent="0.3">
      <c r="A1105">
        <v>9938</v>
      </c>
      <c r="B1105" t="s">
        <v>8</v>
      </c>
      <c r="C1105" s="1">
        <v>45369</v>
      </c>
      <c r="D1105" t="s">
        <v>4</v>
      </c>
      <c r="E1105" t="s">
        <v>30</v>
      </c>
      <c r="F1105">
        <v>5</v>
      </c>
      <c r="G1105">
        <v>13.12</v>
      </c>
      <c r="H1105">
        <v>65.599999999999994</v>
      </c>
      <c r="I1105" t="str">
        <f t="shared" si="119"/>
        <v>Medium</v>
      </c>
      <c r="J1105">
        <v>6.56</v>
      </c>
      <c r="K1105">
        <f t="shared" si="124"/>
        <v>59.039999999999992</v>
      </c>
      <c r="L1105" t="str">
        <f t="shared" si="125"/>
        <v>March</v>
      </c>
      <c r="M1105">
        <f>YEAR(C1105)</f>
        <v>2024</v>
      </c>
      <c r="N1105">
        <v>380</v>
      </c>
      <c r="O1105" t="str">
        <f>IF(N1105&gt;=200,"Platinum",IF(N1105&gt;=100,"Gold",IF(N1105&gt;=50,"Silver","Regular")))</f>
        <v>Platinum</v>
      </c>
      <c r="P1105" s="4" t="str">
        <f t="shared" si="120"/>
        <v>Monday</v>
      </c>
      <c r="Q1105" s="4" t="str">
        <f t="shared" si="121"/>
        <v>Medium Order</v>
      </c>
      <c r="R1105" s="4" t="str">
        <f t="shared" si="122"/>
        <v>Weekday</v>
      </c>
      <c r="S1105" s="4" t="str">
        <f t="shared" si="123"/>
        <v>Regular</v>
      </c>
    </row>
    <row r="1106" spans="1:19" x14ac:dyDescent="0.3">
      <c r="A1106">
        <v>2886</v>
      </c>
      <c r="B1106" t="s">
        <v>31</v>
      </c>
      <c r="C1106" s="1">
        <v>45508</v>
      </c>
      <c r="D1106" t="s">
        <v>1</v>
      </c>
      <c r="E1106" t="s">
        <v>21</v>
      </c>
      <c r="F1106">
        <v>3</v>
      </c>
      <c r="G1106">
        <v>22</v>
      </c>
      <c r="H1106">
        <v>66</v>
      </c>
      <c r="I1106" t="str">
        <f t="shared" si="119"/>
        <v>Medium</v>
      </c>
      <c r="J1106">
        <v>6.6</v>
      </c>
      <c r="K1106">
        <f t="shared" si="124"/>
        <v>59.4</v>
      </c>
      <c r="L1106" t="str">
        <f t="shared" si="125"/>
        <v>August</v>
      </c>
      <c r="M1106">
        <f>YEAR(C1106)</f>
        <v>2024</v>
      </c>
      <c r="N1106">
        <v>128</v>
      </c>
      <c r="O1106" t="str">
        <f>IF(N1106&gt;=200,"Platinum",IF(N1106&gt;=100,"Gold",IF(N1106&gt;=50,"Silver","Regular")))</f>
        <v>Gold</v>
      </c>
      <c r="P1106" s="4" t="str">
        <f t="shared" si="120"/>
        <v>Sunday</v>
      </c>
      <c r="Q1106" s="4" t="str">
        <f t="shared" si="121"/>
        <v>Medium Order</v>
      </c>
      <c r="R1106" s="4" t="str">
        <f t="shared" si="122"/>
        <v>Weekend</v>
      </c>
      <c r="S1106" s="4" t="str">
        <f t="shared" si="123"/>
        <v>Regular</v>
      </c>
    </row>
    <row r="1107" spans="1:19" x14ac:dyDescent="0.3">
      <c r="A1107">
        <v>4612</v>
      </c>
      <c r="B1107" t="s">
        <v>19</v>
      </c>
      <c r="C1107" s="1">
        <v>45452</v>
      </c>
      <c r="D1107" t="s">
        <v>23</v>
      </c>
      <c r="E1107" t="s">
        <v>10</v>
      </c>
      <c r="F1107">
        <v>4</v>
      </c>
      <c r="G1107">
        <v>17.649999999999999</v>
      </c>
      <c r="H1107">
        <v>70.599999999999994</v>
      </c>
      <c r="I1107" t="str">
        <f t="shared" si="119"/>
        <v>Medium</v>
      </c>
      <c r="J1107">
        <v>7.06</v>
      </c>
      <c r="K1107">
        <f t="shared" si="124"/>
        <v>63.539999999999992</v>
      </c>
      <c r="L1107" t="str">
        <f t="shared" si="125"/>
        <v>June</v>
      </c>
      <c r="M1107">
        <f>YEAR(C1107)</f>
        <v>2024</v>
      </c>
      <c r="N1107">
        <v>263</v>
      </c>
      <c r="O1107" t="str">
        <f>IF(N1107&gt;=200,"Platinum",IF(N1107&gt;=100,"Gold",IF(N1107&gt;=50,"Silver","Regular")))</f>
        <v>Platinum</v>
      </c>
      <c r="P1107" s="4" t="str">
        <f t="shared" si="120"/>
        <v>Sunday</v>
      </c>
      <c r="Q1107" s="4" t="str">
        <f t="shared" si="121"/>
        <v>Medium Order</v>
      </c>
      <c r="R1107" s="4" t="str">
        <f t="shared" si="122"/>
        <v>Weekend</v>
      </c>
      <c r="S1107" s="4" t="str">
        <f t="shared" si="123"/>
        <v>Regular</v>
      </c>
    </row>
    <row r="1108" spans="1:19" x14ac:dyDescent="0.3">
      <c r="A1108">
        <v>9041</v>
      </c>
      <c r="B1108" t="s">
        <v>19</v>
      </c>
      <c r="C1108" s="1">
        <v>45493</v>
      </c>
      <c r="D1108" t="s">
        <v>34</v>
      </c>
      <c r="E1108" t="s">
        <v>5</v>
      </c>
      <c r="F1108">
        <v>5</v>
      </c>
      <c r="G1108">
        <v>14.88</v>
      </c>
      <c r="H1108">
        <v>74.400000000000006</v>
      </c>
      <c r="I1108" t="str">
        <f t="shared" si="119"/>
        <v>Medium</v>
      </c>
      <c r="J1108">
        <v>7.44</v>
      </c>
      <c r="K1108">
        <f t="shared" si="124"/>
        <v>66.960000000000008</v>
      </c>
      <c r="L1108" t="str">
        <f t="shared" si="125"/>
        <v>July</v>
      </c>
      <c r="M1108">
        <f>YEAR(C1108)</f>
        <v>2024</v>
      </c>
      <c r="N1108">
        <v>44</v>
      </c>
      <c r="O1108" t="str">
        <f>IF(N1108&gt;=200,"Platinum",IF(N1108&gt;=100,"Gold",IF(N1108&gt;=50,"Silver","Regular")))</f>
        <v>Regular</v>
      </c>
      <c r="P1108" s="4" t="str">
        <f t="shared" si="120"/>
        <v>Saturday</v>
      </c>
      <c r="Q1108" s="4" t="str">
        <f t="shared" si="121"/>
        <v>Medium Order</v>
      </c>
      <c r="R1108" s="4" t="str">
        <f t="shared" si="122"/>
        <v>Weekend</v>
      </c>
      <c r="S1108" s="4" t="str">
        <f t="shared" si="123"/>
        <v>Regular</v>
      </c>
    </row>
    <row r="1109" spans="1:19" x14ac:dyDescent="0.3">
      <c r="A1109">
        <v>3621</v>
      </c>
      <c r="B1109" t="s">
        <v>19</v>
      </c>
      <c r="C1109" s="1">
        <v>45760</v>
      </c>
      <c r="D1109" t="s">
        <v>6</v>
      </c>
      <c r="E1109" t="s">
        <v>2</v>
      </c>
      <c r="F1109">
        <v>5</v>
      </c>
      <c r="G1109">
        <v>15.04</v>
      </c>
      <c r="H1109">
        <v>75.2</v>
      </c>
      <c r="I1109" t="str">
        <f t="shared" si="119"/>
        <v>Medium</v>
      </c>
      <c r="J1109">
        <v>7.52</v>
      </c>
      <c r="K1109">
        <f t="shared" si="124"/>
        <v>67.680000000000007</v>
      </c>
      <c r="L1109" t="str">
        <f t="shared" si="125"/>
        <v>April</v>
      </c>
      <c r="M1109">
        <f>YEAR(C1109)</f>
        <v>2025</v>
      </c>
      <c r="N1109">
        <v>122</v>
      </c>
      <c r="O1109" t="str">
        <f>IF(N1109&gt;=200,"Platinum",IF(N1109&gt;=100,"Gold",IF(N1109&gt;=50,"Silver","Regular")))</f>
        <v>Gold</v>
      </c>
      <c r="P1109" s="4" t="str">
        <f t="shared" si="120"/>
        <v>Sunday</v>
      </c>
      <c r="Q1109" s="4" t="str">
        <f t="shared" si="121"/>
        <v>Medium Order</v>
      </c>
      <c r="R1109" s="4" t="str">
        <f t="shared" si="122"/>
        <v>Weekend</v>
      </c>
      <c r="S1109" s="4" t="str">
        <f t="shared" si="123"/>
        <v>Regular</v>
      </c>
    </row>
    <row r="1110" spans="1:19" x14ac:dyDescent="0.3">
      <c r="A1110">
        <v>6083</v>
      </c>
      <c r="B1110" t="s">
        <v>31</v>
      </c>
      <c r="C1110" s="1">
        <v>45724</v>
      </c>
      <c r="D1110" t="s">
        <v>4</v>
      </c>
      <c r="E1110" t="s">
        <v>5</v>
      </c>
      <c r="F1110">
        <v>5</v>
      </c>
      <c r="G1110">
        <v>15.18</v>
      </c>
      <c r="H1110">
        <v>75.900000000000006</v>
      </c>
      <c r="I1110" t="str">
        <f t="shared" si="119"/>
        <v>Medium</v>
      </c>
      <c r="J1110">
        <v>7.59</v>
      </c>
      <c r="K1110">
        <f t="shared" si="124"/>
        <v>68.31</v>
      </c>
      <c r="L1110" t="str">
        <f t="shared" si="125"/>
        <v>March</v>
      </c>
      <c r="M1110">
        <f>YEAR(C1110)</f>
        <v>2025</v>
      </c>
      <c r="N1110">
        <v>110</v>
      </c>
      <c r="O1110" t="str">
        <f>IF(N1110&gt;=200,"Platinum",IF(N1110&gt;=100,"Gold",IF(N1110&gt;=50,"Silver","Regular")))</f>
        <v>Gold</v>
      </c>
      <c r="P1110" s="4" t="str">
        <f t="shared" si="120"/>
        <v>Saturday</v>
      </c>
      <c r="Q1110" s="4" t="str">
        <f t="shared" si="121"/>
        <v>Medium Order</v>
      </c>
      <c r="R1110" s="4" t="str">
        <f t="shared" si="122"/>
        <v>Weekend</v>
      </c>
      <c r="S1110" s="4" t="str">
        <f t="shared" si="123"/>
        <v>Regular</v>
      </c>
    </row>
    <row r="1111" spans="1:19" x14ac:dyDescent="0.3">
      <c r="A1111">
        <v>4268</v>
      </c>
      <c r="B1111" t="s">
        <v>8</v>
      </c>
      <c r="C1111" s="1">
        <v>45833</v>
      </c>
      <c r="D1111" t="s">
        <v>6</v>
      </c>
      <c r="E1111" t="s">
        <v>18</v>
      </c>
      <c r="F1111">
        <v>5</v>
      </c>
      <c r="G1111">
        <v>15.26</v>
      </c>
      <c r="H1111">
        <v>76.3</v>
      </c>
      <c r="I1111" t="str">
        <f t="shared" si="119"/>
        <v>Medium</v>
      </c>
      <c r="J1111">
        <v>7.63</v>
      </c>
      <c r="K1111">
        <f t="shared" si="124"/>
        <v>68.67</v>
      </c>
      <c r="L1111" t="str">
        <f t="shared" si="125"/>
        <v>June</v>
      </c>
      <c r="M1111">
        <f>YEAR(C1111)</f>
        <v>2025</v>
      </c>
      <c r="N1111">
        <v>406</v>
      </c>
      <c r="O1111" t="str">
        <f>IF(N1111&gt;=200,"Platinum",IF(N1111&gt;=100,"Gold",IF(N1111&gt;=50,"Silver","Regular")))</f>
        <v>Platinum</v>
      </c>
      <c r="P1111" s="4" t="str">
        <f t="shared" si="120"/>
        <v>Wednesday</v>
      </c>
      <c r="Q1111" s="4" t="str">
        <f t="shared" si="121"/>
        <v>Medium Order</v>
      </c>
      <c r="R1111" s="4" t="str">
        <f t="shared" si="122"/>
        <v>Weekday</v>
      </c>
      <c r="S1111" s="4" t="str">
        <f t="shared" si="123"/>
        <v>Regular</v>
      </c>
    </row>
    <row r="1112" spans="1:19" x14ac:dyDescent="0.3">
      <c r="A1112">
        <v>8714</v>
      </c>
      <c r="B1112" t="s">
        <v>15</v>
      </c>
      <c r="C1112" s="1">
        <v>45733</v>
      </c>
      <c r="D1112" t="s">
        <v>27</v>
      </c>
      <c r="E1112" t="s">
        <v>2</v>
      </c>
      <c r="F1112">
        <v>5</v>
      </c>
      <c r="G1112">
        <v>15.54</v>
      </c>
      <c r="H1112">
        <v>77.7</v>
      </c>
      <c r="I1112" t="str">
        <f t="shared" si="119"/>
        <v>Medium</v>
      </c>
      <c r="J1112">
        <v>7.77</v>
      </c>
      <c r="K1112">
        <f t="shared" si="124"/>
        <v>69.930000000000007</v>
      </c>
      <c r="L1112" t="str">
        <f t="shared" si="125"/>
        <v>March</v>
      </c>
      <c r="M1112">
        <f>YEAR(C1112)</f>
        <v>2025</v>
      </c>
      <c r="N1112">
        <v>363</v>
      </c>
      <c r="O1112" t="str">
        <f>IF(N1112&gt;=200,"Platinum",IF(N1112&gt;=100,"Gold",IF(N1112&gt;=50,"Silver","Regular")))</f>
        <v>Platinum</v>
      </c>
      <c r="P1112" s="4" t="str">
        <f t="shared" si="120"/>
        <v>Monday</v>
      </c>
      <c r="Q1112" s="4" t="str">
        <f t="shared" si="121"/>
        <v>Medium Order</v>
      </c>
      <c r="R1112" s="4" t="str">
        <f t="shared" si="122"/>
        <v>Weekday</v>
      </c>
      <c r="S1112" s="4" t="str">
        <f t="shared" si="123"/>
        <v>Regular</v>
      </c>
    </row>
    <row r="1113" spans="1:19" x14ac:dyDescent="0.3">
      <c r="A1113">
        <v>7437</v>
      </c>
      <c r="B1113" t="s">
        <v>25</v>
      </c>
      <c r="C1113" s="1">
        <v>45428</v>
      </c>
      <c r="D1113" t="s">
        <v>9</v>
      </c>
      <c r="E1113" t="s">
        <v>33</v>
      </c>
      <c r="F1113">
        <v>5</v>
      </c>
      <c r="G1113">
        <v>17.22</v>
      </c>
      <c r="H1113">
        <v>86.1</v>
      </c>
      <c r="I1113" t="str">
        <f t="shared" si="119"/>
        <v>Medium</v>
      </c>
      <c r="J1113">
        <v>8.61</v>
      </c>
      <c r="K1113">
        <f t="shared" si="124"/>
        <v>77.489999999999995</v>
      </c>
      <c r="L1113" t="str">
        <f t="shared" si="125"/>
        <v>May</v>
      </c>
      <c r="M1113">
        <f>YEAR(C1113)</f>
        <v>2024</v>
      </c>
      <c r="N1113">
        <v>471</v>
      </c>
      <c r="O1113" t="str">
        <f>IF(N1113&gt;=200,"Platinum",IF(N1113&gt;=100,"Gold",IF(N1113&gt;=50,"Silver","Regular")))</f>
        <v>Platinum</v>
      </c>
      <c r="P1113" s="4" t="str">
        <f t="shared" si="120"/>
        <v>Thursday</v>
      </c>
      <c r="Q1113" s="4" t="str">
        <f t="shared" si="121"/>
        <v>Medium Order</v>
      </c>
      <c r="R1113" s="4" t="str">
        <f t="shared" si="122"/>
        <v>Weekday</v>
      </c>
      <c r="S1113" s="4" t="str">
        <f t="shared" si="123"/>
        <v>Regular</v>
      </c>
    </row>
    <row r="1114" spans="1:19" x14ac:dyDescent="0.3">
      <c r="A1114">
        <v>3509</v>
      </c>
      <c r="B1114" t="s">
        <v>13</v>
      </c>
      <c r="C1114" s="1">
        <v>45498</v>
      </c>
      <c r="D1114" t="s">
        <v>23</v>
      </c>
      <c r="E1114" t="s">
        <v>18</v>
      </c>
      <c r="F1114">
        <v>4</v>
      </c>
      <c r="G1114">
        <v>22.55</v>
      </c>
      <c r="H1114">
        <v>90.2</v>
      </c>
      <c r="I1114" t="str">
        <f t="shared" si="119"/>
        <v>Medium</v>
      </c>
      <c r="J1114">
        <v>9.02</v>
      </c>
      <c r="K1114">
        <f t="shared" si="124"/>
        <v>81.180000000000007</v>
      </c>
      <c r="L1114" t="str">
        <f t="shared" si="125"/>
        <v>July</v>
      </c>
      <c r="M1114">
        <f>YEAR(C1114)</f>
        <v>2024</v>
      </c>
      <c r="N1114">
        <v>383</v>
      </c>
      <c r="O1114" t="str">
        <f>IF(N1114&gt;=200,"Platinum",IF(N1114&gt;=100,"Gold",IF(N1114&gt;=50,"Silver","Regular")))</f>
        <v>Platinum</v>
      </c>
      <c r="P1114" s="4" t="str">
        <f t="shared" si="120"/>
        <v>Thursday</v>
      </c>
      <c r="Q1114" s="4" t="str">
        <f t="shared" si="121"/>
        <v>Medium Order</v>
      </c>
      <c r="R1114" s="4" t="str">
        <f t="shared" si="122"/>
        <v>Weekday</v>
      </c>
      <c r="S1114" s="4" t="str">
        <f t="shared" si="123"/>
        <v>Regular</v>
      </c>
    </row>
    <row r="1115" spans="1:19" x14ac:dyDescent="0.3">
      <c r="A1115">
        <v>1783</v>
      </c>
      <c r="B1115" t="s">
        <v>0</v>
      </c>
      <c r="C1115" s="1">
        <v>45817</v>
      </c>
      <c r="D1115" t="s">
        <v>6</v>
      </c>
      <c r="E1115" t="s">
        <v>22</v>
      </c>
      <c r="F1115">
        <v>4</v>
      </c>
      <c r="G1115">
        <v>23.3</v>
      </c>
      <c r="H1115">
        <v>93.2</v>
      </c>
      <c r="I1115" t="str">
        <f t="shared" si="119"/>
        <v>Medium</v>
      </c>
      <c r="J1115">
        <v>9.32</v>
      </c>
      <c r="K1115">
        <f t="shared" si="124"/>
        <v>83.88</v>
      </c>
      <c r="L1115" t="str">
        <f t="shared" si="125"/>
        <v>June</v>
      </c>
      <c r="M1115">
        <f>YEAR(C1115)</f>
        <v>2025</v>
      </c>
      <c r="N1115">
        <v>3</v>
      </c>
      <c r="O1115" t="str">
        <f>IF(N1115&gt;=200,"Platinum",IF(N1115&gt;=100,"Gold",IF(N1115&gt;=50,"Silver","Regular")))</f>
        <v>Regular</v>
      </c>
      <c r="P1115" s="4" t="str">
        <f t="shared" si="120"/>
        <v>Monday</v>
      </c>
      <c r="Q1115" s="4" t="str">
        <f t="shared" si="121"/>
        <v>Medium Order</v>
      </c>
      <c r="R1115" s="4" t="str">
        <f t="shared" si="122"/>
        <v>Weekday</v>
      </c>
      <c r="S1115" s="4" t="str">
        <f t="shared" si="123"/>
        <v>Regular</v>
      </c>
    </row>
    <row r="1116" spans="1:19" x14ac:dyDescent="0.3">
      <c r="A1116">
        <v>1862</v>
      </c>
      <c r="B1116" t="s">
        <v>25</v>
      </c>
      <c r="C1116" s="1">
        <v>45284</v>
      </c>
      <c r="D1116" t="s">
        <v>16</v>
      </c>
      <c r="E1116" t="s">
        <v>14</v>
      </c>
      <c r="F1116">
        <v>5</v>
      </c>
      <c r="G1116">
        <v>18.66</v>
      </c>
      <c r="H1116">
        <v>93.3</v>
      </c>
      <c r="I1116" t="str">
        <f t="shared" si="119"/>
        <v>Medium</v>
      </c>
      <c r="J1116">
        <v>9.33</v>
      </c>
      <c r="K1116">
        <f t="shared" si="124"/>
        <v>83.97</v>
      </c>
      <c r="L1116" t="str">
        <f t="shared" si="125"/>
        <v>December</v>
      </c>
      <c r="M1116">
        <f>YEAR(C1116)</f>
        <v>2023</v>
      </c>
      <c r="N1116">
        <v>416</v>
      </c>
      <c r="O1116" t="str">
        <f>IF(N1116&gt;=200,"Platinum",IF(N1116&gt;=100,"Gold",IF(N1116&gt;=50,"Silver","Regular")))</f>
        <v>Platinum</v>
      </c>
      <c r="P1116" s="4" t="str">
        <f t="shared" si="120"/>
        <v>Sunday</v>
      </c>
      <c r="Q1116" s="4" t="str">
        <f t="shared" si="121"/>
        <v>Medium Order</v>
      </c>
      <c r="R1116" s="4" t="str">
        <f t="shared" si="122"/>
        <v>Weekend</v>
      </c>
      <c r="S1116" s="4" t="str">
        <f t="shared" si="123"/>
        <v>Regular</v>
      </c>
    </row>
    <row r="1117" spans="1:19" x14ac:dyDescent="0.3">
      <c r="A1117">
        <v>6482</v>
      </c>
      <c r="B1117" t="s">
        <v>3</v>
      </c>
      <c r="C1117" s="1">
        <v>45196</v>
      </c>
      <c r="D1117" t="s">
        <v>6</v>
      </c>
      <c r="E1117" t="s">
        <v>33</v>
      </c>
      <c r="F1117">
        <v>5</v>
      </c>
      <c r="G1117">
        <v>18.78</v>
      </c>
      <c r="H1117">
        <v>93.9</v>
      </c>
      <c r="I1117" t="str">
        <f t="shared" si="119"/>
        <v>Medium</v>
      </c>
      <c r="J1117">
        <v>9.39</v>
      </c>
      <c r="K1117">
        <f t="shared" si="124"/>
        <v>84.51</v>
      </c>
      <c r="L1117" t="str">
        <f t="shared" si="125"/>
        <v>September</v>
      </c>
      <c r="M1117">
        <f>YEAR(C1117)</f>
        <v>2023</v>
      </c>
      <c r="N1117">
        <v>425</v>
      </c>
      <c r="O1117" t="str">
        <f>IF(N1117&gt;=200,"Platinum",IF(N1117&gt;=100,"Gold",IF(N1117&gt;=50,"Silver","Regular")))</f>
        <v>Platinum</v>
      </c>
      <c r="P1117" s="4" t="str">
        <f t="shared" si="120"/>
        <v>Wednesday</v>
      </c>
      <c r="Q1117" s="4" t="str">
        <f t="shared" si="121"/>
        <v>Medium Order</v>
      </c>
      <c r="R1117" s="4" t="str">
        <f t="shared" si="122"/>
        <v>Weekday</v>
      </c>
      <c r="S1117" s="4" t="str">
        <f t="shared" si="123"/>
        <v>Regular</v>
      </c>
    </row>
    <row r="1118" spans="1:19" x14ac:dyDescent="0.3">
      <c r="A1118">
        <v>7431</v>
      </c>
      <c r="B1118" t="s">
        <v>19</v>
      </c>
      <c r="C1118" s="1">
        <v>45600</v>
      </c>
      <c r="D1118" t="s">
        <v>27</v>
      </c>
      <c r="E1118" t="s">
        <v>37</v>
      </c>
      <c r="F1118">
        <v>5</v>
      </c>
      <c r="G1118">
        <v>19.760000000000002</v>
      </c>
      <c r="H1118">
        <v>98.8</v>
      </c>
      <c r="I1118" t="str">
        <f t="shared" si="119"/>
        <v>Medium</v>
      </c>
      <c r="J1118">
        <v>9.8800000000000008</v>
      </c>
      <c r="K1118">
        <f t="shared" si="124"/>
        <v>88.92</v>
      </c>
      <c r="L1118" t="str">
        <f t="shared" si="125"/>
        <v>November</v>
      </c>
      <c r="M1118">
        <f>YEAR(C1118)</f>
        <v>2024</v>
      </c>
      <c r="N1118">
        <v>273</v>
      </c>
      <c r="O1118" t="str">
        <f>IF(N1118&gt;=200,"Platinum",IF(N1118&gt;=100,"Gold",IF(N1118&gt;=50,"Silver","Regular")))</f>
        <v>Platinum</v>
      </c>
      <c r="P1118" s="4" t="str">
        <f t="shared" si="120"/>
        <v>Monday</v>
      </c>
      <c r="Q1118" s="4" t="str">
        <f t="shared" si="121"/>
        <v>Medium Order</v>
      </c>
      <c r="R1118" s="4" t="str">
        <f t="shared" si="122"/>
        <v>Weekday</v>
      </c>
      <c r="S1118" s="4" t="str">
        <f t="shared" si="123"/>
        <v>Regular</v>
      </c>
    </row>
    <row r="1119" spans="1:19" x14ac:dyDescent="0.3">
      <c r="A1119">
        <v>5272</v>
      </c>
      <c r="B1119" t="s">
        <v>0</v>
      </c>
      <c r="C1119" s="1">
        <v>45303</v>
      </c>
      <c r="D1119" t="s">
        <v>24</v>
      </c>
      <c r="E1119" t="s">
        <v>36</v>
      </c>
      <c r="F1119">
        <v>5</v>
      </c>
      <c r="G1119">
        <v>20.34</v>
      </c>
      <c r="H1119">
        <v>101.7</v>
      </c>
      <c r="I1119" t="str">
        <f t="shared" si="119"/>
        <v>High</v>
      </c>
      <c r="J1119">
        <v>10.17</v>
      </c>
      <c r="K1119">
        <f t="shared" si="124"/>
        <v>91.53</v>
      </c>
      <c r="L1119" t="str">
        <f t="shared" si="125"/>
        <v>January</v>
      </c>
      <c r="M1119">
        <f>YEAR(C1119)</f>
        <v>2024</v>
      </c>
      <c r="N1119">
        <v>23</v>
      </c>
      <c r="O1119" t="str">
        <f>IF(N1119&gt;=200,"Platinum",IF(N1119&gt;=100,"Gold",IF(N1119&gt;=50,"Silver","Regular")))</f>
        <v>Regular</v>
      </c>
      <c r="P1119" s="4" t="str">
        <f t="shared" si="120"/>
        <v>Friday</v>
      </c>
      <c r="Q1119" s="4" t="str">
        <f t="shared" si="121"/>
        <v>Medium Order</v>
      </c>
      <c r="R1119" s="4" t="str">
        <f t="shared" si="122"/>
        <v>Weekday</v>
      </c>
      <c r="S1119" s="4" t="str">
        <f t="shared" si="123"/>
        <v>Regular</v>
      </c>
    </row>
    <row r="1120" spans="1:19" x14ac:dyDescent="0.3">
      <c r="A1120">
        <v>7708</v>
      </c>
      <c r="B1120" t="s">
        <v>25</v>
      </c>
      <c r="C1120" s="1">
        <v>45784</v>
      </c>
      <c r="D1120" t="s">
        <v>23</v>
      </c>
      <c r="E1120" t="s">
        <v>37</v>
      </c>
      <c r="F1120">
        <v>4</v>
      </c>
      <c r="G1120">
        <v>26.4</v>
      </c>
      <c r="H1120">
        <v>105.6</v>
      </c>
      <c r="I1120" t="str">
        <f t="shared" si="119"/>
        <v>High</v>
      </c>
      <c r="J1120">
        <v>10.56</v>
      </c>
      <c r="K1120">
        <f t="shared" si="124"/>
        <v>95.039999999999992</v>
      </c>
      <c r="L1120" t="str">
        <f t="shared" si="125"/>
        <v>May</v>
      </c>
      <c r="M1120">
        <f>YEAR(C1120)</f>
        <v>2025</v>
      </c>
      <c r="N1120">
        <v>466</v>
      </c>
      <c r="O1120" t="str">
        <f>IF(N1120&gt;=200,"Platinum",IF(N1120&gt;=100,"Gold",IF(N1120&gt;=50,"Silver","Regular")))</f>
        <v>Platinum</v>
      </c>
      <c r="P1120" s="4" t="str">
        <f t="shared" si="120"/>
        <v>Wednesday</v>
      </c>
      <c r="Q1120" s="4" t="str">
        <f t="shared" si="121"/>
        <v>Medium Order</v>
      </c>
      <c r="R1120" s="4" t="str">
        <f t="shared" si="122"/>
        <v>Weekday</v>
      </c>
      <c r="S1120" s="4" t="str">
        <f t="shared" si="123"/>
        <v>Regular</v>
      </c>
    </row>
    <row r="1121" spans="1:19" x14ac:dyDescent="0.3">
      <c r="A1121">
        <v>2868</v>
      </c>
      <c r="B1121" t="s">
        <v>19</v>
      </c>
      <c r="C1121" s="1">
        <v>45557</v>
      </c>
      <c r="D1121" t="s">
        <v>23</v>
      </c>
      <c r="E1121" t="s">
        <v>22</v>
      </c>
      <c r="F1121">
        <v>5</v>
      </c>
      <c r="G1121">
        <v>22.66</v>
      </c>
      <c r="H1121">
        <v>113.3</v>
      </c>
      <c r="I1121" t="str">
        <f t="shared" si="119"/>
        <v>High</v>
      </c>
      <c r="J1121">
        <v>11.33</v>
      </c>
      <c r="K1121">
        <f t="shared" si="124"/>
        <v>101.97</v>
      </c>
      <c r="L1121" t="str">
        <f t="shared" si="125"/>
        <v>September</v>
      </c>
      <c r="M1121">
        <f>YEAR(C1121)</f>
        <v>2024</v>
      </c>
      <c r="N1121">
        <v>12</v>
      </c>
      <c r="O1121" t="str">
        <f>IF(N1121&gt;=200,"Platinum",IF(N1121&gt;=100,"Gold",IF(N1121&gt;=50,"Silver","Regular")))</f>
        <v>Regular</v>
      </c>
      <c r="P1121" s="4" t="str">
        <f t="shared" si="120"/>
        <v>Sunday</v>
      </c>
      <c r="Q1121" s="4" t="str">
        <f t="shared" si="121"/>
        <v>Medium Order</v>
      </c>
      <c r="R1121" s="4" t="str">
        <f t="shared" si="122"/>
        <v>Weekend</v>
      </c>
      <c r="S1121" s="4" t="str">
        <f t="shared" si="123"/>
        <v>High Value</v>
      </c>
    </row>
    <row r="1122" spans="1:19" x14ac:dyDescent="0.3">
      <c r="A1122">
        <v>2697</v>
      </c>
      <c r="B1122" t="s">
        <v>0</v>
      </c>
      <c r="C1122" s="1">
        <v>45593</v>
      </c>
      <c r="D1122" t="s">
        <v>17</v>
      </c>
      <c r="E1122" t="s">
        <v>37</v>
      </c>
      <c r="F1122">
        <v>5</v>
      </c>
      <c r="G1122">
        <v>23.36</v>
      </c>
      <c r="H1122">
        <v>116.8</v>
      </c>
      <c r="I1122" t="str">
        <f t="shared" si="119"/>
        <v>High</v>
      </c>
      <c r="J1122">
        <v>11.68</v>
      </c>
      <c r="K1122">
        <f t="shared" si="124"/>
        <v>105.12</v>
      </c>
      <c r="L1122" t="str">
        <f t="shared" si="125"/>
        <v>October</v>
      </c>
      <c r="M1122">
        <f>YEAR(C1122)</f>
        <v>2024</v>
      </c>
      <c r="N1122">
        <v>194</v>
      </c>
      <c r="O1122" t="str">
        <f>IF(N1122&gt;=200,"Platinum",IF(N1122&gt;=100,"Gold",IF(N1122&gt;=50,"Silver","Regular")))</f>
        <v>Gold</v>
      </c>
      <c r="P1122" s="4" t="str">
        <f t="shared" si="120"/>
        <v>Monday</v>
      </c>
      <c r="Q1122" s="4" t="str">
        <f t="shared" si="121"/>
        <v>Medium Order</v>
      </c>
      <c r="R1122" s="4" t="str">
        <f t="shared" si="122"/>
        <v>Weekday</v>
      </c>
      <c r="S1122" s="4" t="str">
        <f t="shared" si="123"/>
        <v>High Value</v>
      </c>
    </row>
    <row r="1123" spans="1:19" x14ac:dyDescent="0.3">
      <c r="A1123">
        <v>7512</v>
      </c>
      <c r="B1123" t="s">
        <v>15</v>
      </c>
      <c r="C1123" s="1">
        <v>45649</v>
      </c>
      <c r="D1123" t="s">
        <v>9</v>
      </c>
      <c r="E1123" t="s">
        <v>12</v>
      </c>
      <c r="F1123">
        <v>5</v>
      </c>
      <c r="G1123">
        <v>24.32</v>
      </c>
      <c r="H1123">
        <v>121.6</v>
      </c>
      <c r="I1123" t="str">
        <f t="shared" si="119"/>
        <v>High</v>
      </c>
      <c r="J1123">
        <v>12.16</v>
      </c>
      <c r="K1123">
        <f t="shared" si="124"/>
        <v>109.44</v>
      </c>
      <c r="L1123" t="str">
        <f t="shared" si="125"/>
        <v>December</v>
      </c>
      <c r="M1123">
        <f>YEAR(C1123)</f>
        <v>2024</v>
      </c>
      <c r="N1123">
        <v>464</v>
      </c>
      <c r="O1123" t="str">
        <f>IF(N1123&gt;=200,"Platinum",IF(N1123&gt;=100,"Gold",IF(N1123&gt;=50,"Silver","Regular")))</f>
        <v>Platinum</v>
      </c>
      <c r="P1123" s="4" t="str">
        <f t="shared" si="120"/>
        <v>Monday</v>
      </c>
      <c r="Q1123" s="4" t="str">
        <f t="shared" si="121"/>
        <v>Medium Order</v>
      </c>
      <c r="R1123" s="4" t="str">
        <f t="shared" si="122"/>
        <v>Weekday</v>
      </c>
      <c r="S1123" s="4" t="str">
        <f t="shared" si="123"/>
        <v>High Value</v>
      </c>
    </row>
    <row r="1124" spans="1:19" x14ac:dyDescent="0.3">
      <c r="A1124">
        <v>3316</v>
      </c>
      <c r="B1124" t="s">
        <v>8</v>
      </c>
      <c r="C1124" s="1">
        <v>45541</v>
      </c>
      <c r="D1124" t="s">
        <v>11</v>
      </c>
      <c r="E1124" t="s">
        <v>30</v>
      </c>
      <c r="F1124">
        <v>5</v>
      </c>
      <c r="G1124">
        <v>25.72</v>
      </c>
      <c r="H1124">
        <v>128.6</v>
      </c>
      <c r="I1124" t="str">
        <f t="shared" si="119"/>
        <v>High</v>
      </c>
      <c r="J1124">
        <v>12.86</v>
      </c>
      <c r="K1124">
        <f t="shared" si="124"/>
        <v>115.74</v>
      </c>
      <c r="L1124" t="str">
        <f t="shared" si="125"/>
        <v>September</v>
      </c>
      <c r="M1124">
        <f>YEAR(C1124)</f>
        <v>2024</v>
      </c>
      <c r="N1124">
        <v>160</v>
      </c>
      <c r="O1124" t="str">
        <f>IF(N1124&gt;=200,"Platinum",IF(N1124&gt;=100,"Gold",IF(N1124&gt;=50,"Silver","Regular")))</f>
        <v>Gold</v>
      </c>
      <c r="P1124" s="4" t="str">
        <f t="shared" si="120"/>
        <v>Friday</v>
      </c>
      <c r="Q1124" s="4" t="str">
        <f t="shared" si="121"/>
        <v>Medium Order</v>
      </c>
      <c r="R1124" s="4" t="str">
        <f t="shared" si="122"/>
        <v>Weekday</v>
      </c>
      <c r="S1124" s="4" t="str">
        <f t="shared" si="123"/>
        <v>High Value</v>
      </c>
    </row>
    <row r="1125" spans="1:19" x14ac:dyDescent="0.3">
      <c r="A1125">
        <v>3091</v>
      </c>
      <c r="B1125" t="s">
        <v>13</v>
      </c>
      <c r="C1125" s="1">
        <v>45628</v>
      </c>
      <c r="D1125" t="s">
        <v>9</v>
      </c>
      <c r="E1125" t="s">
        <v>28</v>
      </c>
      <c r="F1125">
        <v>5</v>
      </c>
      <c r="G1125">
        <v>26.6</v>
      </c>
      <c r="H1125">
        <v>133</v>
      </c>
      <c r="I1125" t="str">
        <f t="shared" si="119"/>
        <v>High</v>
      </c>
      <c r="J1125">
        <v>13.3</v>
      </c>
      <c r="K1125">
        <f t="shared" si="124"/>
        <v>119.7</v>
      </c>
      <c r="L1125" t="str">
        <f t="shared" si="125"/>
        <v>December</v>
      </c>
      <c r="M1125">
        <f>YEAR(C1125)</f>
        <v>2024</v>
      </c>
      <c r="N1125">
        <v>230</v>
      </c>
      <c r="O1125" t="str">
        <f>IF(N1125&gt;=200,"Platinum",IF(N1125&gt;=100,"Gold",IF(N1125&gt;=50,"Silver","Regular")))</f>
        <v>Platinum</v>
      </c>
      <c r="P1125" s="4" t="str">
        <f t="shared" si="120"/>
        <v>Monday</v>
      </c>
      <c r="Q1125" s="4" t="str">
        <f t="shared" si="121"/>
        <v>Medium Order</v>
      </c>
      <c r="R1125" s="4" t="str">
        <f t="shared" si="122"/>
        <v>Weekday</v>
      </c>
      <c r="S1125" s="4" t="str">
        <f t="shared" si="123"/>
        <v>High Value</v>
      </c>
    </row>
    <row r="1126" spans="1:19" x14ac:dyDescent="0.3">
      <c r="A1126">
        <v>9445</v>
      </c>
      <c r="B1126" t="s">
        <v>49</v>
      </c>
      <c r="C1126" s="1">
        <v>45660</v>
      </c>
      <c r="D1126" t="s">
        <v>11</v>
      </c>
      <c r="E1126" t="s">
        <v>32</v>
      </c>
      <c r="F1126">
        <v>5</v>
      </c>
      <c r="G1126">
        <v>29.82</v>
      </c>
      <c r="H1126">
        <v>149.1</v>
      </c>
      <c r="I1126" t="str">
        <f t="shared" si="119"/>
        <v>High</v>
      </c>
      <c r="J1126">
        <v>14.91</v>
      </c>
      <c r="K1126">
        <f t="shared" si="124"/>
        <v>134.19</v>
      </c>
      <c r="L1126" t="str">
        <f t="shared" si="125"/>
        <v>January</v>
      </c>
      <c r="M1126">
        <f>YEAR(C1126)</f>
        <v>2025</v>
      </c>
      <c r="N1126">
        <v>478</v>
      </c>
      <c r="O1126" t="str">
        <f>IF(N1126&gt;=200,"Platinum",IF(N1126&gt;=100,"Gold",IF(N1126&gt;=50,"Silver","Regular")))</f>
        <v>Platinum</v>
      </c>
      <c r="P1126" s="4" t="str">
        <f t="shared" si="120"/>
        <v>Friday</v>
      </c>
      <c r="Q1126" s="4" t="str">
        <f t="shared" si="121"/>
        <v>Medium Order</v>
      </c>
      <c r="R1126" s="4" t="str">
        <f t="shared" si="122"/>
        <v>Weekday</v>
      </c>
      <c r="S1126" s="4" t="str">
        <f t="shared" si="123"/>
        <v>High Value</v>
      </c>
    </row>
    <row r="1127" spans="1:19" x14ac:dyDescent="0.3">
      <c r="A1127">
        <v>6260</v>
      </c>
      <c r="B1127" t="s">
        <v>15</v>
      </c>
      <c r="C1127" s="1">
        <v>45665</v>
      </c>
      <c r="D1127" t="s">
        <v>11</v>
      </c>
      <c r="E1127" t="s">
        <v>37</v>
      </c>
      <c r="F1127">
        <v>4</v>
      </c>
      <c r="G1127">
        <v>22.6</v>
      </c>
      <c r="H1127">
        <v>90.4</v>
      </c>
      <c r="I1127" t="str">
        <f t="shared" si="119"/>
        <v>Medium</v>
      </c>
      <c r="J1127">
        <v>9.0399999999999991</v>
      </c>
      <c r="K1127">
        <f t="shared" si="124"/>
        <v>81.360000000000014</v>
      </c>
      <c r="L1127" t="str">
        <f t="shared" si="125"/>
        <v>January</v>
      </c>
      <c r="M1127">
        <f>YEAR(C1127)</f>
        <v>2025</v>
      </c>
      <c r="N1127">
        <v>9</v>
      </c>
      <c r="O1127" t="str">
        <f>IF(N1127&gt;=200,"Platinum",IF(N1127&gt;=100,"Gold",IF(N1127&gt;=50,"Silver","Regular")))</f>
        <v>Regular</v>
      </c>
      <c r="P1127" s="4" t="str">
        <f t="shared" si="120"/>
        <v>Wednesday</v>
      </c>
      <c r="Q1127" s="4" t="str">
        <f t="shared" si="121"/>
        <v>Medium Order</v>
      </c>
      <c r="R1127" s="4" t="str">
        <f t="shared" si="122"/>
        <v>Weekday</v>
      </c>
      <c r="S1127" s="4" t="str">
        <f t="shared" si="123"/>
        <v>Regular</v>
      </c>
    </row>
    <row r="1128" spans="1:19" x14ac:dyDescent="0.3">
      <c r="A1128">
        <v>2218</v>
      </c>
      <c r="B1128" t="s">
        <v>20</v>
      </c>
      <c r="C1128" s="1">
        <v>45676</v>
      </c>
      <c r="D1128" t="s">
        <v>11</v>
      </c>
      <c r="E1128" t="s">
        <v>12</v>
      </c>
      <c r="F1128">
        <v>3</v>
      </c>
      <c r="G1128">
        <v>29.27</v>
      </c>
      <c r="H1128">
        <v>87.81</v>
      </c>
      <c r="I1128" t="str">
        <f t="shared" si="119"/>
        <v>Medium</v>
      </c>
      <c r="J1128">
        <v>8.7799999999999994</v>
      </c>
      <c r="K1128">
        <f t="shared" si="124"/>
        <v>79.03</v>
      </c>
      <c r="L1128" t="str">
        <f t="shared" si="125"/>
        <v>January</v>
      </c>
      <c r="M1128">
        <f>YEAR(C1128)</f>
        <v>2025</v>
      </c>
      <c r="N1128">
        <v>459</v>
      </c>
      <c r="O1128" t="str">
        <f>IF(N1128&gt;=200,"Platinum",IF(N1128&gt;=100,"Gold",IF(N1128&gt;=50,"Silver","Regular")))</f>
        <v>Platinum</v>
      </c>
      <c r="P1128" s="4" t="str">
        <f t="shared" si="120"/>
        <v>Sunday</v>
      </c>
      <c r="Q1128" s="4" t="str">
        <f t="shared" si="121"/>
        <v>Medium Order</v>
      </c>
      <c r="R1128" s="4" t="str">
        <f t="shared" si="122"/>
        <v>Weekend</v>
      </c>
      <c r="S1128" s="4" t="str">
        <f t="shared" si="123"/>
        <v>Regular</v>
      </c>
    </row>
    <row r="1129" spans="1:19" x14ac:dyDescent="0.3">
      <c r="A1129">
        <v>1387</v>
      </c>
      <c r="B1129" t="s">
        <v>25</v>
      </c>
      <c r="C1129" s="1">
        <v>45657</v>
      </c>
      <c r="D1129" t="s">
        <v>17</v>
      </c>
      <c r="E1129" t="s">
        <v>30</v>
      </c>
      <c r="F1129">
        <v>3</v>
      </c>
      <c r="G1129">
        <v>25.97</v>
      </c>
      <c r="H1129">
        <v>77.91</v>
      </c>
      <c r="I1129" t="str">
        <f t="shared" si="119"/>
        <v>Medium</v>
      </c>
      <c r="J1129">
        <v>7.79</v>
      </c>
      <c r="K1129">
        <f t="shared" si="124"/>
        <v>70.11999999999999</v>
      </c>
      <c r="L1129" t="str">
        <f t="shared" si="125"/>
        <v>December</v>
      </c>
      <c r="M1129">
        <f>YEAR(C1129)</f>
        <v>2024</v>
      </c>
      <c r="N1129">
        <v>163</v>
      </c>
      <c r="O1129" t="str">
        <f>IF(N1129&gt;=200,"Platinum",IF(N1129&gt;=100,"Gold",IF(N1129&gt;=50,"Silver","Regular")))</f>
        <v>Gold</v>
      </c>
      <c r="P1129" s="4" t="str">
        <f t="shared" si="120"/>
        <v>Tuesday</v>
      </c>
      <c r="Q1129" s="4" t="str">
        <f t="shared" si="121"/>
        <v>Medium Order</v>
      </c>
      <c r="R1129" s="4" t="str">
        <f t="shared" si="122"/>
        <v>Weekday</v>
      </c>
      <c r="S1129" s="4" t="str">
        <f t="shared" si="123"/>
        <v>Regular</v>
      </c>
    </row>
    <row r="1130" spans="1:19" x14ac:dyDescent="0.3">
      <c r="A1130">
        <v>5584</v>
      </c>
      <c r="B1130" t="s">
        <v>15</v>
      </c>
      <c r="C1130" s="1">
        <v>45217</v>
      </c>
      <c r="D1130" t="s">
        <v>9</v>
      </c>
      <c r="E1130" t="s">
        <v>10</v>
      </c>
      <c r="F1130">
        <v>4</v>
      </c>
      <c r="G1130">
        <v>29.53</v>
      </c>
      <c r="H1130">
        <v>118.12</v>
      </c>
      <c r="I1130" t="str">
        <f t="shared" si="119"/>
        <v>High</v>
      </c>
      <c r="J1130">
        <v>11.81</v>
      </c>
      <c r="K1130">
        <f t="shared" si="124"/>
        <v>106.31</v>
      </c>
      <c r="L1130" t="str">
        <f t="shared" si="125"/>
        <v>October</v>
      </c>
      <c r="M1130">
        <f>YEAR(C1130)</f>
        <v>2023</v>
      </c>
      <c r="N1130">
        <v>308</v>
      </c>
      <c r="O1130" t="str">
        <f>IF(N1130&gt;=200,"Platinum",IF(N1130&gt;=100,"Gold",IF(N1130&gt;=50,"Silver","Regular")))</f>
        <v>Platinum</v>
      </c>
      <c r="P1130" s="4" t="str">
        <f t="shared" si="120"/>
        <v>Wednesday</v>
      </c>
      <c r="Q1130" s="4" t="str">
        <f t="shared" si="121"/>
        <v>Medium Order</v>
      </c>
      <c r="R1130" s="4" t="str">
        <f t="shared" si="122"/>
        <v>Weekday</v>
      </c>
      <c r="S1130" s="4" t="str">
        <f t="shared" si="123"/>
        <v>High Value</v>
      </c>
    </row>
    <row r="1131" spans="1:19" x14ac:dyDescent="0.3">
      <c r="A1131">
        <v>9502</v>
      </c>
      <c r="B1131" t="s">
        <v>20</v>
      </c>
      <c r="C1131" s="1">
        <v>45651</v>
      </c>
      <c r="D1131" t="s">
        <v>16</v>
      </c>
      <c r="E1131" t="s">
        <v>30</v>
      </c>
      <c r="F1131">
        <v>4</v>
      </c>
      <c r="G1131">
        <v>27.68</v>
      </c>
      <c r="H1131">
        <v>110.72</v>
      </c>
      <c r="I1131" t="str">
        <f t="shared" si="119"/>
        <v>High</v>
      </c>
      <c r="J1131">
        <v>11.07</v>
      </c>
      <c r="K1131">
        <f t="shared" si="124"/>
        <v>99.65</v>
      </c>
      <c r="L1131" t="str">
        <f t="shared" si="125"/>
        <v>December</v>
      </c>
      <c r="M1131">
        <f>YEAR(C1131)</f>
        <v>2024</v>
      </c>
      <c r="N1131">
        <v>57</v>
      </c>
      <c r="O1131" t="str">
        <f>IF(N1131&gt;=200,"Platinum",IF(N1131&gt;=100,"Gold",IF(N1131&gt;=50,"Silver","Regular")))</f>
        <v>Silver</v>
      </c>
      <c r="P1131" s="4" t="str">
        <f t="shared" si="120"/>
        <v>Wednesday</v>
      </c>
      <c r="Q1131" s="4" t="str">
        <f t="shared" si="121"/>
        <v>Medium Order</v>
      </c>
      <c r="R1131" s="4" t="str">
        <f t="shared" si="122"/>
        <v>Weekday</v>
      </c>
      <c r="S1131" s="4" t="str">
        <f t="shared" si="123"/>
        <v>Regular</v>
      </c>
    </row>
    <row r="1132" spans="1:19" x14ac:dyDescent="0.3">
      <c r="A1132">
        <v>4088</v>
      </c>
      <c r="B1132" t="s">
        <v>8</v>
      </c>
      <c r="C1132" s="1">
        <v>45873</v>
      </c>
      <c r="D1132" t="s">
        <v>4</v>
      </c>
      <c r="E1132" t="s">
        <v>32</v>
      </c>
      <c r="F1132">
        <v>4</v>
      </c>
      <c r="G1132">
        <v>25.48</v>
      </c>
      <c r="H1132">
        <v>101.92</v>
      </c>
      <c r="I1132" t="str">
        <f t="shared" si="119"/>
        <v>High</v>
      </c>
      <c r="J1132">
        <v>10.19</v>
      </c>
      <c r="K1132">
        <f t="shared" si="124"/>
        <v>91.73</v>
      </c>
      <c r="L1132" t="str">
        <f t="shared" si="125"/>
        <v>August</v>
      </c>
      <c r="M1132">
        <f>YEAR(C1132)</f>
        <v>2025</v>
      </c>
      <c r="N1132">
        <v>467</v>
      </c>
      <c r="O1132" t="str">
        <f>IF(N1132&gt;=200,"Platinum",IF(N1132&gt;=100,"Gold",IF(N1132&gt;=50,"Silver","Regular")))</f>
        <v>Platinum</v>
      </c>
      <c r="P1132" s="4" t="str">
        <f t="shared" si="120"/>
        <v>Monday</v>
      </c>
      <c r="Q1132" s="4" t="str">
        <f t="shared" si="121"/>
        <v>Medium Order</v>
      </c>
      <c r="R1132" s="4" t="str">
        <f t="shared" si="122"/>
        <v>Weekday</v>
      </c>
      <c r="S1132" s="4" t="str">
        <f t="shared" si="123"/>
        <v>Regular</v>
      </c>
    </row>
    <row r="1133" spans="1:19" x14ac:dyDescent="0.3">
      <c r="A1133">
        <v>7563</v>
      </c>
      <c r="B1133" t="s">
        <v>8</v>
      </c>
      <c r="C1133" s="1">
        <v>45434</v>
      </c>
      <c r="D1133" t="s">
        <v>11</v>
      </c>
      <c r="E1133" t="s">
        <v>14</v>
      </c>
      <c r="F1133">
        <v>4</v>
      </c>
      <c r="G1133">
        <v>24.23</v>
      </c>
      <c r="H1133">
        <v>96.92</v>
      </c>
      <c r="I1133" t="str">
        <f t="shared" si="119"/>
        <v>Medium</v>
      </c>
      <c r="J1133">
        <v>9.69</v>
      </c>
      <c r="K1133">
        <f t="shared" si="124"/>
        <v>87.23</v>
      </c>
      <c r="L1133" t="str">
        <f t="shared" si="125"/>
        <v>May</v>
      </c>
      <c r="M1133">
        <f>YEAR(C1133)</f>
        <v>2024</v>
      </c>
      <c r="N1133">
        <v>96</v>
      </c>
      <c r="O1133" t="str">
        <f>IF(N1133&gt;=200,"Platinum",IF(N1133&gt;=100,"Gold",IF(N1133&gt;=50,"Silver","Regular")))</f>
        <v>Silver</v>
      </c>
      <c r="P1133" s="4" t="str">
        <f t="shared" si="120"/>
        <v>Wednesday</v>
      </c>
      <c r="Q1133" s="4" t="str">
        <f t="shared" si="121"/>
        <v>Medium Order</v>
      </c>
      <c r="R1133" s="4" t="str">
        <f t="shared" si="122"/>
        <v>Weekday</v>
      </c>
      <c r="S1133" s="4" t="str">
        <f t="shared" si="123"/>
        <v>Regular</v>
      </c>
    </row>
    <row r="1134" spans="1:19" x14ac:dyDescent="0.3">
      <c r="A1134">
        <v>7690</v>
      </c>
      <c r="B1134" t="s">
        <v>31</v>
      </c>
      <c r="C1134" s="1">
        <v>45403</v>
      </c>
      <c r="D1134" t="s">
        <v>4</v>
      </c>
      <c r="E1134" t="s">
        <v>22</v>
      </c>
      <c r="F1134">
        <v>4</v>
      </c>
      <c r="G1134">
        <v>24.23</v>
      </c>
      <c r="H1134">
        <v>96.92</v>
      </c>
      <c r="I1134" t="str">
        <f t="shared" si="119"/>
        <v>Medium</v>
      </c>
      <c r="J1134">
        <v>9.69</v>
      </c>
      <c r="K1134">
        <f t="shared" si="124"/>
        <v>87.23</v>
      </c>
      <c r="L1134" t="str">
        <f t="shared" si="125"/>
        <v>April</v>
      </c>
      <c r="M1134">
        <f>YEAR(C1134)</f>
        <v>2024</v>
      </c>
      <c r="N1134">
        <v>229</v>
      </c>
      <c r="O1134" t="str">
        <f>IF(N1134&gt;=200,"Platinum",IF(N1134&gt;=100,"Gold",IF(N1134&gt;=50,"Silver","Regular")))</f>
        <v>Platinum</v>
      </c>
      <c r="P1134" s="4" t="str">
        <f t="shared" si="120"/>
        <v>Sunday</v>
      </c>
      <c r="Q1134" s="4" t="str">
        <f t="shared" si="121"/>
        <v>Medium Order</v>
      </c>
      <c r="R1134" s="4" t="str">
        <f t="shared" si="122"/>
        <v>Weekend</v>
      </c>
      <c r="S1134" s="4" t="str">
        <f t="shared" si="123"/>
        <v>Regular</v>
      </c>
    </row>
    <row r="1135" spans="1:19" x14ac:dyDescent="0.3">
      <c r="A1135">
        <v>5040</v>
      </c>
      <c r="B1135" t="s">
        <v>19</v>
      </c>
      <c r="C1135" s="1">
        <v>45723</v>
      </c>
      <c r="D1135" t="s">
        <v>24</v>
      </c>
      <c r="E1135" t="s">
        <v>33</v>
      </c>
      <c r="F1135">
        <v>4</v>
      </c>
      <c r="G1135">
        <v>23.78</v>
      </c>
      <c r="H1135">
        <v>95.12</v>
      </c>
      <c r="I1135" t="str">
        <f t="shared" si="119"/>
        <v>Medium</v>
      </c>
      <c r="J1135">
        <v>9.51</v>
      </c>
      <c r="K1135">
        <f t="shared" si="124"/>
        <v>85.61</v>
      </c>
      <c r="L1135" t="str">
        <f t="shared" si="125"/>
        <v>March</v>
      </c>
      <c r="M1135">
        <f>YEAR(C1135)</f>
        <v>2025</v>
      </c>
      <c r="N1135">
        <v>310</v>
      </c>
      <c r="O1135" t="str">
        <f>IF(N1135&gt;=200,"Platinum",IF(N1135&gt;=100,"Gold",IF(N1135&gt;=50,"Silver","Regular")))</f>
        <v>Platinum</v>
      </c>
      <c r="P1135" s="4" t="str">
        <f t="shared" si="120"/>
        <v>Friday</v>
      </c>
      <c r="Q1135" s="4" t="str">
        <f t="shared" si="121"/>
        <v>Medium Order</v>
      </c>
      <c r="R1135" s="4" t="str">
        <f t="shared" si="122"/>
        <v>Weekday</v>
      </c>
      <c r="S1135" s="4" t="str">
        <f t="shared" si="123"/>
        <v>Regular</v>
      </c>
    </row>
    <row r="1136" spans="1:19" x14ac:dyDescent="0.3">
      <c r="A1136">
        <v>6246</v>
      </c>
      <c r="B1136" t="s">
        <v>15</v>
      </c>
      <c r="C1136" s="1">
        <v>45855</v>
      </c>
      <c r="D1136" t="s">
        <v>11</v>
      </c>
      <c r="E1136" t="s">
        <v>35</v>
      </c>
      <c r="F1136">
        <v>3</v>
      </c>
      <c r="G1136">
        <v>14.57</v>
      </c>
      <c r="H1136">
        <v>43.71</v>
      </c>
      <c r="I1136" t="str">
        <f t="shared" si="119"/>
        <v>Low</v>
      </c>
      <c r="J1136">
        <v>4.37</v>
      </c>
      <c r="K1136">
        <f t="shared" si="124"/>
        <v>39.340000000000003</v>
      </c>
      <c r="L1136" t="str">
        <f t="shared" si="125"/>
        <v>July</v>
      </c>
      <c r="M1136">
        <f>YEAR(C1136)</f>
        <v>2025</v>
      </c>
      <c r="N1136">
        <v>218</v>
      </c>
      <c r="O1136" t="str">
        <f>IF(N1136&gt;=200,"Platinum",IF(N1136&gt;=100,"Gold",IF(N1136&gt;=50,"Silver","Regular")))</f>
        <v>Platinum</v>
      </c>
      <c r="P1136" s="4" t="str">
        <f t="shared" si="120"/>
        <v>Thursday</v>
      </c>
      <c r="Q1136" s="4" t="str">
        <f t="shared" si="121"/>
        <v>Medium Order</v>
      </c>
      <c r="R1136" s="4" t="str">
        <f t="shared" si="122"/>
        <v>Weekday</v>
      </c>
      <c r="S1136" s="4" t="str">
        <f t="shared" si="123"/>
        <v>Regular</v>
      </c>
    </row>
    <row r="1137" spans="1:19" x14ac:dyDescent="0.3">
      <c r="A1137">
        <v>8501</v>
      </c>
      <c r="B1137" t="s">
        <v>0</v>
      </c>
      <c r="C1137" s="1">
        <v>45624</v>
      </c>
      <c r="D1137" t="s">
        <v>23</v>
      </c>
      <c r="E1137" t="s">
        <v>12</v>
      </c>
      <c r="F1137">
        <v>4</v>
      </c>
      <c r="G1137">
        <v>20.03</v>
      </c>
      <c r="H1137">
        <v>80.12</v>
      </c>
      <c r="I1137" t="str">
        <f t="shared" si="119"/>
        <v>Medium</v>
      </c>
      <c r="J1137">
        <v>8.01</v>
      </c>
      <c r="K1137">
        <f t="shared" si="124"/>
        <v>72.11</v>
      </c>
      <c r="L1137" t="str">
        <f t="shared" si="125"/>
        <v>November</v>
      </c>
      <c r="M1137">
        <f>YEAR(C1137)</f>
        <v>2024</v>
      </c>
      <c r="N1137">
        <v>72</v>
      </c>
      <c r="O1137" t="str">
        <f>IF(N1137&gt;=200,"Platinum",IF(N1137&gt;=100,"Gold",IF(N1137&gt;=50,"Silver","Regular")))</f>
        <v>Silver</v>
      </c>
      <c r="P1137" s="4" t="str">
        <f t="shared" si="120"/>
        <v>Thursday</v>
      </c>
      <c r="Q1137" s="4" t="str">
        <f t="shared" si="121"/>
        <v>Medium Order</v>
      </c>
      <c r="R1137" s="4" t="str">
        <f t="shared" si="122"/>
        <v>Weekday</v>
      </c>
      <c r="S1137" s="4" t="str">
        <f t="shared" si="123"/>
        <v>Regular</v>
      </c>
    </row>
    <row r="1138" spans="1:19" x14ac:dyDescent="0.3">
      <c r="A1138">
        <v>6185</v>
      </c>
      <c r="B1138" t="s">
        <v>0</v>
      </c>
      <c r="C1138" s="1">
        <v>45247</v>
      </c>
      <c r="D1138" t="s">
        <v>4</v>
      </c>
      <c r="E1138" t="s">
        <v>14</v>
      </c>
      <c r="F1138">
        <v>4</v>
      </c>
      <c r="G1138">
        <v>18.829999999999998</v>
      </c>
      <c r="H1138">
        <v>75.319999999999993</v>
      </c>
      <c r="I1138" t="str">
        <f t="shared" si="119"/>
        <v>Medium</v>
      </c>
      <c r="J1138">
        <v>7.53</v>
      </c>
      <c r="K1138">
        <f t="shared" si="124"/>
        <v>67.789999999999992</v>
      </c>
      <c r="L1138" t="str">
        <f t="shared" si="125"/>
        <v>November</v>
      </c>
      <c r="M1138">
        <f>YEAR(C1138)</f>
        <v>2023</v>
      </c>
      <c r="N1138">
        <v>224</v>
      </c>
      <c r="O1138" t="str">
        <f>IF(N1138&gt;=200,"Platinum",IF(N1138&gt;=100,"Gold",IF(N1138&gt;=50,"Silver","Regular")))</f>
        <v>Platinum</v>
      </c>
      <c r="P1138" s="4" t="str">
        <f t="shared" si="120"/>
        <v>Friday</v>
      </c>
      <c r="Q1138" s="4" t="str">
        <f t="shared" si="121"/>
        <v>Medium Order</v>
      </c>
      <c r="R1138" s="4" t="str">
        <f t="shared" si="122"/>
        <v>Weekday</v>
      </c>
      <c r="S1138" s="4" t="str">
        <f t="shared" si="123"/>
        <v>Regular</v>
      </c>
    </row>
    <row r="1139" spans="1:19" x14ac:dyDescent="0.3">
      <c r="A1139">
        <v>8894</v>
      </c>
      <c r="B1139" t="s">
        <v>15</v>
      </c>
      <c r="C1139" s="1">
        <v>45771</v>
      </c>
      <c r="D1139" t="s">
        <v>17</v>
      </c>
      <c r="E1139" t="s">
        <v>30</v>
      </c>
      <c r="F1139">
        <v>3</v>
      </c>
      <c r="G1139">
        <v>23.34</v>
      </c>
      <c r="H1139">
        <v>70.02</v>
      </c>
      <c r="I1139" t="str">
        <f t="shared" si="119"/>
        <v>Medium</v>
      </c>
      <c r="J1139">
        <v>7</v>
      </c>
      <c r="K1139">
        <f t="shared" si="124"/>
        <v>63.019999999999996</v>
      </c>
      <c r="L1139" t="str">
        <f t="shared" si="125"/>
        <v>April</v>
      </c>
      <c r="M1139">
        <f>YEAR(C1139)</f>
        <v>2025</v>
      </c>
      <c r="N1139">
        <v>127</v>
      </c>
      <c r="O1139" t="str">
        <f>IF(N1139&gt;=200,"Platinum",IF(N1139&gt;=100,"Gold",IF(N1139&gt;=50,"Silver","Regular")))</f>
        <v>Gold</v>
      </c>
      <c r="P1139" s="4" t="str">
        <f t="shared" si="120"/>
        <v>Thursday</v>
      </c>
      <c r="Q1139" s="4" t="str">
        <f t="shared" si="121"/>
        <v>Medium Order</v>
      </c>
      <c r="R1139" s="4" t="str">
        <f t="shared" si="122"/>
        <v>Weekday</v>
      </c>
      <c r="S1139" s="4" t="str">
        <f t="shared" si="123"/>
        <v>Regular</v>
      </c>
    </row>
    <row r="1140" spans="1:19" x14ac:dyDescent="0.3">
      <c r="A1140">
        <v>8247</v>
      </c>
      <c r="B1140" t="s">
        <v>3</v>
      </c>
      <c r="C1140" s="1">
        <v>45654</v>
      </c>
      <c r="D1140" t="s">
        <v>23</v>
      </c>
      <c r="E1140" t="s">
        <v>36</v>
      </c>
      <c r="F1140">
        <v>4</v>
      </c>
      <c r="G1140">
        <v>15.93</v>
      </c>
      <c r="H1140">
        <v>63.72</v>
      </c>
      <c r="I1140" t="str">
        <f t="shared" si="119"/>
        <v>Medium</v>
      </c>
      <c r="J1140">
        <v>6.37</v>
      </c>
      <c r="K1140">
        <f t="shared" si="124"/>
        <v>57.35</v>
      </c>
      <c r="L1140" t="str">
        <f t="shared" si="125"/>
        <v>December</v>
      </c>
      <c r="M1140">
        <f>YEAR(C1140)</f>
        <v>2024</v>
      </c>
      <c r="N1140">
        <v>346</v>
      </c>
      <c r="O1140" t="str">
        <f>IF(N1140&gt;=200,"Platinum",IF(N1140&gt;=100,"Gold",IF(N1140&gt;=50,"Silver","Regular")))</f>
        <v>Platinum</v>
      </c>
      <c r="P1140" s="4" t="str">
        <f t="shared" si="120"/>
        <v>Saturday</v>
      </c>
      <c r="Q1140" s="4" t="str">
        <f t="shared" si="121"/>
        <v>Medium Order</v>
      </c>
      <c r="R1140" s="4" t="str">
        <f t="shared" si="122"/>
        <v>Weekend</v>
      </c>
      <c r="S1140" s="4" t="str">
        <f t="shared" si="123"/>
        <v>Regular</v>
      </c>
    </row>
    <row r="1141" spans="1:19" x14ac:dyDescent="0.3">
      <c r="A1141">
        <v>9317</v>
      </c>
      <c r="B1141" t="s">
        <v>8</v>
      </c>
      <c r="C1141" s="1">
        <v>45618</v>
      </c>
      <c r="D1141" t="s">
        <v>9</v>
      </c>
      <c r="E1141" t="s">
        <v>18</v>
      </c>
      <c r="F1141">
        <v>5</v>
      </c>
      <c r="G1141">
        <v>28.99</v>
      </c>
      <c r="H1141">
        <v>144.94999999999999</v>
      </c>
      <c r="I1141" t="str">
        <f t="shared" si="119"/>
        <v>High</v>
      </c>
      <c r="J1141">
        <v>14.49</v>
      </c>
      <c r="K1141">
        <f t="shared" si="124"/>
        <v>130.45999999999998</v>
      </c>
      <c r="L1141" t="str">
        <f t="shared" si="125"/>
        <v>November</v>
      </c>
      <c r="M1141">
        <f>YEAR(C1141)</f>
        <v>2024</v>
      </c>
      <c r="N1141">
        <v>138</v>
      </c>
      <c r="O1141" t="str">
        <f>IF(N1141&gt;=200,"Platinum",IF(N1141&gt;=100,"Gold",IF(N1141&gt;=50,"Silver","Regular")))</f>
        <v>Gold</v>
      </c>
      <c r="P1141" s="4" t="str">
        <f t="shared" si="120"/>
        <v>Friday</v>
      </c>
      <c r="Q1141" s="4" t="str">
        <f t="shared" si="121"/>
        <v>Medium Order</v>
      </c>
      <c r="R1141" s="4" t="str">
        <f t="shared" si="122"/>
        <v>Weekday</v>
      </c>
      <c r="S1141" s="4" t="str">
        <f t="shared" si="123"/>
        <v>High Value</v>
      </c>
    </row>
    <row r="1142" spans="1:19" x14ac:dyDescent="0.3">
      <c r="A1142">
        <v>5984</v>
      </c>
      <c r="B1142" t="s">
        <v>15</v>
      </c>
      <c r="C1142" s="1">
        <v>45786</v>
      </c>
      <c r="D1142" t="s">
        <v>1</v>
      </c>
      <c r="E1142" t="s">
        <v>21</v>
      </c>
      <c r="F1142">
        <v>1</v>
      </c>
      <c r="G1142">
        <v>28.91</v>
      </c>
      <c r="H1142">
        <v>28.91</v>
      </c>
      <c r="I1142" t="str">
        <f t="shared" si="119"/>
        <v>Low</v>
      </c>
      <c r="J1142">
        <v>2.89</v>
      </c>
      <c r="K1142">
        <f t="shared" si="124"/>
        <v>26.02</v>
      </c>
      <c r="L1142" t="str">
        <f t="shared" si="125"/>
        <v>May</v>
      </c>
      <c r="M1142">
        <f>YEAR(C1142)</f>
        <v>2025</v>
      </c>
      <c r="N1142">
        <v>388</v>
      </c>
      <c r="O1142" t="str">
        <f>IF(N1142&gt;=200,"Platinum",IF(N1142&gt;=100,"Gold",IF(N1142&gt;=50,"Silver","Regular")))</f>
        <v>Platinum</v>
      </c>
      <c r="P1142" s="4" t="str">
        <f t="shared" si="120"/>
        <v>Friday</v>
      </c>
      <c r="Q1142" s="4" t="str">
        <f t="shared" si="121"/>
        <v>Small Order</v>
      </c>
      <c r="R1142" s="4" t="str">
        <f t="shared" si="122"/>
        <v>Weekday</v>
      </c>
      <c r="S1142" s="4" t="str">
        <f t="shared" si="123"/>
        <v>Regular</v>
      </c>
    </row>
    <row r="1143" spans="1:19" x14ac:dyDescent="0.3">
      <c r="A1143">
        <v>5295</v>
      </c>
      <c r="B1143" t="s">
        <v>0</v>
      </c>
      <c r="C1143" s="1">
        <v>45599</v>
      </c>
      <c r="D1143" t="s">
        <v>1</v>
      </c>
      <c r="E1143" t="s">
        <v>33</v>
      </c>
      <c r="F1143">
        <v>4</v>
      </c>
      <c r="G1143">
        <v>27.91</v>
      </c>
      <c r="H1143">
        <v>111.64</v>
      </c>
      <c r="I1143" t="str">
        <f t="shared" si="119"/>
        <v>High</v>
      </c>
      <c r="J1143">
        <v>11.16</v>
      </c>
      <c r="K1143">
        <f t="shared" si="124"/>
        <v>100.48</v>
      </c>
      <c r="L1143" t="str">
        <f t="shared" si="125"/>
        <v>November</v>
      </c>
      <c r="M1143">
        <f>YEAR(C1143)</f>
        <v>2024</v>
      </c>
      <c r="N1143">
        <v>426</v>
      </c>
      <c r="O1143" t="str">
        <f>IF(N1143&gt;=200,"Platinum",IF(N1143&gt;=100,"Gold",IF(N1143&gt;=50,"Silver","Regular")))</f>
        <v>Platinum</v>
      </c>
      <c r="P1143" s="4" t="str">
        <f t="shared" si="120"/>
        <v>Sunday</v>
      </c>
      <c r="Q1143" s="4" t="str">
        <f t="shared" si="121"/>
        <v>Medium Order</v>
      </c>
      <c r="R1143" s="4" t="str">
        <f t="shared" si="122"/>
        <v>Weekend</v>
      </c>
      <c r="S1143" s="4" t="str">
        <f t="shared" si="123"/>
        <v>High Value</v>
      </c>
    </row>
    <row r="1144" spans="1:19" x14ac:dyDescent="0.3">
      <c r="A1144">
        <v>8204</v>
      </c>
      <c r="B1144" t="s">
        <v>20</v>
      </c>
      <c r="C1144" s="1">
        <v>45839</v>
      </c>
      <c r="D1144" t="s">
        <v>9</v>
      </c>
      <c r="E1144" t="s">
        <v>29</v>
      </c>
      <c r="F1144">
        <v>2</v>
      </c>
      <c r="G1144">
        <v>27.16</v>
      </c>
      <c r="H1144">
        <v>54.32</v>
      </c>
      <c r="I1144" t="str">
        <f t="shared" si="119"/>
        <v>Medium</v>
      </c>
      <c r="J1144">
        <v>5.43</v>
      </c>
      <c r="K1144">
        <f t="shared" si="124"/>
        <v>48.89</v>
      </c>
      <c r="L1144" t="str">
        <f t="shared" si="125"/>
        <v>July</v>
      </c>
      <c r="M1144">
        <f>YEAR(C1144)</f>
        <v>2025</v>
      </c>
      <c r="N1144">
        <v>29</v>
      </c>
      <c r="O1144" t="str">
        <f>IF(N1144&gt;=200,"Platinum",IF(N1144&gt;=100,"Gold",IF(N1144&gt;=50,"Silver","Regular")))</f>
        <v>Regular</v>
      </c>
      <c r="P1144" s="4" t="str">
        <f t="shared" si="120"/>
        <v>Tuesday</v>
      </c>
      <c r="Q1144" s="4" t="str">
        <f t="shared" si="121"/>
        <v>Small Order</v>
      </c>
      <c r="R1144" s="4" t="str">
        <f t="shared" si="122"/>
        <v>Weekday</v>
      </c>
      <c r="S1144" s="4" t="str">
        <f t="shared" si="123"/>
        <v>Regular</v>
      </c>
    </row>
    <row r="1145" spans="1:19" x14ac:dyDescent="0.3">
      <c r="A1145">
        <v>2796</v>
      </c>
      <c r="B1145" t="s">
        <v>3</v>
      </c>
      <c r="C1145" s="1">
        <v>45263</v>
      </c>
      <c r="D1145" t="s">
        <v>9</v>
      </c>
      <c r="E1145" t="s">
        <v>7</v>
      </c>
      <c r="F1145">
        <v>4</v>
      </c>
      <c r="G1145">
        <v>27.01</v>
      </c>
      <c r="H1145">
        <v>108.04</v>
      </c>
      <c r="I1145" t="str">
        <f t="shared" si="119"/>
        <v>High</v>
      </c>
      <c r="J1145">
        <v>10.8</v>
      </c>
      <c r="K1145">
        <f t="shared" si="124"/>
        <v>97.240000000000009</v>
      </c>
      <c r="L1145" t="str">
        <f t="shared" si="125"/>
        <v>December</v>
      </c>
      <c r="M1145">
        <f>YEAR(C1145)</f>
        <v>2023</v>
      </c>
      <c r="N1145">
        <v>380</v>
      </c>
      <c r="O1145" t="str">
        <f>IF(N1145&gt;=200,"Platinum",IF(N1145&gt;=100,"Gold",IF(N1145&gt;=50,"Silver","Regular")))</f>
        <v>Platinum</v>
      </c>
      <c r="P1145" s="4" t="str">
        <f t="shared" si="120"/>
        <v>Sunday</v>
      </c>
      <c r="Q1145" s="4" t="str">
        <f t="shared" si="121"/>
        <v>Medium Order</v>
      </c>
      <c r="R1145" s="4" t="str">
        <f t="shared" si="122"/>
        <v>Weekend</v>
      </c>
      <c r="S1145" s="4" t="str">
        <f t="shared" si="123"/>
        <v>Regular</v>
      </c>
    </row>
    <row r="1146" spans="1:19" x14ac:dyDescent="0.3">
      <c r="A1146">
        <v>4457</v>
      </c>
      <c r="B1146" t="s">
        <v>19</v>
      </c>
      <c r="C1146" s="1">
        <v>45350</v>
      </c>
      <c r="D1146" t="s">
        <v>16</v>
      </c>
      <c r="E1146" t="s">
        <v>2</v>
      </c>
      <c r="F1146">
        <v>4</v>
      </c>
      <c r="G1146">
        <v>26.96</v>
      </c>
      <c r="H1146">
        <v>107.84</v>
      </c>
      <c r="I1146" t="str">
        <f t="shared" si="119"/>
        <v>High</v>
      </c>
      <c r="J1146">
        <v>10.78</v>
      </c>
      <c r="K1146">
        <f t="shared" si="124"/>
        <v>97.06</v>
      </c>
      <c r="L1146" t="str">
        <f t="shared" si="125"/>
        <v>February</v>
      </c>
      <c r="M1146">
        <f>YEAR(C1146)</f>
        <v>2024</v>
      </c>
      <c r="N1146">
        <v>436</v>
      </c>
      <c r="O1146" t="str">
        <f>IF(N1146&gt;=200,"Platinum",IF(N1146&gt;=100,"Gold",IF(N1146&gt;=50,"Silver","Regular")))</f>
        <v>Platinum</v>
      </c>
      <c r="P1146" s="4" t="str">
        <f t="shared" si="120"/>
        <v>Wednesday</v>
      </c>
      <c r="Q1146" s="4" t="str">
        <f t="shared" si="121"/>
        <v>Medium Order</v>
      </c>
      <c r="R1146" s="4" t="str">
        <f t="shared" si="122"/>
        <v>Weekday</v>
      </c>
      <c r="S1146" s="4" t="str">
        <f t="shared" si="123"/>
        <v>Regular</v>
      </c>
    </row>
    <row r="1147" spans="1:19" x14ac:dyDescent="0.3">
      <c r="A1147">
        <v>3275</v>
      </c>
      <c r="B1147" t="s">
        <v>0</v>
      </c>
      <c r="C1147" s="1">
        <v>45328</v>
      </c>
      <c r="D1147" t="s">
        <v>17</v>
      </c>
      <c r="E1147" t="s">
        <v>5</v>
      </c>
      <c r="F1147">
        <v>2</v>
      </c>
      <c r="G1147">
        <v>26.06</v>
      </c>
      <c r="H1147">
        <v>52.12</v>
      </c>
      <c r="I1147" t="str">
        <f t="shared" si="119"/>
        <v>Medium</v>
      </c>
      <c r="J1147">
        <v>5.21</v>
      </c>
      <c r="K1147">
        <f t="shared" si="124"/>
        <v>46.91</v>
      </c>
      <c r="L1147" t="str">
        <f t="shared" si="125"/>
        <v>February</v>
      </c>
      <c r="M1147">
        <f>YEAR(C1147)</f>
        <v>2024</v>
      </c>
      <c r="N1147">
        <v>403</v>
      </c>
      <c r="O1147" t="str">
        <f>IF(N1147&gt;=200,"Platinum",IF(N1147&gt;=100,"Gold",IF(N1147&gt;=50,"Silver","Regular")))</f>
        <v>Platinum</v>
      </c>
      <c r="P1147" s="4" t="str">
        <f t="shared" si="120"/>
        <v>Tuesday</v>
      </c>
      <c r="Q1147" s="4" t="str">
        <f t="shared" si="121"/>
        <v>Small Order</v>
      </c>
      <c r="R1147" s="4" t="str">
        <f t="shared" si="122"/>
        <v>Weekday</v>
      </c>
      <c r="S1147" s="4" t="str">
        <f t="shared" si="123"/>
        <v>Regular</v>
      </c>
    </row>
    <row r="1148" spans="1:19" x14ac:dyDescent="0.3">
      <c r="A1148">
        <v>6780</v>
      </c>
      <c r="B1148" t="s">
        <v>31</v>
      </c>
      <c r="C1148" s="1">
        <v>45331</v>
      </c>
      <c r="D1148" t="s">
        <v>9</v>
      </c>
      <c r="E1148" t="s">
        <v>32</v>
      </c>
      <c r="F1148">
        <v>1</v>
      </c>
      <c r="G1148">
        <v>25.71</v>
      </c>
      <c r="H1148">
        <v>25.71</v>
      </c>
      <c r="I1148" t="str">
        <f t="shared" si="119"/>
        <v>Low</v>
      </c>
      <c r="J1148">
        <v>2.57</v>
      </c>
      <c r="K1148">
        <f t="shared" si="124"/>
        <v>23.14</v>
      </c>
      <c r="L1148" t="str">
        <f t="shared" si="125"/>
        <v>February</v>
      </c>
      <c r="M1148">
        <f>YEAR(C1148)</f>
        <v>2024</v>
      </c>
      <c r="N1148">
        <v>83</v>
      </c>
      <c r="O1148" t="str">
        <f>IF(N1148&gt;=200,"Platinum",IF(N1148&gt;=100,"Gold",IF(N1148&gt;=50,"Silver","Regular")))</f>
        <v>Silver</v>
      </c>
      <c r="P1148" s="4" t="str">
        <f t="shared" si="120"/>
        <v>Friday</v>
      </c>
      <c r="Q1148" s="4" t="str">
        <f t="shared" si="121"/>
        <v>Small Order</v>
      </c>
      <c r="R1148" s="4" t="str">
        <f t="shared" si="122"/>
        <v>Weekday</v>
      </c>
      <c r="S1148" s="4" t="str">
        <f t="shared" si="123"/>
        <v>Regular</v>
      </c>
    </row>
    <row r="1149" spans="1:19" x14ac:dyDescent="0.3">
      <c r="A1149">
        <v>7079</v>
      </c>
      <c r="B1149" t="s">
        <v>31</v>
      </c>
      <c r="C1149" s="1">
        <v>45216</v>
      </c>
      <c r="D1149" t="s">
        <v>17</v>
      </c>
      <c r="E1149" t="s">
        <v>21</v>
      </c>
      <c r="F1149">
        <v>4</v>
      </c>
      <c r="G1149">
        <v>12.38</v>
      </c>
      <c r="H1149">
        <v>49.52</v>
      </c>
      <c r="I1149" t="str">
        <f t="shared" si="119"/>
        <v>Low</v>
      </c>
      <c r="J1149">
        <v>4.95</v>
      </c>
      <c r="K1149">
        <f t="shared" si="124"/>
        <v>44.57</v>
      </c>
      <c r="L1149" t="str">
        <f t="shared" si="125"/>
        <v>October</v>
      </c>
      <c r="M1149">
        <f>YEAR(C1149)</f>
        <v>2023</v>
      </c>
      <c r="N1149">
        <v>112</v>
      </c>
      <c r="O1149" t="str">
        <f>IF(N1149&gt;=200,"Platinum",IF(N1149&gt;=100,"Gold",IF(N1149&gt;=50,"Silver","Regular")))</f>
        <v>Gold</v>
      </c>
      <c r="P1149" s="4" t="str">
        <f t="shared" si="120"/>
        <v>Tuesday</v>
      </c>
      <c r="Q1149" s="4" t="str">
        <f t="shared" si="121"/>
        <v>Medium Order</v>
      </c>
      <c r="R1149" s="4" t="str">
        <f t="shared" si="122"/>
        <v>Weekday</v>
      </c>
      <c r="S1149" s="4" t="str">
        <f t="shared" si="123"/>
        <v>Regular</v>
      </c>
    </row>
    <row r="1150" spans="1:19" x14ac:dyDescent="0.3">
      <c r="A1150">
        <v>8433</v>
      </c>
      <c r="B1150" t="s">
        <v>25</v>
      </c>
      <c r="C1150" s="1">
        <v>45537</v>
      </c>
      <c r="D1150" t="s">
        <v>11</v>
      </c>
      <c r="E1150" t="s">
        <v>36</v>
      </c>
      <c r="F1150">
        <v>4</v>
      </c>
      <c r="G1150">
        <v>24.11</v>
      </c>
      <c r="H1150">
        <v>96.44</v>
      </c>
      <c r="I1150" t="str">
        <f t="shared" si="119"/>
        <v>Medium</v>
      </c>
      <c r="J1150">
        <v>9.64</v>
      </c>
      <c r="K1150">
        <f t="shared" si="124"/>
        <v>86.8</v>
      </c>
      <c r="L1150" t="str">
        <f t="shared" si="125"/>
        <v>September</v>
      </c>
      <c r="M1150">
        <f>YEAR(C1150)</f>
        <v>2024</v>
      </c>
      <c r="N1150">
        <v>330</v>
      </c>
      <c r="O1150" t="str">
        <f>IF(N1150&gt;=200,"Platinum",IF(N1150&gt;=100,"Gold",IF(N1150&gt;=50,"Silver","Regular")))</f>
        <v>Platinum</v>
      </c>
      <c r="P1150" s="4" t="str">
        <f t="shared" si="120"/>
        <v>Monday</v>
      </c>
      <c r="Q1150" s="4" t="str">
        <f t="shared" si="121"/>
        <v>Medium Order</v>
      </c>
      <c r="R1150" s="4" t="str">
        <f t="shared" si="122"/>
        <v>Weekday</v>
      </c>
      <c r="S1150" s="4" t="str">
        <f t="shared" si="123"/>
        <v>Regular</v>
      </c>
    </row>
    <row r="1151" spans="1:19" x14ac:dyDescent="0.3">
      <c r="A1151">
        <v>4365</v>
      </c>
      <c r="B1151" t="s">
        <v>15</v>
      </c>
      <c r="C1151" s="1">
        <v>45701</v>
      </c>
      <c r="D1151" t="s">
        <v>4</v>
      </c>
      <c r="E1151" t="s">
        <v>28</v>
      </c>
      <c r="F1151">
        <v>2</v>
      </c>
      <c r="G1151">
        <v>23.21</v>
      </c>
      <c r="H1151">
        <v>46.42</v>
      </c>
      <c r="I1151" t="str">
        <f t="shared" si="119"/>
        <v>Low</v>
      </c>
      <c r="J1151">
        <v>4.6399999999999997</v>
      </c>
      <c r="K1151">
        <f t="shared" si="124"/>
        <v>41.78</v>
      </c>
      <c r="L1151" t="str">
        <f t="shared" si="125"/>
        <v>February</v>
      </c>
      <c r="M1151">
        <f>YEAR(C1151)</f>
        <v>2025</v>
      </c>
      <c r="N1151">
        <v>158</v>
      </c>
      <c r="O1151" t="str">
        <f>IF(N1151&gt;=200,"Platinum",IF(N1151&gt;=100,"Gold",IF(N1151&gt;=50,"Silver","Regular")))</f>
        <v>Gold</v>
      </c>
      <c r="P1151" s="4" t="str">
        <f t="shared" si="120"/>
        <v>Thursday</v>
      </c>
      <c r="Q1151" s="4" t="str">
        <f t="shared" si="121"/>
        <v>Small Order</v>
      </c>
      <c r="R1151" s="4" t="str">
        <f t="shared" si="122"/>
        <v>Weekday</v>
      </c>
      <c r="S1151" s="4" t="str">
        <f t="shared" si="123"/>
        <v>Regular</v>
      </c>
    </row>
    <row r="1152" spans="1:19" x14ac:dyDescent="0.3">
      <c r="A1152">
        <v>4568</v>
      </c>
      <c r="B1152" t="s">
        <v>8</v>
      </c>
      <c r="C1152" s="1">
        <v>45478</v>
      </c>
      <c r="D1152" t="s">
        <v>23</v>
      </c>
      <c r="E1152" t="s">
        <v>36</v>
      </c>
      <c r="F1152">
        <v>2</v>
      </c>
      <c r="G1152">
        <v>23.16</v>
      </c>
      <c r="H1152">
        <v>46.32</v>
      </c>
      <c r="I1152" t="str">
        <f t="shared" si="119"/>
        <v>Low</v>
      </c>
      <c r="J1152">
        <v>4.63</v>
      </c>
      <c r="K1152">
        <f t="shared" si="124"/>
        <v>41.69</v>
      </c>
      <c r="L1152" t="str">
        <f t="shared" si="125"/>
        <v>July</v>
      </c>
      <c r="M1152">
        <f>YEAR(C1152)</f>
        <v>2024</v>
      </c>
      <c r="N1152">
        <v>413</v>
      </c>
      <c r="O1152" t="str">
        <f>IF(N1152&gt;=200,"Platinum",IF(N1152&gt;=100,"Gold",IF(N1152&gt;=50,"Silver","Regular")))</f>
        <v>Platinum</v>
      </c>
      <c r="P1152" s="4" t="str">
        <f t="shared" si="120"/>
        <v>Friday</v>
      </c>
      <c r="Q1152" s="4" t="str">
        <f t="shared" si="121"/>
        <v>Small Order</v>
      </c>
      <c r="R1152" s="4" t="str">
        <f t="shared" si="122"/>
        <v>Weekday</v>
      </c>
      <c r="S1152" s="4" t="str">
        <f t="shared" si="123"/>
        <v>Regular</v>
      </c>
    </row>
    <row r="1153" spans="1:19" x14ac:dyDescent="0.3">
      <c r="A1153">
        <v>1829</v>
      </c>
      <c r="B1153" t="s">
        <v>15</v>
      </c>
      <c r="C1153" s="1">
        <v>45275</v>
      </c>
      <c r="D1153" t="s">
        <v>27</v>
      </c>
      <c r="E1153" t="s">
        <v>36</v>
      </c>
      <c r="F1153">
        <v>4</v>
      </c>
      <c r="G1153">
        <v>22.96</v>
      </c>
      <c r="H1153">
        <v>91.84</v>
      </c>
      <c r="I1153" t="str">
        <f t="shared" si="119"/>
        <v>Medium</v>
      </c>
      <c r="J1153">
        <v>9.18</v>
      </c>
      <c r="K1153">
        <f t="shared" si="124"/>
        <v>82.66</v>
      </c>
      <c r="L1153" t="str">
        <f t="shared" si="125"/>
        <v>December</v>
      </c>
      <c r="M1153">
        <f>YEAR(C1153)</f>
        <v>2023</v>
      </c>
      <c r="N1153">
        <v>429</v>
      </c>
      <c r="O1153" t="str">
        <f>IF(N1153&gt;=200,"Platinum",IF(N1153&gt;=100,"Gold",IF(N1153&gt;=50,"Silver","Regular")))</f>
        <v>Platinum</v>
      </c>
      <c r="P1153" s="4" t="str">
        <f t="shared" si="120"/>
        <v>Friday</v>
      </c>
      <c r="Q1153" s="4" t="str">
        <f t="shared" si="121"/>
        <v>Medium Order</v>
      </c>
      <c r="R1153" s="4" t="str">
        <f t="shared" si="122"/>
        <v>Weekday</v>
      </c>
      <c r="S1153" s="4" t="str">
        <f t="shared" si="123"/>
        <v>Regular</v>
      </c>
    </row>
    <row r="1154" spans="1:19" x14ac:dyDescent="0.3">
      <c r="A1154">
        <v>7878</v>
      </c>
      <c r="B1154" t="s">
        <v>0</v>
      </c>
      <c r="C1154" s="1">
        <v>45641</v>
      </c>
      <c r="D1154" t="s">
        <v>34</v>
      </c>
      <c r="E1154" t="s">
        <v>29</v>
      </c>
      <c r="F1154">
        <v>4</v>
      </c>
      <c r="G1154">
        <v>11.33</v>
      </c>
      <c r="H1154">
        <v>45.32</v>
      </c>
      <c r="I1154" t="str">
        <f t="shared" ref="I1154:I1217" si="126">IF(J1154=0,"No Discount",IF(J1154&lt;=5,"Low",IF(J1154&lt;=10,"Medium",IF(J1154&lt;=20,"High","Very High"))))</f>
        <v>Low</v>
      </c>
      <c r="J1154">
        <v>4.53</v>
      </c>
      <c r="K1154">
        <f t="shared" si="124"/>
        <v>40.79</v>
      </c>
      <c r="L1154" t="str">
        <f t="shared" si="125"/>
        <v>December</v>
      </c>
      <c r="M1154">
        <f>YEAR(C1154)</f>
        <v>2024</v>
      </c>
      <c r="N1154">
        <v>363</v>
      </c>
      <c r="O1154" t="str">
        <f>IF(N1154&gt;=200,"Platinum",IF(N1154&gt;=100,"Gold",IF(N1154&gt;=50,"Silver","Regular")))</f>
        <v>Platinum</v>
      </c>
      <c r="P1154" s="4" t="str">
        <f t="shared" ref="P1154:P1217" si="127">TEXT(C1154,"dddd")</f>
        <v>Sunday</v>
      </c>
      <c r="Q1154" s="4" t="str">
        <f t="shared" ref="Q1154:Q1217" si="128">IF(F1154&lt;=2,"Small Order",IF(F1154&lt;=5,"Medium Order",IF(F1154&lt;=10,"Large Order","Bulk Order")))</f>
        <v>Medium Order</v>
      </c>
      <c r="R1154" s="4" t="str">
        <f t="shared" ref="R1154:R1217" si="129">IF(WEEKDAY(C1154,2)&gt;5,"Weekend","Weekday")</f>
        <v>Weekend</v>
      </c>
      <c r="S1154" s="4" t="str">
        <f t="shared" ref="S1154:S1217" si="130">IF(K1154&gt;=100,"High Value","Regular")</f>
        <v>Regular</v>
      </c>
    </row>
    <row r="1155" spans="1:19" x14ac:dyDescent="0.3">
      <c r="A1155">
        <v>3999</v>
      </c>
      <c r="B1155" t="s">
        <v>20</v>
      </c>
      <c r="C1155" s="1">
        <v>45434</v>
      </c>
      <c r="D1155" t="s">
        <v>24</v>
      </c>
      <c r="E1155" t="s">
        <v>12</v>
      </c>
      <c r="F1155">
        <v>5</v>
      </c>
      <c r="G1155">
        <v>22.61</v>
      </c>
      <c r="H1155">
        <v>113.05</v>
      </c>
      <c r="I1155" t="str">
        <f t="shared" si="126"/>
        <v>High</v>
      </c>
      <c r="J1155">
        <v>11.3</v>
      </c>
      <c r="K1155">
        <f t="shared" ref="K1155:K1218" si="131">MAX(0,H1155-J1155)</f>
        <v>101.75</v>
      </c>
      <c r="L1155" t="str">
        <f t="shared" ref="L1155:L1218" si="132">TEXT(C1155,"mmmm")</f>
        <v>May</v>
      </c>
      <c r="M1155">
        <f>YEAR(C1155)</f>
        <v>2024</v>
      </c>
      <c r="N1155">
        <v>264</v>
      </c>
      <c r="O1155" t="str">
        <f>IF(N1155&gt;=200,"Platinum",IF(N1155&gt;=100,"Gold",IF(N1155&gt;=50,"Silver","Regular")))</f>
        <v>Platinum</v>
      </c>
      <c r="P1155" s="4" t="str">
        <f t="shared" si="127"/>
        <v>Wednesday</v>
      </c>
      <c r="Q1155" s="4" t="str">
        <f t="shared" si="128"/>
        <v>Medium Order</v>
      </c>
      <c r="R1155" s="4" t="str">
        <f t="shared" si="129"/>
        <v>Weekday</v>
      </c>
      <c r="S1155" s="4" t="str">
        <f t="shared" si="130"/>
        <v>High Value</v>
      </c>
    </row>
    <row r="1156" spans="1:19" x14ac:dyDescent="0.3">
      <c r="A1156">
        <v>1982</v>
      </c>
      <c r="B1156" t="s">
        <v>13</v>
      </c>
      <c r="C1156" s="1">
        <v>45600</v>
      </c>
      <c r="D1156" t="s">
        <v>23</v>
      </c>
      <c r="E1156" t="s">
        <v>10</v>
      </c>
      <c r="F1156">
        <v>3</v>
      </c>
      <c r="G1156">
        <v>14.14</v>
      </c>
      <c r="H1156">
        <v>42.42</v>
      </c>
      <c r="I1156" t="str">
        <f t="shared" si="126"/>
        <v>Low</v>
      </c>
      <c r="J1156">
        <v>4.24</v>
      </c>
      <c r="K1156">
        <f t="shared" si="131"/>
        <v>38.18</v>
      </c>
      <c r="L1156" t="str">
        <f t="shared" si="132"/>
        <v>November</v>
      </c>
      <c r="M1156">
        <f>YEAR(C1156)</f>
        <v>2024</v>
      </c>
      <c r="N1156">
        <v>15</v>
      </c>
      <c r="O1156" t="str">
        <f>IF(N1156&gt;=200,"Platinum",IF(N1156&gt;=100,"Gold",IF(N1156&gt;=50,"Silver","Regular")))</f>
        <v>Regular</v>
      </c>
      <c r="P1156" s="4" t="str">
        <f t="shared" si="127"/>
        <v>Monday</v>
      </c>
      <c r="Q1156" s="4" t="str">
        <f t="shared" si="128"/>
        <v>Medium Order</v>
      </c>
      <c r="R1156" s="4" t="str">
        <f t="shared" si="129"/>
        <v>Weekday</v>
      </c>
      <c r="S1156" s="4" t="str">
        <f t="shared" si="130"/>
        <v>Regular</v>
      </c>
    </row>
    <row r="1157" spans="1:19" x14ac:dyDescent="0.3">
      <c r="A1157">
        <v>9486</v>
      </c>
      <c r="B1157" t="s">
        <v>31</v>
      </c>
      <c r="C1157" s="1">
        <v>45505</v>
      </c>
      <c r="D1157" t="s">
        <v>4</v>
      </c>
      <c r="E1157" t="s">
        <v>36</v>
      </c>
      <c r="F1157">
        <v>2</v>
      </c>
      <c r="G1157">
        <v>21.16</v>
      </c>
      <c r="H1157">
        <v>42.32</v>
      </c>
      <c r="I1157" t="str">
        <f t="shared" si="126"/>
        <v>Low</v>
      </c>
      <c r="J1157">
        <v>4.2300000000000004</v>
      </c>
      <c r="K1157">
        <f t="shared" si="131"/>
        <v>38.090000000000003</v>
      </c>
      <c r="L1157" t="str">
        <f t="shared" si="132"/>
        <v>August</v>
      </c>
      <c r="M1157">
        <f>YEAR(C1157)</f>
        <v>2024</v>
      </c>
      <c r="N1157">
        <v>360</v>
      </c>
      <c r="O1157" t="str">
        <f>IF(N1157&gt;=200,"Platinum",IF(N1157&gt;=100,"Gold",IF(N1157&gt;=50,"Silver","Regular")))</f>
        <v>Platinum</v>
      </c>
      <c r="P1157" s="4" t="str">
        <f t="shared" si="127"/>
        <v>Thursday</v>
      </c>
      <c r="Q1157" s="4" t="str">
        <f t="shared" si="128"/>
        <v>Small Order</v>
      </c>
      <c r="R1157" s="4" t="str">
        <f t="shared" si="129"/>
        <v>Weekday</v>
      </c>
      <c r="S1157" s="4" t="str">
        <f t="shared" si="130"/>
        <v>Regular</v>
      </c>
    </row>
    <row r="1158" spans="1:19" x14ac:dyDescent="0.3">
      <c r="A1158">
        <v>7418</v>
      </c>
      <c r="B1158" t="s">
        <v>19</v>
      </c>
      <c r="C1158" s="1">
        <v>45374</v>
      </c>
      <c r="D1158" t="s">
        <v>6</v>
      </c>
      <c r="E1158" t="s">
        <v>2</v>
      </c>
      <c r="F1158">
        <v>4</v>
      </c>
      <c r="G1158">
        <v>21.01</v>
      </c>
      <c r="H1158">
        <v>84.04</v>
      </c>
      <c r="I1158" t="str">
        <f t="shared" si="126"/>
        <v>Medium</v>
      </c>
      <c r="J1158">
        <v>8.4</v>
      </c>
      <c r="K1158">
        <f t="shared" si="131"/>
        <v>75.64</v>
      </c>
      <c r="L1158" t="str">
        <f t="shared" si="132"/>
        <v>March</v>
      </c>
      <c r="M1158">
        <f>YEAR(C1158)</f>
        <v>2024</v>
      </c>
      <c r="N1158">
        <v>212</v>
      </c>
      <c r="O1158" t="str">
        <f>IF(N1158&gt;=200,"Platinum",IF(N1158&gt;=100,"Gold",IF(N1158&gt;=50,"Silver","Regular")))</f>
        <v>Platinum</v>
      </c>
      <c r="P1158" s="4" t="str">
        <f t="shared" si="127"/>
        <v>Saturday</v>
      </c>
      <c r="Q1158" s="4" t="str">
        <f t="shared" si="128"/>
        <v>Medium Order</v>
      </c>
      <c r="R1158" s="4" t="str">
        <f t="shared" si="129"/>
        <v>Weekend</v>
      </c>
      <c r="S1158" s="4" t="str">
        <f t="shared" si="130"/>
        <v>Regular</v>
      </c>
    </row>
    <row r="1159" spans="1:19" x14ac:dyDescent="0.3">
      <c r="A1159">
        <v>1724</v>
      </c>
      <c r="B1159" t="s">
        <v>31</v>
      </c>
      <c r="C1159" s="1">
        <v>45457</v>
      </c>
      <c r="D1159" t="s">
        <v>24</v>
      </c>
      <c r="E1159" t="s">
        <v>18</v>
      </c>
      <c r="F1159">
        <v>2</v>
      </c>
      <c r="G1159">
        <v>20.91</v>
      </c>
      <c r="H1159">
        <v>41.82</v>
      </c>
      <c r="I1159" t="str">
        <f t="shared" si="126"/>
        <v>Low</v>
      </c>
      <c r="J1159">
        <v>4.18</v>
      </c>
      <c r="K1159">
        <f t="shared" si="131"/>
        <v>37.64</v>
      </c>
      <c r="L1159" t="str">
        <f t="shared" si="132"/>
        <v>June</v>
      </c>
      <c r="M1159">
        <f>YEAR(C1159)</f>
        <v>2024</v>
      </c>
      <c r="N1159">
        <v>454</v>
      </c>
      <c r="O1159" t="str">
        <f>IF(N1159&gt;=200,"Platinum",IF(N1159&gt;=100,"Gold",IF(N1159&gt;=50,"Silver","Regular")))</f>
        <v>Platinum</v>
      </c>
      <c r="P1159" s="4" t="str">
        <f t="shared" si="127"/>
        <v>Friday</v>
      </c>
      <c r="Q1159" s="4" t="str">
        <f t="shared" si="128"/>
        <v>Small Order</v>
      </c>
      <c r="R1159" s="4" t="str">
        <f t="shared" si="129"/>
        <v>Weekday</v>
      </c>
      <c r="S1159" s="4" t="str">
        <f t="shared" si="130"/>
        <v>Regular</v>
      </c>
    </row>
    <row r="1160" spans="1:19" x14ac:dyDescent="0.3">
      <c r="A1160">
        <v>2887</v>
      </c>
      <c r="B1160" t="s">
        <v>20</v>
      </c>
      <c r="C1160" s="1">
        <v>45459</v>
      </c>
      <c r="D1160" t="s">
        <v>6</v>
      </c>
      <c r="E1160" t="s">
        <v>37</v>
      </c>
      <c r="F1160">
        <v>2</v>
      </c>
      <c r="G1160">
        <v>20.86</v>
      </c>
      <c r="H1160">
        <v>41.72</v>
      </c>
      <c r="I1160" t="str">
        <f t="shared" si="126"/>
        <v>Low</v>
      </c>
      <c r="J1160">
        <v>4.17</v>
      </c>
      <c r="K1160">
        <f t="shared" si="131"/>
        <v>37.549999999999997</v>
      </c>
      <c r="L1160" t="str">
        <f t="shared" si="132"/>
        <v>June</v>
      </c>
      <c r="M1160">
        <f>YEAR(C1160)</f>
        <v>2024</v>
      </c>
      <c r="N1160">
        <v>495</v>
      </c>
      <c r="O1160" t="str">
        <f>IF(N1160&gt;=200,"Platinum",IF(N1160&gt;=100,"Gold",IF(N1160&gt;=50,"Silver","Regular")))</f>
        <v>Platinum</v>
      </c>
      <c r="P1160" s="4" t="str">
        <f t="shared" si="127"/>
        <v>Sunday</v>
      </c>
      <c r="Q1160" s="4" t="str">
        <f t="shared" si="128"/>
        <v>Small Order</v>
      </c>
      <c r="R1160" s="4" t="str">
        <f t="shared" si="129"/>
        <v>Weekend</v>
      </c>
      <c r="S1160" s="4" t="str">
        <f t="shared" si="130"/>
        <v>Regular</v>
      </c>
    </row>
    <row r="1161" spans="1:19" x14ac:dyDescent="0.3">
      <c r="A1161">
        <v>9234</v>
      </c>
      <c r="B1161" t="s">
        <v>13</v>
      </c>
      <c r="C1161" s="1">
        <v>45642</v>
      </c>
      <c r="D1161" t="s">
        <v>17</v>
      </c>
      <c r="E1161" t="s">
        <v>28</v>
      </c>
      <c r="F1161">
        <v>4</v>
      </c>
      <c r="G1161">
        <v>19.96</v>
      </c>
      <c r="H1161">
        <v>79.84</v>
      </c>
      <c r="I1161" t="str">
        <f t="shared" si="126"/>
        <v>Medium</v>
      </c>
      <c r="J1161">
        <v>7.98</v>
      </c>
      <c r="K1161">
        <f t="shared" si="131"/>
        <v>71.86</v>
      </c>
      <c r="L1161" t="str">
        <f t="shared" si="132"/>
        <v>December</v>
      </c>
      <c r="M1161">
        <f>YEAR(C1161)</f>
        <v>2024</v>
      </c>
      <c r="N1161">
        <v>389</v>
      </c>
      <c r="O1161" t="str">
        <f>IF(N1161&gt;=200,"Platinum",IF(N1161&gt;=100,"Gold",IF(N1161&gt;=50,"Silver","Regular")))</f>
        <v>Platinum</v>
      </c>
      <c r="P1161" s="4" t="str">
        <f t="shared" si="127"/>
        <v>Monday</v>
      </c>
      <c r="Q1161" s="4" t="str">
        <f t="shared" si="128"/>
        <v>Medium Order</v>
      </c>
      <c r="R1161" s="4" t="str">
        <f t="shared" si="129"/>
        <v>Weekday</v>
      </c>
      <c r="S1161" s="4" t="str">
        <f t="shared" si="130"/>
        <v>Regular</v>
      </c>
    </row>
    <row r="1162" spans="1:19" x14ac:dyDescent="0.3">
      <c r="A1162">
        <v>9094</v>
      </c>
      <c r="B1162" t="s">
        <v>13</v>
      </c>
      <c r="C1162" s="1">
        <v>45165</v>
      </c>
      <c r="D1162" t="s">
        <v>34</v>
      </c>
      <c r="E1162" t="s">
        <v>5</v>
      </c>
      <c r="F1162">
        <v>5</v>
      </c>
      <c r="G1162">
        <v>18.95</v>
      </c>
      <c r="H1162">
        <v>94.75</v>
      </c>
      <c r="I1162" t="str">
        <f t="shared" si="126"/>
        <v>Medium</v>
      </c>
      <c r="J1162">
        <v>9.4700000000000006</v>
      </c>
      <c r="K1162">
        <f t="shared" si="131"/>
        <v>85.28</v>
      </c>
      <c r="L1162" t="str">
        <f t="shared" si="132"/>
        <v>August</v>
      </c>
      <c r="M1162">
        <f>YEAR(C1162)</f>
        <v>2023</v>
      </c>
      <c r="N1162">
        <v>173</v>
      </c>
      <c r="O1162" t="str">
        <f>IF(N1162&gt;=200,"Platinum",IF(N1162&gt;=100,"Gold",IF(N1162&gt;=50,"Silver","Regular")))</f>
        <v>Gold</v>
      </c>
      <c r="P1162" s="4" t="str">
        <f t="shared" si="127"/>
        <v>Sunday</v>
      </c>
      <c r="Q1162" s="4" t="str">
        <f t="shared" si="128"/>
        <v>Medium Order</v>
      </c>
      <c r="R1162" s="4" t="str">
        <f t="shared" si="129"/>
        <v>Weekend</v>
      </c>
      <c r="S1162" s="4" t="str">
        <f t="shared" si="130"/>
        <v>Regular</v>
      </c>
    </row>
    <row r="1163" spans="1:19" x14ac:dyDescent="0.3">
      <c r="A1163">
        <v>9255</v>
      </c>
      <c r="B1163" t="s">
        <v>8</v>
      </c>
      <c r="C1163" s="1">
        <v>45369</v>
      </c>
      <c r="D1163" t="s">
        <v>1</v>
      </c>
      <c r="E1163" t="s">
        <v>35</v>
      </c>
      <c r="F1163">
        <v>3</v>
      </c>
      <c r="G1163">
        <v>18.010000000000002</v>
      </c>
      <c r="H1163">
        <v>54.03</v>
      </c>
      <c r="I1163" t="str">
        <f t="shared" si="126"/>
        <v>Medium</v>
      </c>
      <c r="J1163">
        <v>5.4</v>
      </c>
      <c r="K1163">
        <f t="shared" si="131"/>
        <v>48.63</v>
      </c>
      <c r="L1163" t="str">
        <f t="shared" si="132"/>
        <v>March</v>
      </c>
      <c r="M1163">
        <f>YEAR(C1163)</f>
        <v>2024</v>
      </c>
      <c r="N1163">
        <v>150</v>
      </c>
      <c r="O1163" t="str">
        <f>IF(N1163&gt;=200,"Platinum",IF(N1163&gt;=100,"Gold",IF(N1163&gt;=50,"Silver","Regular")))</f>
        <v>Gold</v>
      </c>
      <c r="P1163" s="4" t="str">
        <f t="shared" si="127"/>
        <v>Monday</v>
      </c>
      <c r="Q1163" s="4" t="str">
        <f t="shared" si="128"/>
        <v>Medium Order</v>
      </c>
      <c r="R1163" s="4" t="str">
        <f t="shared" si="129"/>
        <v>Weekday</v>
      </c>
      <c r="S1163" s="4" t="str">
        <f t="shared" si="130"/>
        <v>Regular</v>
      </c>
    </row>
    <row r="1164" spans="1:19" x14ac:dyDescent="0.3">
      <c r="A1164">
        <v>5961</v>
      </c>
      <c r="B1164" t="s">
        <v>19</v>
      </c>
      <c r="C1164" s="1">
        <v>45763</v>
      </c>
      <c r="D1164" t="s">
        <v>17</v>
      </c>
      <c r="E1164" t="s">
        <v>30</v>
      </c>
      <c r="F1164">
        <v>3</v>
      </c>
      <c r="G1164">
        <v>5.97</v>
      </c>
      <c r="H1164">
        <v>17.91</v>
      </c>
      <c r="I1164" t="str">
        <f t="shared" si="126"/>
        <v>Low</v>
      </c>
      <c r="J1164">
        <v>1.79</v>
      </c>
      <c r="K1164">
        <f t="shared" si="131"/>
        <v>16.12</v>
      </c>
      <c r="L1164" t="str">
        <f t="shared" si="132"/>
        <v>April</v>
      </c>
      <c r="M1164">
        <f>YEAR(C1164)</f>
        <v>2025</v>
      </c>
      <c r="N1164">
        <v>133</v>
      </c>
      <c r="O1164" t="str">
        <f>IF(N1164&gt;=200,"Platinum",IF(N1164&gt;=100,"Gold",IF(N1164&gt;=50,"Silver","Regular")))</f>
        <v>Gold</v>
      </c>
      <c r="P1164" s="4" t="str">
        <f t="shared" si="127"/>
        <v>Wednesday</v>
      </c>
      <c r="Q1164" s="4" t="str">
        <f t="shared" si="128"/>
        <v>Medium Order</v>
      </c>
      <c r="R1164" s="4" t="str">
        <f t="shared" si="129"/>
        <v>Weekday</v>
      </c>
      <c r="S1164" s="4" t="str">
        <f t="shared" si="130"/>
        <v>Regular</v>
      </c>
    </row>
    <row r="1165" spans="1:19" x14ac:dyDescent="0.3">
      <c r="A1165">
        <v>2025</v>
      </c>
      <c r="B1165" t="s">
        <v>8</v>
      </c>
      <c r="C1165" s="1">
        <v>45593</v>
      </c>
      <c r="D1165" t="s">
        <v>16</v>
      </c>
      <c r="E1165" t="s">
        <v>37</v>
      </c>
      <c r="F1165">
        <v>4</v>
      </c>
      <c r="G1165">
        <v>17.809999999999999</v>
      </c>
      <c r="H1165">
        <v>71.239999999999995</v>
      </c>
      <c r="I1165" t="str">
        <f t="shared" si="126"/>
        <v>Medium</v>
      </c>
      <c r="J1165">
        <v>7.12</v>
      </c>
      <c r="K1165">
        <f t="shared" si="131"/>
        <v>64.11999999999999</v>
      </c>
      <c r="L1165" t="str">
        <f t="shared" si="132"/>
        <v>October</v>
      </c>
      <c r="M1165">
        <f>YEAR(C1165)</f>
        <v>2024</v>
      </c>
      <c r="N1165">
        <v>214</v>
      </c>
      <c r="O1165" t="str">
        <f>IF(N1165&gt;=200,"Platinum",IF(N1165&gt;=100,"Gold",IF(N1165&gt;=50,"Silver","Regular")))</f>
        <v>Platinum</v>
      </c>
      <c r="P1165" s="4" t="str">
        <f t="shared" si="127"/>
        <v>Monday</v>
      </c>
      <c r="Q1165" s="4" t="str">
        <f t="shared" si="128"/>
        <v>Medium Order</v>
      </c>
      <c r="R1165" s="4" t="str">
        <f t="shared" si="129"/>
        <v>Weekday</v>
      </c>
      <c r="S1165" s="4" t="str">
        <f t="shared" si="130"/>
        <v>Regular</v>
      </c>
    </row>
    <row r="1166" spans="1:19" x14ac:dyDescent="0.3">
      <c r="A1166">
        <v>3369</v>
      </c>
      <c r="B1166" t="s">
        <v>19</v>
      </c>
      <c r="C1166" s="1">
        <v>45442</v>
      </c>
      <c r="D1166" t="s">
        <v>17</v>
      </c>
      <c r="E1166" t="s">
        <v>32</v>
      </c>
      <c r="F1166">
        <v>3</v>
      </c>
      <c r="G1166">
        <v>23.18</v>
      </c>
      <c r="H1166">
        <v>69.540000000000006</v>
      </c>
      <c r="I1166" t="str">
        <f t="shared" si="126"/>
        <v>Medium</v>
      </c>
      <c r="J1166">
        <v>6.95</v>
      </c>
      <c r="K1166">
        <f t="shared" si="131"/>
        <v>62.59</v>
      </c>
      <c r="L1166" t="str">
        <f t="shared" si="132"/>
        <v>May</v>
      </c>
      <c r="M1166">
        <f>YEAR(C1166)</f>
        <v>2024</v>
      </c>
      <c r="N1166">
        <v>224</v>
      </c>
      <c r="O1166" t="str">
        <f>IF(N1166&gt;=200,"Platinum",IF(N1166&gt;=100,"Gold",IF(N1166&gt;=50,"Silver","Regular")))</f>
        <v>Platinum</v>
      </c>
      <c r="P1166" s="4" t="str">
        <f t="shared" si="127"/>
        <v>Thursday</v>
      </c>
      <c r="Q1166" s="4" t="str">
        <f t="shared" si="128"/>
        <v>Medium Order</v>
      </c>
      <c r="R1166" s="4" t="str">
        <f t="shared" si="129"/>
        <v>Weekday</v>
      </c>
      <c r="S1166" s="4" t="str">
        <f t="shared" si="130"/>
        <v>Regular</v>
      </c>
    </row>
    <row r="1167" spans="1:19" x14ac:dyDescent="0.3">
      <c r="A1167">
        <v>4292</v>
      </c>
      <c r="B1167" t="s">
        <v>13</v>
      </c>
      <c r="C1167" s="1">
        <v>45760</v>
      </c>
      <c r="D1167" t="s">
        <v>4</v>
      </c>
      <c r="E1167" t="s">
        <v>37</v>
      </c>
      <c r="F1167">
        <v>1</v>
      </c>
      <c r="G1167">
        <v>17.21</v>
      </c>
      <c r="H1167">
        <v>17.21</v>
      </c>
      <c r="I1167" t="str">
        <f t="shared" si="126"/>
        <v>Low</v>
      </c>
      <c r="J1167">
        <v>1.72</v>
      </c>
      <c r="K1167">
        <f t="shared" si="131"/>
        <v>15.49</v>
      </c>
      <c r="L1167" t="str">
        <f t="shared" si="132"/>
        <v>April</v>
      </c>
      <c r="M1167">
        <f>YEAR(C1167)</f>
        <v>2025</v>
      </c>
      <c r="N1167">
        <v>150</v>
      </c>
      <c r="O1167" t="str">
        <f>IF(N1167&gt;=200,"Platinum",IF(N1167&gt;=100,"Gold",IF(N1167&gt;=50,"Silver","Regular")))</f>
        <v>Gold</v>
      </c>
      <c r="P1167" s="4" t="str">
        <f t="shared" si="127"/>
        <v>Sunday</v>
      </c>
      <c r="Q1167" s="4" t="str">
        <f t="shared" si="128"/>
        <v>Small Order</v>
      </c>
      <c r="R1167" s="4" t="str">
        <f t="shared" si="129"/>
        <v>Weekend</v>
      </c>
      <c r="S1167" s="4" t="str">
        <f t="shared" si="130"/>
        <v>Regular</v>
      </c>
    </row>
    <row r="1168" spans="1:19" x14ac:dyDescent="0.3">
      <c r="A1168">
        <v>7566</v>
      </c>
      <c r="B1168" t="s">
        <v>3</v>
      </c>
      <c r="C1168" s="1">
        <v>45199</v>
      </c>
      <c r="D1168" t="s">
        <v>1</v>
      </c>
      <c r="E1168" t="s">
        <v>36</v>
      </c>
      <c r="F1168">
        <v>4</v>
      </c>
      <c r="G1168">
        <v>15.86</v>
      </c>
      <c r="H1168">
        <v>63.44</v>
      </c>
      <c r="I1168" t="str">
        <f t="shared" si="126"/>
        <v>Medium</v>
      </c>
      <c r="J1168">
        <v>6.34</v>
      </c>
      <c r="K1168">
        <f t="shared" si="131"/>
        <v>57.099999999999994</v>
      </c>
      <c r="L1168" t="str">
        <f t="shared" si="132"/>
        <v>September</v>
      </c>
      <c r="M1168">
        <f>YEAR(C1168)</f>
        <v>2023</v>
      </c>
      <c r="N1168">
        <v>240</v>
      </c>
      <c r="O1168" t="str">
        <f>IF(N1168&gt;=200,"Platinum",IF(N1168&gt;=100,"Gold",IF(N1168&gt;=50,"Silver","Regular")))</f>
        <v>Platinum</v>
      </c>
      <c r="P1168" s="4" t="str">
        <f t="shared" si="127"/>
        <v>Saturday</v>
      </c>
      <c r="Q1168" s="4" t="str">
        <f t="shared" si="128"/>
        <v>Medium Order</v>
      </c>
      <c r="R1168" s="4" t="str">
        <f t="shared" si="129"/>
        <v>Weekend</v>
      </c>
      <c r="S1168" s="4" t="str">
        <f t="shared" si="130"/>
        <v>Regular</v>
      </c>
    </row>
    <row r="1169" spans="1:19" x14ac:dyDescent="0.3">
      <c r="A1169">
        <v>5697</v>
      </c>
      <c r="B1169" t="s">
        <v>20</v>
      </c>
      <c r="C1169" s="1">
        <v>45158</v>
      </c>
      <c r="D1169" t="s">
        <v>4</v>
      </c>
      <c r="E1169" t="s">
        <v>29</v>
      </c>
      <c r="F1169">
        <v>4</v>
      </c>
      <c r="G1169">
        <v>15.71</v>
      </c>
      <c r="H1169">
        <v>62.84</v>
      </c>
      <c r="I1169" t="str">
        <f t="shared" si="126"/>
        <v>Medium</v>
      </c>
      <c r="J1169">
        <v>6.28</v>
      </c>
      <c r="K1169">
        <f t="shared" si="131"/>
        <v>56.56</v>
      </c>
      <c r="L1169" t="str">
        <f t="shared" si="132"/>
        <v>August</v>
      </c>
      <c r="M1169">
        <f>YEAR(C1169)</f>
        <v>2023</v>
      </c>
      <c r="N1169">
        <v>332</v>
      </c>
      <c r="O1169" t="str">
        <f>IF(N1169&gt;=200,"Platinum",IF(N1169&gt;=100,"Gold",IF(N1169&gt;=50,"Silver","Regular")))</f>
        <v>Platinum</v>
      </c>
      <c r="P1169" s="4" t="str">
        <f t="shared" si="127"/>
        <v>Sunday</v>
      </c>
      <c r="Q1169" s="4" t="str">
        <f t="shared" si="128"/>
        <v>Medium Order</v>
      </c>
      <c r="R1169" s="4" t="str">
        <f t="shared" si="129"/>
        <v>Weekend</v>
      </c>
      <c r="S1169" s="4" t="str">
        <f t="shared" si="130"/>
        <v>Regular</v>
      </c>
    </row>
    <row r="1170" spans="1:19" x14ac:dyDescent="0.3">
      <c r="A1170">
        <v>8109</v>
      </c>
      <c r="B1170" t="s">
        <v>25</v>
      </c>
      <c r="C1170" s="1">
        <v>45645</v>
      </c>
      <c r="D1170" t="s">
        <v>24</v>
      </c>
      <c r="E1170" t="s">
        <v>18</v>
      </c>
      <c r="F1170">
        <v>4</v>
      </c>
      <c r="G1170">
        <v>14.41</v>
      </c>
      <c r="H1170">
        <v>57.64</v>
      </c>
      <c r="I1170" t="str">
        <f t="shared" si="126"/>
        <v>Medium</v>
      </c>
      <c r="J1170">
        <v>5.76</v>
      </c>
      <c r="K1170">
        <f t="shared" si="131"/>
        <v>51.88</v>
      </c>
      <c r="L1170" t="str">
        <f t="shared" si="132"/>
        <v>December</v>
      </c>
      <c r="M1170">
        <f>YEAR(C1170)</f>
        <v>2024</v>
      </c>
      <c r="N1170">
        <v>225</v>
      </c>
      <c r="O1170" t="str">
        <f>IF(N1170&gt;=200,"Platinum",IF(N1170&gt;=100,"Gold",IF(N1170&gt;=50,"Silver","Regular")))</f>
        <v>Platinum</v>
      </c>
      <c r="P1170" s="4" t="str">
        <f t="shared" si="127"/>
        <v>Thursday</v>
      </c>
      <c r="Q1170" s="4" t="str">
        <f t="shared" si="128"/>
        <v>Medium Order</v>
      </c>
      <c r="R1170" s="4" t="str">
        <f t="shared" si="129"/>
        <v>Weekday</v>
      </c>
      <c r="S1170" s="4" t="str">
        <f t="shared" si="130"/>
        <v>Regular</v>
      </c>
    </row>
    <row r="1171" spans="1:19" x14ac:dyDescent="0.3">
      <c r="A1171">
        <v>9954</v>
      </c>
      <c r="B1171" t="s">
        <v>25</v>
      </c>
      <c r="C1171" s="1">
        <v>45524</v>
      </c>
      <c r="D1171" t="s">
        <v>34</v>
      </c>
      <c r="E1171" t="s">
        <v>30</v>
      </c>
      <c r="F1171">
        <v>3</v>
      </c>
      <c r="G1171">
        <v>23.75</v>
      </c>
      <c r="H1171">
        <v>71.25</v>
      </c>
      <c r="I1171" t="str">
        <f t="shared" si="126"/>
        <v>Medium</v>
      </c>
      <c r="J1171">
        <v>7.12</v>
      </c>
      <c r="K1171">
        <f t="shared" si="131"/>
        <v>64.13</v>
      </c>
      <c r="L1171" t="str">
        <f t="shared" si="132"/>
        <v>August</v>
      </c>
      <c r="M1171">
        <f>YEAR(C1171)</f>
        <v>2024</v>
      </c>
      <c r="N1171">
        <v>337</v>
      </c>
      <c r="O1171" t="str">
        <f>IF(N1171&gt;=200,"Platinum",IF(N1171&gt;=100,"Gold",IF(N1171&gt;=50,"Silver","Regular")))</f>
        <v>Platinum</v>
      </c>
      <c r="P1171" s="4" t="str">
        <f t="shared" si="127"/>
        <v>Tuesday</v>
      </c>
      <c r="Q1171" s="4" t="str">
        <f t="shared" si="128"/>
        <v>Medium Order</v>
      </c>
      <c r="R1171" s="4" t="str">
        <f t="shared" si="129"/>
        <v>Weekday</v>
      </c>
      <c r="S1171" s="4" t="str">
        <f t="shared" si="130"/>
        <v>Regular</v>
      </c>
    </row>
    <row r="1172" spans="1:19" x14ac:dyDescent="0.3">
      <c r="A1172">
        <v>1977</v>
      </c>
      <c r="B1172" t="s">
        <v>0</v>
      </c>
      <c r="C1172" s="1">
        <v>45273</v>
      </c>
      <c r="D1172" t="s">
        <v>1</v>
      </c>
      <c r="E1172" t="s">
        <v>26</v>
      </c>
      <c r="F1172">
        <v>3</v>
      </c>
      <c r="G1172">
        <v>14.21</v>
      </c>
      <c r="H1172">
        <v>42.63</v>
      </c>
      <c r="I1172" t="str">
        <f t="shared" si="126"/>
        <v>Low</v>
      </c>
      <c r="J1172">
        <v>4.26</v>
      </c>
      <c r="K1172">
        <f t="shared" si="131"/>
        <v>38.370000000000005</v>
      </c>
      <c r="L1172" t="str">
        <f t="shared" si="132"/>
        <v>December</v>
      </c>
      <c r="M1172">
        <f>YEAR(C1172)</f>
        <v>2023</v>
      </c>
      <c r="N1172">
        <v>266</v>
      </c>
      <c r="O1172" t="str">
        <f>IF(N1172&gt;=200,"Platinum",IF(N1172&gt;=100,"Gold",IF(N1172&gt;=50,"Silver","Regular")))</f>
        <v>Platinum</v>
      </c>
      <c r="P1172" s="4" t="str">
        <f t="shared" si="127"/>
        <v>Wednesday</v>
      </c>
      <c r="Q1172" s="4" t="str">
        <f t="shared" si="128"/>
        <v>Medium Order</v>
      </c>
      <c r="R1172" s="4" t="str">
        <f t="shared" si="129"/>
        <v>Weekday</v>
      </c>
      <c r="S1172" s="4" t="str">
        <f t="shared" si="130"/>
        <v>Regular</v>
      </c>
    </row>
    <row r="1173" spans="1:19" x14ac:dyDescent="0.3">
      <c r="A1173">
        <v>1939</v>
      </c>
      <c r="B1173" t="s">
        <v>15</v>
      </c>
      <c r="C1173" s="1">
        <v>45203</v>
      </c>
      <c r="D1173" t="s">
        <v>17</v>
      </c>
      <c r="E1173" t="s">
        <v>26</v>
      </c>
      <c r="F1173">
        <v>5</v>
      </c>
      <c r="G1173">
        <v>14.11</v>
      </c>
      <c r="H1173">
        <v>70.55</v>
      </c>
      <c r="I1173" t="str">
        <f t="shared" si="126"/>
        <v>Medium</v>
      </c>
      <c r="J1173">
        <v>7.05</v>
      </c>
      <c r="K1173">
        <f t="shared" si="131"/>
        <v>63.5</v>
      </c>
      <c r="L1173" t="str">
        <f t="shared" si="132"/>
        <v>October</v>
      </c>
      <c r="M1173">
        <f>YEAR(C1173)</f>
        <v>2023</v>
      </c>
      <c r="N1173">
        <v>172</v>
      </c>
      <c r="O1173" t="str">
        <f>IF(N1173&gt;=200,"Platinum",IF(N1173&gt;=100,"Gold",IF(N1173&gt;=50,"Silver","Regular")))</f>
        <v>Gold</v>
      </c>
      <c r="P1173" s="4" t="str">
        <f t="shared" si="127"/>
        <v>Wednesday</v>
      </c>
      <c r="Q1173" s="4" t="str">
        <f t="shared" si="128"/>
        <v>Medium Order</v>
      </c>
      <c r="R1173" s="4" t="str">
        <f t="shared" si="129"/>
        <v>Weekday</v>
      </c>
      <c r="S1173" s="4" t="str">
        <f t="shared" si="130"/>
        <v>Regular</v>
      </c>
    </row>
    <row r="1174" spans="1:19" x14ac:dyDescent="0.3">
      <c r="A1174">
        <v>5892</v>
      </c>
      <c r="B1174" t="s">
        <v>3</v>
      </c>
      <c r="C1174" s="1">
        <v>45730</v>
      </c>
      <c r="D1174" t="s">
        <v>1</v>
      </c>
      <c r="E1174" t="s">
        <v>22</v>
      </c>
      <c r="F1174">
        <v>2</v>
      </c>
      <c r="G1174">
        <v>13.71</v>
      </c>
      <c r="H1174">
        <v>27.42</v>
      </c>
      <c r="I1174" t="str">
        <f t="shared" si="126"/>
        <v>Low</v>
      </c>
      <c r="J1174">
        <v>2.74</v>
      </c>
      <c r="K1174">
        <f t="shared" si="131"/>
        <v>24.68</v>
      </c>
      <c r="L1174" t="str">
        <f t="shared" si="132"/>
        <v>March</v>
      </c>
      <c r="M1174">
        <f>YEAR(C1174)</f>
        <v>2025</v>
      </c>
      <c r="N1174">
        <v>149</v>
      </c>
      <c r="O1174" t="str">
        <f>IF(N1174&gt;=200,"Platinum",IF(N1174&gt;=100,"Gold",IF(N1174&gt;=50,"Silver","Regular")))</f>
        <v>Gold</v>
      </c>
      <c r="P1174" s="4" t="str">
        <f t="shared" si="127"/>
        <v>Friday</v>
      </c>
      <c r="Q1174" s="4" t="str">
        <f t="shared" si="128"/>
        <v>Small Order</v>
      </c>
      <c r="R1174" s="4" t="str">
        <f t="shared" si="129"/>
        <v>Weekday</v>
      </c>
      <c r="S1174" s="4" t="str">
        <f t="shared" si="130"/>
        <v>Regular</v>
      </c>
    </row>
    <row r="1175" spans="1:19" x14ac:dyDescent="0.3">
      <c r="A1175">
        <v>4390</v>
      </c>
      <c r="B1175" t="s">
        <v>31</v>
      </c>
      <c r="C1175" s="1">
        <v>45770</v>
      </c>
      <c r="D1175" t="s">
        <v>9</v>
      </c>
      <c r="E1175" t="s">
        <v>29</v>
      </c>
      <c r="F1175">
        <v>4</v>
      </c>
      <c r="G1175">
        <v>13.71</v>
      </c>
      <c r="H1175">
        <v>54.84</v>
      </c>
      <c r="I1175" t="str">
        <f t="shared" si="126"/>
        <v>Medium</v>
      </c>
      <c r="J1175">
        <v>5.48</v>
      </c>
      <c r="K1175">
        <f t="shared" si="131"/>
        <v>49.36</v>
      </c>
      <c r="L1175" t="str">
        <f t="shared" si="132"/>
        <v>April</v>
      </c>
      <c r="M1175">
        <f>YEAR(C1175)</f>
        <v>2025</v>
      </c>
      <c r="N1175">
        <v>101</v>
      </c>
      <c r="O1175" t="str">
        <f>IF(N1175&gt;=200,"Platinum",IF(N1175&gt;=100,"Gold",IF(N1175&gt;=50,"Silver","Regular")))</f>
        <v>Gold</v>
      </c>
      <c r="P1175" s="4" t="str">
        <f t="shared" si="127"/>
        <v>Wednesday</v>
      </c>
      <c r="Q1175" s="4" t="str">
        <f t="shared" si="128"/>
        <v>Medium Order</v>
      </c>
      <c r="R1175" s="4" t="str">
        <f t="shared" si="129"/>
        <v>Weekday</v>
      </c>
      <c r="S1175" s="4" t="str">
        <f t="shared" si="130"/>
        <v>Regular</v>
      </c>
    </row>
    <row r="1176" spans="1:19" x14ac:dyDescent="0.3">
      <c r="A1176">
        <v>7870</v>
      </c>
      <c r="B1176" t="s">
        <v>31</v>
      </c>
      <c r="C1176" s="1">
        <v>45319</v>
      </c>
      <c r="D1176" t="s">
        <v>34</v>
      </c>
      <c r="E1176" t="s">
        <v>36</v>
      </c>
      <c r="F1176">
        <v>4</v>
      </c>
      <c r="G1176">
        <v>13.61</v>
      </c>
      <c r="H1176">
        <v>54.44</v>
      </c>
      <c r="I1176" t="str">
        <f t="shared" si="126"/>
        <v>Medium</v>
      </c>
      <c r="J1176">
        <v>5.44</v>
      </c>
      <c r="K1176">
        <f t="shared" si="131"/>
        <v>49</v>
      </c>
      <c r="L1176" t="str">
        <f t="shared" si="132"/>
        <v>January</v>
      </c>
      <c r="M1176">
        <f>YEAR(C1176)</f>
        <v>2024</v>
      </c>
      <c r="N1176">
        <v>436</v>
      </c>
      <c r="O1176" t="str">
        <f>IF(N1176&gt;=200,"Platinum",IF(N1176&gt;=100,"Gold",IF(N1176&gt;=50,"Silver","Regular")))</f>
        <v>Platinum</v>
      </c>
      <c r="P1176" s="4" t="str">
        <f t="shared" si="127"/>
        <v>Sunday</v>
      </c>
      <c r="Q1176" s="4" t="str">
        <f t="shared" si="128"/>
        <v>Medium Order</v>
      </c>
      <c r="R1176" s="4" t="str">
        <f t="shared" si="129"/>
        <v>Weekend</v>
      </c>
      <c r="S1176" s="4" t="str">
        <f t="shared" si="130"/>
        <v>Regular</v>
      </c>
    </row>
    <row r="1177" spans="1:19" x14ac:dyDescent="0.3">
      <c r="A1177">
        <v>1821</v>
      </c>
      <c r="B1177" t="s">
        <v>0</v>
      </c>
      <c r="C1177" s="1">
        <v>45598</v>
      </c>
      <c r="D1177" t="s">
        <v>16</v>
      </c>
      <c r="E1177" t="s">
        <v>7</v>
      </c>
      <c r="F1177">
        <v>2</v>
      </c>
      <c r="G1177">
        <v>13.46</v>
      </c>
      <c r="H1177">
        <v>26.92</v>
      </c>
      <c r="I1177" t="str">
        <f t="shared" si="126"/>
        <v>Low</v>
      </c>
      <c r="J1177">
        <v>2.69</v>
      </c>
      <c r="K1177">
        <f t="shared" si="131"/>
        <v>24.23</v>
      </c>
      <c r="L1177" t="str">
        <f t="shared" si="132"/>
        <v>November</v>
      </c>
      <c r="M1177">
        <f>YEAR(C1177)</f>
        <v>2024</v>
      </c>
      <c r="N1177">
        <v>454</v>
      </c>
      <c r="O1177" t="str">
        <f>IF(N1177&gt;=200,"Platinum",IF(N1177&gt;=100,"Gold",IF(N1177&gt;=50,"Silver","Regular")))</f>
        <v>Platinum</v>
      </c>
      <c r="P1177" s="4" t="str">
        <f t="shared" si="127"/>
        <v>Saturday</v>
      </c>
      <c r="Q1177" s="4" t="str">
        <f t="shared" si="128"/>
        <v>Small Order</v>
      </c>
      <c r="R1177" s="4" t="str">
        <f t="shared" si="129"/>
        <v>Weekend</v>
      </c>
      <c r="S1177" s="4" t="str">
        <f t="shared" si="130"/>
        <v>Regular</v>
      </c>
    </row>
    <row r="1178" spans="1:19" x14ac:dyDescent="0.3">
      <c r="A1178">
        <v>6661</v>
      </c>
      <c r="B1178" t="s">
        <v>31</v>
      </c>
      <c r="C1178" s="1">
        <v>45601</v>
      </c>
      <c r="D1178" t="s">
        <v>27</v>
      </c>
      <c r="E1178" t="s">
        <v>5</v>
      </c>
      <c r="F1178">
        <v>4</v>
      </c>
      <c r="G1178">
        <v>6.68</v>
      </c>
      <c r="H1178">
        <v>26.72</v>
      </c>
      <c r="I1178" t="str">
        <f t="shared" si="126"/>
        <v>Low</v>
      </c>
      <c r="J1178">
        <v>2.67</v>
      </c>
      <c r="K1178">
        <f t="shared" si="131"/>
        <v>24.049999999999997</v>
      </c>
      <c r="L1178" t="str">
        <f t="shared" si="132"/>
        <v>November</v>
      </c>
      <c r="M1178">
        <f>YEAR(C1178)</f>
        <v>2024</v>
      </c>
      <c r="N1178">
        <v>409</v>
      </c>
      <c r="O1178" t="str">
        <f>IF(N1178&gt;=200,"Platinum",IF(N1178&gt;=100,"Gold",IF(N1178&gt;=50,"Silver","Regular")))</f>
        <v>Platinum</v>
      </c>
      <c r="P1178" s="4" t="str">
        <f t="shared" si="127"/>
        <v>Tuesday</v>
      </c>
      <c r="Q1178" s="4" t="str">
        <f t="shared" si="128"/>
        <v>Medium Order</v>
      </c>
      <c r="R1178" s="4" t="str">
        <f t="shared" si="129"/>
        <v>Weekday</v>
      </c>
      <c r="S1178" s="4" t="str">
        <f t="shared" si="130"/>
        <v>Regular</v>
      </c>
    </row>
    <row r="1179" spans="1:19" x14ac:dyDescent="0.3">
      <c r="A1179">
        <v>4872</v>
      </c>
      <c r="B1179" t="s">
        <v>15</v>
      </c>
      <c r="C1179" s="1">
        <v>45274</v>
      </c>
      <c r="D1179" t="s">
        <v>4</v>
      </c>
      <c r="E1179" t="s">
        <v>37</v>
      </c>
      <c r="F1179">
        <v>2</v>
      </c>
      <c r="G1179">
        <v>26.72</v>
      </c>
      <c r="H1179">
        <v>53.44</v>
      </c>
      <c r="I1179" t="str">
        <f t="shared" si="126"/>
        <v>Medium</v>
      </c>
      <c r="J1179">
        <v>5.34</v>
      </c>
      <c r="K1179">
        <f t="shared" si="131"/>
        <v>48.099999999999994</v>
      </c>
      <c r="L1179" t="str">
        <f t="shared" si="132"/>
        <v>December</v>
      </c>
      <c r="M1179">
        <f>YEAR(C1179)</f>
        <v>2023</v>
      </c>
      <c r="N1179">
        <v>69</v>
      </c>
      <c r="O1179" t="str">
        <f>IF(N1179&gt;=200,"Platinum",IF(N1179&gt;=100,"Gold",IF(N1179&gt;=50,"Silver","Regular")))</f>
        <v>Silver</v>
      </c>
      <c r="P1179" s="4" t="str">
        <f t="shared" si="127"/>
        <v>Thursday</v>
      </c>
      <c r="Q1179" s="4" t="str">
        <f t="shared" si="128"/>
        <v>Small Order</v>
      </c>
      <c r="R1179" s="4" t="str">
        <f t="shared" si="129"/>
        <v>Weekday</v>
      </c>
      <c r="S1179" s="4" t="str">
        <f t="shared" si="130"/>
        <v>Regular</v>
      </c>
    </row>
    <row r="1180" spans="1:19" x14ac:dyDescent="0.3">
      <c r="A1180">
        <v>9229</v>
      </c>
      <c r="B1180" t="s">
        <v>8</v>
      </c>
      <c r="C1180" s="1">
        <v>45603</v>
      </c>
      <c r="D1180" t="s">
        <v>11</v>
      </c>
      <c r="E1180" t="s">
        <v>37</v>
      </c>
      <c r="F1180">
        <v>2</v>
      </c>
      <c r="G1180">
        <v>13.01</v>
      </c>
      <c r="H1180">
        <v>26.02</v>
      </c>
      <c r="I1180" t="str">
        <f t="shared" si="126"/>
        <v>Low</v>
      </c>
      <c r="J1180">
        <v>2.6</v>
      </c>
      <c r="K1180">
        <f t="shared" si="131"/>
        <v>23.419999999999998</v>
      </c>
      <c r="L1180" t="str">
        <f t="shared" si="132"/>
        <v>November</v>
      </c>
      <c r="M1180">
        <f>YEAR(C1180)</f>
        <v>2024</v>
      </c>
      <c r="N1180">
        <v>169</v>
      </c>
      <c r="O1180" t="str">
        <f>IF(N1180&gt;=200,"Platinum",IF(N1180&gt;=100,"Gold",IF(N1180&gt;=50,"Silver","Regular")))</f>
        <v>Gold</v>
      </c>
      <c r="P1180" s="4" t="str">
        <f t="shared" si="127"/>
        <v>Thursday</v>
      </c>
      <c r="Q1180" s="4" t="str">
        <f t="shared" si="128"/>
        <v>Small Order</v>
      </c>
      <c r="R1180" s="4" t="str">
        <f t="shared" si="129"/>
        <v>Weekday</v>
      </c>
      <c r="S1180" s="4" t="str">
        <f t="shared" si="130"/>
        <v>Regular</v>
      </c>
    </row>
    <row r="1181" spans="1:19" x14ac:dyDescent="0.3">
      <c r="A1181">
        <v>7291</v>
      </c>
      <c r="B1181" t="s">
        <v>15</v>
      </c>
      <c r="C1181" s="1">
        <v>45418</v>
      </c>
      <c r="D1181" t="s">
        <v>6</v>
      </c>
      <c r="E1181" t="s">
        <v>26</v>
      </c>
      <c r="F1181">
        <v>4</v>
      </c>
      <c r="G1181">
        <v>12.71</v>
      </c>
      <c r="H1181">
        <v>50.84</v>
      </c>
      <c r="I1181" t="str">
        <f t="shared" si="126"/>
        <v>Medium</v>
      </c>
      <c r="J1181">
        <v>5.08</v>
      </c>
      <c r="K1181">
        <f t="shared" si="131"/>
        <v>45.760000000000005</v>
      </c>
      <c r="L1181" t="str">
        <f t="shared" si="132"/>
        <v>May</v>
      </c>
      <c r="M1181">
        <f>YEAR(C1181)</f>
        <v>2024</v>
      </c>
      <c r="N1181">
        <v>193</v>
      </c>
      <c r="O1181" t="str">
        <f>IF(N1181&gt;=200,"Platinum",IF(N1181&gt;=100,"Gold",IF(N1181&gt;=50,"Silver","Regular")))</f>
        <v>Gold</v>
      </c>
      <c r="P1181" s="4" t="str">
        <f t="shared" si="127"/>
        <v>Monday</v>
      </c>
      <c r="Q1181" s="4" t="str">
        <f t="shared" si="128"/>
        <v>Medium Order</v>
      </c>
      <c r="R1181" s="4" t="str">
        <f t="shared" si="129"/>
        <v>Weekday</v>
      </c>
      <c r="S1181" s="4" t="str">
        <f t="shared" si="130"/>
        <v>Regular</v>
      </c>
    </row>
    <row r="1182" spans="1:19" x14ac:dyDescent="0.3">
      <c r="A1182">
        <v>6375</v>
      </c>
      <c r="B1182" t="s">
        <v>20</v>
      </c>
      <c r="C1182" s="1">
        <v>45238</v>
      </c>
      <c r="D1182" t="s">
        <v>17</v>
      </c>
      <c r="E1182" t="s">
        <v>14</v>
      </c>
      <c r="F1182">
        <v>4</v>
      </c>
      <c r="G1182">
        <v>12.26</v>
      </c>
      <c r="H1182">
        <v>49.04</v>
      </c>
      <c r="I1182" t="str">
        <f t="shared" si="126"/>
        <v>Low</v>
      </c>
      <c r="J1182">
        <v>4.9000000000000004</v>
      </c>
      <c r="K1182">
        <f t="shared" si="131"/>
        <v>44.14</v>
      </c>
      <c r="L1182" t="str">
        <f t="shared" si="132"/>
        <v>November</v>
      </c>
      <c r="M1182">
        <f>YEAR(C1182)</f>
        <v>2023</v>
      </c>
      <c r="N1182">
        <v>405</v>
      </c>
      <c r="O1182" t="str">
        <f>IF(N1182&gt;=200,"Platinum",IF(N1182&gt;=100,"Gold",IF(N1182&gt;=50,"Silver","Regular")))</f>
        <v>Platinum</v>
      </c>
      <c r="P1182" s="4" t="str">
        <f t="shared" si="127"/>
        <v>Wednesday</v>
      </c>
      <c r="Q1182" s="4" t="str">
        <f t="shared" si="128"/>
        <v>Medium Order</v>
      </c>
      <c r="R1182" s="4" t="str">
        <f t="shared" si="129"/>
        <v>Weekday</v>
      </c>
      <c r="S1182" s="4" t="str">
        <f t="shared" si="130"/>
        <v>Regular</v>
      </c>
    </row>
    <row r="1183" spans="1:19" x14ac:dyDescent="0.3">
      <c r="A1183">
        <v>8612</v>
      </c>
      <c r="B1183" t="s">
        <v>8</v>
      </c>
      <c r="C1183" s="1">
        <v>45663</v>
      </c>
      <c r="D1183" t="s">
        <v>6</v>
      </c>
      <c r="E1183" t="s">
        <v>10</v>
      </c>
      <c r="F1183">
        <v>2</v>
      </c>
      <c r="G1183">
        <v>12.01</v>
      </c>
      <c r="H1183">
        <v>24.02</v>
      </c>
      <c r="I1183" t="str">
        <f t="shared" si="126"/>
        <v>Low</v>
      </c>
      <c r="J1183">
        <v>2.4</v>
      </c>
      <c r="K1183">
        <f t="shared" si="131"/>
        <v>21.62</v>
      </c>
      <c r="L1183" t="str">
        <f t="shared" si="132"/>
        <v>January</v>
      </c>
      <c r="M1183">
        <f>YEAR(C1183)</f>
        <v>2025</v>
      </c>
      <c r="N1183">
        <v>426</v>
      </c>
      <c r="O1183" t="str">
        <f>IF(N1183&gt;=200,"Platinum",IF(N1183&gt;=100,"Gold",IF(N1183&gt;=50,"Silver","Regular")))</f>
        <v>Platinum</v>
      </c>
      <c r="P1183" s="4" t="str">
        <f t="shared" si="127"/>
        <v>Monday</v>
      </c>
      <c r="Q1183" s="4" t="str">
        <f t="shared" si="128"/>
        <v>Small Order</v>
      </c>
      <c r="R1183" s="4" t="str">
        <f t="shared" si="129"/>
        <v>Weekday</v>
      </c>
      <c r="S1183" s="4" t="str">
        <f t="shared" si="130"/>
        <v>Regular</v>
      </c>
    </row>
    <row r="1184" spans="1:19" x14ac:dyDescent="0.3">
      <c r="A1184">
        <v>8191</v>
      </c>
      <c r="B1184" t="s">
        <v>0</v>
      </c>
      <c r="C1184" s="1">
        <v>45327</v>
      </c>
      <c r="D1184" t="s">
        <v>17</v>
      </c>
      <c r="E1184" t="s">
        <v>26</v>
      </c>
      <c r="F1184">
        <v>2</v>
      </c>
      <c r="G1184">
        <v>24.02</v>
      </c>
      <c r="H1184">
        <v>48.04</v>
      </c>
      <c r="I1184" t="str">
        <f t="shared" si="126"/>
        <v>Low</v>
      </c>
      <c r="J1184">
        <v>4.8</v>
      </c>
      <c r="K1184">
        <f t="shared" si="131"/>
        <v>43.24</v>
      </c>
      <c r="L1184" t="str">
        <f t="shared" si="132"/>
        <v>February</v>
      </c>
      <c r="M1184">
        <f>YEAR(C1184)</f>
        <v>2024</v>
      </c>
      <c r="N1184">
        <v>488</v>
      </c>
      <c r="O1184" t="str">
        <f>IF(N1184&gt;=200,"Platinum",IF(N1184&gt;=100,"Gold",IF(N1184&gt;=50,"Silver","Regular")))</f>
        <v>Platinum</v>
      </c>
      <c r="P1184" s="4" t="str">
        <f t="shared" si="127"/>
        <v>Monday</v>
      </c>
      <c r="Q1184" s="4" t="str">
        <f t="shared" si="128"/>
        <v>Small Order</v>
      </c>
      <c r="R1184" s="4" t="str">
        <f t="shared" si="129"/>
        <v>Weekday</v>
      </c>
      <c r="S1184" s="4" t="str">
        <f t="shared" si="130"/>
        <v>Regular</v>
      </c>
    </row>
    <row r="1185" spans="1:19" x14ac:dyDescent="0.3">
      <c r="A1185">
        <v>9740</v>
      </c>
      <c r="B1185" t="s">
        <v>8</v>
      </c>
      <c r="C1185" s="1">
        <v>45217</v>
      </c>
      <c r="D1185" t="s">
        <v>27</v>
      </c>
      <c r="E1185" t="s">
        <v>2</v>
      </c>
      <c r="F1185">
        <v>1</v>
      </c>
      <c r="G1185">
        <v>23.32</v>
      </c>
      <c r="H1185">
        <v>23.32</v>
      </c>
      <c r="I1185" t="str">
        <f t="shared" si="126"/>
        <v>Low</v>
      </c>
      <c r="J1185">
        <v>2.33</v>
      </c>
      <c r="K1185">
        <f t="shared" si="131"/>
        <v>20.990000000000002</v>
      </c>
      <c r="L1185" t="str">
        <f t="shared" si="132"/>
        <v>October</v>
      </c>
      <c r="M1185">
        <f>YEAR(C1185)</f>
        <v>2023</v>
      </c>
      <c r="N1185">
        <v>144</v>
      </c>
      <c r="O1185" t="str">
        <f>IF(N1185&gt;=200,"Platinum",IF(N1185&gt;=100,"Gold",IF(N1185&gt;=50,"Silver","Regular")))</f>
        <v>Gold</v>
      </c>
      <c r="P1185" s="4" t="str">
        <f t="shared" si="127"/>
        <v>Wednesday</v>
      </c>
      <c r="Q1185" s="4" t="str">
        <f t="shared" si="128"/>
        <v>Small Order</v>
      </c>
      <c r="R1185" s="4" t="str">
        <f t="shared" si="129"/>
        <v>Weekday</v>
      </c>
      <c r="S1185" s="4" t="str">
        <f t="shared" si="130"/>
        <v>Regular</v>
      </c>
    </row>
    <row r="1186" spans="1:19" x14ac:dyDescent="0.3">
      <c r="A1186">
        <v>2137</v>
      </c>
      <c r="B1186" t="s">
        <v>8</v>
      </c>
      <c r="C1186" s="1">
        <v>45745</v>
      </c>
      <c r="D1186" t="s">
        <v>11</v>
      </c>
      <c r="E1186" t="s">
        <v>10</v>
      </c>
      <c r="F1186">
        <v>2</v>
      </c>
      <c r="G1186">
        <v>23.12</v>
      </c>
      <c r="H1186">
        <v>46.24</v>
      </c>
      <c r="I1186" t="str">
        <f t="shared" si="126"/>
        <v>Low</v>
      </c>
      <c r="J1186">
        <v>4.62</v>
      </c>
      <c r="K1186">
        <f t="shared" si="131"/>
        <v>41.620000000000005</v>
      </c>
      <c r="L1186" t="str">
        <f t="shared" si="132"/>
        <v>March</v>
      </c>
      <c r="M1186">
        <f>YEAR(C1186)</f>
        <v>2025</v>
      </c>
      <c r="N1186">
        <v>255</v>
      </c>
      <c r="O1186" t="str">
        <f>IF(N1186&gt;=200,"Platinum",IF(N1186&gt;=100,"Gold",IF(N1186&gt;=50,"Silver","Regular")))</f>
        <v>Platinum</v>
      </c>
      <c r="P1186" s="4" t="str">
        <f t="shared" si="127"/>
        <v>Saturday</v>
      </c>
      <c r="Q1186" s="4" t="str">
        <f t="shared" si="128"/>
        <v>Small Order</v>
      </c>
      <c r="R1186" s="4" t="str">
        <f t="shared" si="129"/>
        <v>Weekend</v>
      </c>
      <c r="S1186" s="4" t="str">
        <f t="shared" si="130"/>
        <v>Regular</v>
      </c>
    </row>
    <row r="1187" spans="1:19" x14ac:dyDescent="0.3">
      <c r="A1187">
        <v>9843</v>
      </c>
      <c r="B1187" t="s">
        <v>15</v>
      </c>
      <c r="C1187" s="1">
        <v>45313</v>
      </c>
      <c r="D1187" t="s">
        <v>9</v>
      </c>
      <c r="E1187" t="s">
        <v>2</v>
      </c>
      <c r="F1187">
        <v>3</v>
      </c>
      <c r="G1187">
        <v>19.05</v>
      </c>
      <c r="H1187">
        <v>57.15</v>
      </c>
      <c r="I1187" t="str">
        <f t="shared" si="126"/>
        <v>Medium</v>
      </c>
      <c r="J1187">
        <v>5.71</v>
      </c>
      <c r="K1187">
        <f t="shared" si="131"/>
        <v>51.44</v>
      </c>
      <c r="L1187" t="str">
        <f t="shared" si="132"/>
        <v>January</v>
      </c>
      <c r="M1187">
        <f>YEAR(C1187)</f>
        <v>2024</v>
      </c>
      <c r="N1187">
        <v>310</v>
      </c>
      <c r="O1187" t="str">
        <f>IF(N1187&gt;=200,"Platinum",IF(N1187&gt;=100,"Gold",IF(N1187&gt;=50,"Silver","Regular")))</f>
        <v>Platinum</v>
      </c>
      <c r="P1187" s="4" t="str">
        <f t="shared" si="127"/>
        <v>Monday</v>
      </c>
      <c r="Q1187" s="4" t="str">
        <f t="shared" si="128"/>
        <v>Medium Order</v>
      </c>
      <c r="R1187" s="4" t="str">
        <f t="shared" si="129"/>
        <v>Weekday</v>
      </c>
      <c r="S1187" s="4" t="str">
        <f t="shared" si="130"/>
        <v>Regular</v>
      </c>
    </row>
    <row r="1188" spans="1:19" x14ac:dyDescent="0.3">
      <c r="A1188">
        <v>1009</v>
      </c>
      <c r="B1188" t="s">
        <v>13</v>
      </c>
      <c r="C1188" s="1">
        <v>45610</v>
      </c>
      <c r="D1188" t="s">
        <v>34</v>
      </c>
      <c r="E1188" t="s">
        <v>7</v>
      </c>
      <c r="F1188">
        <v>2</v>
      </c>
      <c r="G1188">
        <v>21.02</v>
      </c>
      <c r="H1188">
        <v>42.04</v>
      </c>
      <c r="I1188" t="str">
        <f t="shared" si="126"/>
        <v>Low</v>
      </c>
      <c r="J1188">
        <v>4.2</v>
      </c>
      <c r="K1188">
        <f t="shared" si="131"/>
        <v>37.839999999999996</v>
      </c>
      <c r="L1188" t="str">
        <f t="shared" si="132"/>
        <v>November</v>
      </c>
      <c r="M1188">
        <f>YEAR(C1188)</f>
        <v>2024</v>
      </c>
      <c r="N1188">
        <v>330</v>
      </c>
      <c r="O1188" t="str">
        <f>IF(N1188&gt;=200,"Platinum",IF(N1188&gt;=100,"Gold",IF(N1188&gt;=50,"Silver","Regular")))</f>
        <v>Platinum</v>
      </c>
      <c r="P1188" s="4" t="str">
        <f t="shared" si="127"/>
        <v>Thursday</v>
      </c>
      <c r="Q1188" s="4" t="str">
        <f t="shared" si="128"/>
        <v>Small Order</v>
      </c>
      <c r="R1188" s="4" t="str">
        <f t="shared" si="129"/>
        <v>Weekday</v>
      </c>
      <c r="S1188" s="4" t="str">
        <f t="shared" si="130"/>
        <v>Regular</v>
      </c>
    </row>
    <row r="1189" spans="1:19" x14ac:dyDescent="0.3">
      <c r="A1189">
        <v>2350</v>
      </c>
      <c r="B1189" t="s">
        <v>19</v>
      </c>
      <c r="C1189" s="1">
        <v>45433</v>
      </c>
      <c r="D1189" t="s">
        <v>4</v>
      </c>
      <c r="E1189" t="s">
        <v>32</v>
      </c>
      <c r="F1189">
        <v>4</v>
      </c>
      <c r="G1189">
        <v>10.06</v>
      </c>
      <c r="H1189">
        <v>40.24</v>
      </c>
      <c r="I1189" t="str">
        <f t="shared" si="126"/>
        <v>Low</v>
      </c>
      <c r="J1189">
        <v>4.0199999999999996</v>
      </c>
      <c r="K1189">
        <f t="shared" si="131"/>
        <v>36.22</v>
      </c>
      <c r="L1189" t="str">
        <f t="shared" si="132"/>
        <v>May</v>
      </c>
      <c r="M1189">
        <f>YEAR(C1189)</f>
        <v>2024</v>
      </c>
      <c r="N1189">
        <v>254</v>
      </c>
      <c r="O1189" t="str">
        <f>IF(N1189&gt;=200,"Platinum",IF(N1189&gt;=100,"Gold",IF(N1189&gt;=50,"Silver","Regular")))</f>
        <v>Platinum</v>
      </c>
      <c r="P1189" s="4" t="str">
        <f t="shared" si="127"/>
        <v>Tuesday</v>
      </c>
      <c r="Q1189" s="4" t="str">
        <f t="shared" si="128"/>
        <v>Medium Order</v>
      </c>
      <c r="R1189" s="4" t="str">
        <f t="shared" si="129"/>
        <v>Weekday</v>
      </c>
      <c r="S1189" s="4" t="str">
        <f t="shared" si="130"/>
        <v>Regular</v>
      </c>
    </row>
    <row r="1190" spans="1:19" x14ac:dyDescent="0.3">
      <c r="A1190">
        <v>3417</v>
      </c>
      <c r="B1190" t="s">
        <v>3</v>
      </c>
      <c r="C1190" s="1">
        <v>45654</v>
      </c>
      <c r="D1190" t="s">
        <v>34</v>
      </c>
      <c r="E1190" t="s">
        <v>14</v>
      </c>
      <c r="F1190">
        <v>2</v>
      </c>
      <c r="G1190">
        <v>9.7100000000000009</v>
      </c>
      <c r="H1190">
        <v>19.420000000000002</v>
      </c>
      <c r="I1190" t="str">
        <f t="shared" si="126"/>
        <v>Low</v>
      </c>
      <c r="J1190">
        <v>1.94</v>
      </c>
      <c r="K1190">
        <f t="shared" si="131"/>
        <v>17.48</v>
      </c>
      <c r="L1190" t="str">
        <f t="shared" si="132"/>
        <v>December</v>
      </c>
      <c r="M1190">
        <f>YEAR(C1190)</f>
        <v>2024</v>
      </c>
      <c r="N1190">
        <v>362</v>
      </c>
      <c r="O1190" t="str">
        <f>IF(N1190&gt;=200,"Platinum",IF(N1190&gt;=100,"Gold",IF(N1190&gt;=50,"Silver","Regular")))</f>
        <v>Platinum</v>
      </c>
      <c r="P1190" s="4" t="str">
        <f t="shared" si="127"/>
        <v>Saturday</v>
      </c>
      <c r="Q1190" s="4" t="str">
        <f t="shared" si="128"/>
        <v>Small Order</v>
      </c>
      <c r="R1190" s="4" t="str">
        <f t="shared" si="129"/>
        <v>Weekend</v>
      </c>
      <c r="S1190" s="4" t="str">
        <f t="shared" si="130"/>
        <v>Regular</v>
      </c>
    </row>
    <row r="1191" spans="1:19" x14ac:dyDescent="0.3">
      <c r="A1191">
        <v>1231</v>
      </c>
      <c r="B1191" t="s">
        <v>3</v>
      </c>
      <c r="C1191" s="1">
        <v>45694</v>
      </c>
      <c r="D1191" t="s">
        <v>27</v>
      </c>
      <c r="E1191" t="s">
        <v>2</v>
      </c>
      <c r="F1191">
        <v>3</v>
      </c>
      <c r="G1191">
        <v>9.61</v>
      </c>
      <c r="H1191">
        <v>28.83</v>
      </c>
      <c r="I1191" t="str">
        <f t="shared" si="126"/>
        <v>Low</v>
      </c>
      <c r="J1191">
        <v>2.88</v>
      </c>
      <c r="K1191">
        <f t="shared" si="131"/>
        <v>25.95</v>
      </c>
      <c r="L1191" t="str">
        <f t="shared" si="132"/>
        <v>February</v>
      </c>
      <c r="M1191">
        <f>YEAR(C1191)</f>
        <v>2025</v>
      </c>
      <c r="N1191">
        <v>49</v>
      </c>
      <c r="O1191" t="str">
        <f>IF(N1191&gt;=200,"Platinum",IF(N1191&gt;=100,"Gold",IF(N1191&gt;=50,"Silver","Regular")))</f>
        <v>Regular</v>
      </c>
      <c r="P1191" s="4" t="str">
        <f t="shared" si="127"/>
        <v>Thursday</v>
      </c>
      <c r="Q1191" s="4" t="str">
        <f t="shared" si="128"/>
        <v>Medium Order</v>
      </c>
      <c r="R1191" s="4" t="str">
        <f t="shared" si="129"/>
        <v>Weekday</v>
      </c>
      <c r="S1191" s="4" t="str">
        <f t="shared" si="130"/>
        <v>Regular</v>
      </c>
    </row>
    <row r="1192" spans="1:19" x14ac:dyDescent="0.3">
      <c r="A1192">
        <v>7853</v>
      </c>
      <c r="B1192" t="s">
        <v>31</v>
      </c>
      <c r="C1192" s="1">
        <v>45567</v>
      </c>
      <c r="D1192" t="s">
        <v>34</v>
      </c>
      <c r="E1192" t="s">
        <v>2</v>
      </c>
      <c r="F1192">
        <v>1</v>
      </c>
      <c r="G1192">
        <v>27.73</v>
      </c>
      <c r="H1192">
        <v>27.73</v>
      </c>
      <c r="I1192" t="str">
        <f t="shared" si="126"/>
        <v>Low</v>
      </c>
      <c r="J1192">
        <v>2.77</v>
      </c>
      <c r="K1192">
        <f t="shared" si="131"/>
        <v>24.96</v>
      </c>
      <c r="L1192" t="str">
        <f t="shared" si="132"/>
        <v>October</v>
      </c>
      <c r="M1192">
        <f>YEAR(C1192)</f>
        <v>2024</v>
      </c>
      <c r="N1192">
        <v>264</v>
      </c>
      <c r="O1192" t="str">
        <f>IF(N1192&gt;=200,"Platinum",IF(N1192&gt;=100,"Gold",IF(N1192&gt;=50,"Silver","Regular")))</f>
        <v>Platinum</v>
      </c>
      <c r="P1192" s="4" t="str">
        <f t="shared" si="127"/>
        <v>Wednesday</v>
      </c>
      <c r="Q1192" s="4" t="str">
        <f t="shared" si="128"/>
        <v>Small Order</v>
      </c>
      <c r="R1192" s="4" t="str">
        <f t="shared" si="129"/>
        <v>Weekday</v>
      </c>
      <c r="S1192" s="4" t="str">
        <f t="shared" si="130"/>
        <v>Regular</v>
      </c>
    </row>
    <row r="1193" spans="1:19" x14ac:dyDescent="0.3">
      <c r="A1193">
        <v>1595</v>
      </c>
      <c r="B1193" t="s">
        <v>25</v>
      </c>
      <c r="C1193" s="1">
        <v>45794</v>
      </c>
      <c r="D1193" t="s">
        <v>6</v>
      </c>
      <c r="E1193" t="s">
        <v>26</v>
      </c>
      <c r="F1193">
        <v>4</v>
      </c>
      <c r="G1193">
        <v>9.11</v>
      </c>
      <c r="H1193">
        <v>36.44</v>
      </c>
      <c r="I1193" t="str">
        <f t="shared" si="126"/>
        <v>Low</v>
      </c>
      <c r="J1193">
        <v>3.64</v>
      </c>
      <c r="K1193">
        <f t="shared" si="131"/>
        <v>32.799999999999997</v>
      </c>
      <c r="L1193" t="str">
        <f t="shared" si="132"/>
        <v>May</v>
      </c>
      <c r="M1193">
        <f>YEAR(C1193)</f>
        <v>2025</v>
      </c>
      <c r="N1193">
        <v>310</v>
      </c>
      <c r="O1193" t="str">
        <f>IF(N1193&gt;=200,"Platinum",IF(N1193&gt;=100,"Gold",IF(N1193&gt;=50,"Silver","Regular")))</f>
        <v>Platinum</v>
      </c>
      <c r="P1193" s="4" t="str">
        <f t="shared" si="127"/>
        <v>Saturday</v>
      </c>
      <c r="Q1193" s="4" t="str">
        <f t="shared" si="128"/>
        <v>Medium Order</v>
      </c>
      <c r="R1193" s="4" t="str">
        <f t="shared" si="129"/>
        <v>Weekend</v>
      </c>
      <c r="S1193" s="4" t="str">
        <f t="shared" si="130"/>
        <v>Regular</v>
      </c>
    </row>
    <row r="1194" spans="1:19" x14ac:dyDescent="0.3">
      <c r="A1194">
        <v>9725</v>
      </c>
      <c r="B1194" t="s">
        <v>8</v>
      </c>
      <c r="C1194" s="1">
        <v>45691</v>
      </c>
      <c r="D1194" t="s">
        <v>1</v>
      </c>
      <c r="E1194" t="s">
        <v>18</v>
      </c>
      <c r="F1194">
        <v>1</v>
      </c>
      <c r="G1194">
        <v>27.23</v>
      </c>
      <c r="H1194">
        <v>27.23</v>
      </c>
      <c r="I1194" t="str">
        <f t="shared" si="126"/>
        <v>Low</v>
      </c>
      <c r="J1194">
        <v>2.72</v>
      </c>
      <c r="K1194">
        <f t="shared" si="131"/>
        <v>24.51</v>
      </c>
      <c r="L1194" t="str">
        <f t="shared" si="132"/>
        <v>February</v>
      </c>
      <c r="M1194">
        <f>YEAR(C1194)</f>
        <v>2025</v>
      </c>
      <c r="N1194">
        <v>420</v>
      </c>
      <c r="O1194" t="str">
        <f>IF(N1194&gt;=200,"Platinum",IF(N1194&gt;=100,"Gold",IF(N1194&gt;=50,"Silver","Regular")))</f>
        <v>Platinum</v>
      </c>
      <c r="P1194" s="4" t="str">
        <f t="shared" si="127"/>
        <v>Monday</v>
      </c>
      <c r="Q1194" s="4" t="str">
        <f t="shared" si="128"/>
        <v>Small Order</v>
      </c>
      <c r="R1194" s="4" t="str">
        <f t="shared" si="129"/>
        <v>Weekday</v>
      </c>
      <c r="S1194" s="4" t="str">
        <f t="shared" si="130"/>
        <v>Regular</v>
      </c>
    </row>
    <row r="1195" spans="1:19" x14ac:dyDescent="0.3">
      <c r="A1195">
        <v>6280</v>
      </c>
      <c r="B1195" t="s">
        <v>0</v>
      </c>
      <c r="C1195" s="1">
        <v>45613</v>
      </c>
      <c r="D1195" t="s">
        <v>27</v>
      </c>
      <c r="E1195" t="s">
        <v>32</v>
      </c>
      <c r="F1195">
        <v>1</v>
      </c>
      <c r="G1195">
        <v>27.23</v>
      </c>
      <c r="H1195">
        <v>27.23</v>
      </c>
      <c r="I1195" t="str">
        <f t="shared" si="126"/>
        <v>Low</v>
      </c>
      <c r="J1195">
        <v>2.72</v>
      </c>
      <c r="K1195">
        <f t="shared" si="131"/>
        <v>24.51</v>
      </c>
      <c r="L1195" t="str">
        <f t="shared" si="132"/>
        <v>November</v>
      </c>
      <c r="M1195">
        <f>YEAR(C1195)</f>
        <v>2024</v>
      </c>
      <c r="N1195">
        <v>329</v>
      </c>
      <c r="O1195" t="str">
        <f>IF(N1195&gt;=200,"Platinum",IF(N1195&gt;=100,"Gold",IF(N1195&gt;=50,"Silver","Regular")))</f>
        <v>Platinum</v>
      </c>
      <c r="P1195" s="4" t="str">
        <f t="shared" si="127"/>
        <v>Sunday</v>
      </c>
      <c r="Q1195" s="4" t="str">
        <f t="shared" si="128"/>
        <v>Small Order</v>
      </c>
      <c r="R1195" s="4" t="str">
        <f t="shared" si="129"/>
        <v>Weekend</v>
      </c>
      <c r="S1195" s="4" t="str">
        <f t="shared" si="130"/>
        <v>Regular</v>
      </c>
    </row>
    <row r="1196" spans="1:19" x14ac:dyDescent="0.3">
      <c r="A1196">
        <v>2292</v>
      </c>
      <c r="B1196" t="s">
        <v>13</v>
      </c>
      <c r="C1196" s="1">
        <v>45339</v>
      </c>
      <c r="D1196" t="s">
        <v>11</v>
      </c>
      <c r="E1196" t="s">
        <v>36</v>
      </c>
      <c r="F1196">
        <v>3</v>
      </c>
      <c r="G1196">
        <v>8.91</v>
      </c>
      <c r="H1196">
        <v>26.73</v>
      </c>
      <c r="I1196" t="str">
        <f t="shared" si="126"/>
        <v>Low</v>
      </c>
      <c r="J1196">
        <v>2.67</v>
      </c>
      <c r="K1196">
        <f t="shared" si="131"/>
        <v>24.060000000000002</v>
      </c>
      <c r="L1196" t="str">
        <f t="shared" si="132"/>
        <v>February</v>
      </c>
      <c r="M1196">
        <f>YEAR(C1196)</f>
        <v>2024</v>
      </c>
      <c r="N1196">
        <v>12</v>
      </c>
      <c r="O1196" t="str">
        <f>IF(N1196&gt;=200,"Platinum",IF(N1196&gt;=100,"Gold",IF(N1196&gt;=50,"Silver","Regular")))</f>
        <v>Regular</v>
      </c>
      <c r="P1196" s="4" t="str">
        <f t="shared" si="127"/>
        <v>Saturday</v>
      </c>
      <c r="Q1196" s="4" t="str">
        <f t="shared" si="128"/>
        <v>Medium Order</v>
      </c>
      <c r="R1196" s="4" t="str">
        <f t="shared" si="129"/>
        <v>Weekend</v>
      </c>
      <c r="S1196" s="4" t="str">
        <f t="shared" si="130"/>
        <v>Regular</v>
      </c>
    </row>
    <row r="1197" spans="1:19" x14ac:dyDescent="0.3">
      <c r="A1197">
        <v>6119</v>
      </c>
      <c r="B1197" t="s">
        <v>15</v>
      </c>
      <c r="C1197" s="1">
        <v>45418</v>
      </c>
      <c r="D1197" t="s">
        <v>11</v>
      </c>
      <c r="E1197" t="s">
        <v>7</v>
      </c>
      <c r="F1197">
        <v>1</v>
      </c>
      <c r="G1197">
        <v>24.83</v>
      </c>
      <c r="H1197">
        <v>24.83</v>
      </c>
      <c r="I1197" t="str">
        <f t="shared" si="126"/>
        <v>Low</v>
      </c>
      <c r="J1197">
        <v>2.48</v>
      </c>
      <c r="K1197">
        <f t="shared" si="131"/>
        <v>22.349999999999998</v>
      </c>
      <c r="L1197" t="str">
        <f t="shared" si="132"/>
        <v>May</v>
      </c>
      <c r="M1197">
        <f>YEAR(C1197)</f>
        <v>2024</v>
      </c>
      <c r="N1197">
        <v>90</v>
      </c>
      <c r="O1197" t="str">
        <f>IF(N1197&gt;=200,"Platinum",IF(N1197&gt;=100,"Gold",IF(N1197&gt;=50,"Silver","Regular")))</f>
        <v>Silver</v>
      </c>
      <c r="P1197" s="4" t="str">
        <f t="shared" si="127"/>
        <v>Monday</v>
      </c>
      <c r="Q1197" s="4" t="str">
        <f t="shared" si="128"/>
        <v>Small Order</v>
      </c>
      <c r="R1197" s="4" t="str">
        <f t="shared" si="129"/>
        <v>Weekday</v>
      </c>
      <c r="S1197" s="4" t="str">
        <f t="shared" si="130"/>
        <v>Regular</v>
      </c>
    </row>
    <row r="1198" spans="1:19" x14ac:dyDescent="0.3">
      <c r="A1198">
        <v>8404</v>
      </c>
      <c r="B1198" t="s">
        <v>25</v>
      </c>
      <c r="C1198" s="1">
        <v>45174</v>
      </c>
      <c r="D1198" t="s">
        <v>34</v>
      </c>
      <c r="E1198" t="s">
        <v>7</v>
      </c>
      <c r="F1198">
        <v>2</v>
      </c>
      <c r="G1198">
        <v>16.47</v>
      </c>
      <c r="H1198">
        <v>32.94</v>
      </c>
      <c r="I1198" t="str">
        <f t="shared" si="126"/>
        <v>Low</v>
      </c>
      <c r="J1198">
        <v>3.29</v>
      </c>
      <c r="K1198">
        <f t="shared" si="131"/>
        <v>29.65</v>
      </c>
      <c r="L1198" t="str">
        <f t="shared" si="132"/>
        <v>September</v>
      </c>
      <c r="M1198">
        <f>YEAR(C1198)</f>
        <v>2023</v>
      </c>
      <c r="N1198">
        <v>62</v>
      </c>
      <c r="O1198" t="str">
        <f>IF(N1198&gt;=200,"Platinum",IF(N1198&gt;=100,"Gold",IF(N1198&gt;=50,"Silver","Regular")))</f>
        <v>Silver</v>
      </c>
      <c r="P1198" s="4" t="str">
        <f t="shared" si="127"/>
        <v>Tuesday</v>
      </c>
      <c r="Q1198" s="4" t="str">
        <f t="shared" si="128"/>
        <v>Small Order</v>
      </c>
      <c r="R1198" s="4" t="str">
        <f t="shared" si="129"/>
        <v>Weekday</v>
      </c>
      <c r="S1198" s="4" t="str">
        <f t="shared" si="130"/>
        <v>Regular</v>
      </c>
    </row>
    <row r="1199" spans="1:19" x14ac:dyDescent="0.3">
      <c r="A1199">
        <v>5896</v>
      </c>
      <c r="B1199" t="s">
        <v>0</v>
      </c>
      <c r="C1199" s="1">
        <v>45347</v>
      </c>
      <c r="D1199" t="s">
        <v>6</v>
      </c>
      <c r="E1199" t="s">
        <v>36</v>
      </c>
      <c r="F1199">
        <v>4</v>
      </c>
      <c r="G1199">
        <v>8.2100000000000009</v>
      </c>
      <c r="H1199">
        <v>32.840000000000003</v>
      </c>
      <c r="I1199" t="str">
        <f t="shared" si="126"/>
        <v>Low</v>
      </c>
      <c r="J1199">
        <v>3.28</v>
      </c>
      <c r="K1199">
        <f t="shared" si="131"/>
        <v>29.560000000000002</v>
      </c>
      <c r="L1199" t="str">
        <f t="shared" si="132"/>
        <v>February</v>
      </c>
      <c r="M1199">
        <f>YEAR(C1199)</f>
        <v>2024</v>
      </c>
      <c r="N1199">
        <v>198</v>
      </c>
      <c r="O1199" t="str">
        <f>IF(N1199&gt;=200,"Platinum",IF(N1199&gt;=100,"Gold",IF(N1199&gt;=50,"Silver","Regular")))</f>
        <v>Gold</v>
      </c>
      <c r="P1199" s="4" t="str">
        <f t="shared" si="127"/>
        <v>Sunday</v>
      </c>
      <c r="Q1199" s="4" t="str">
        <f t="shared" si="128"/>
        <v>Medium Order</v>
      </c>
      <c r="R1199" s="4" t="str">
        <f t="shared" si="129"/>
        <v>Weekend</v>
      </c>
      <c r="S1199" s="4" t="str">
        <f t="shared" si="130"/>
        <v>Regular</v>
      </c>
    </row>
    <row r="1200" spans="1:19" x14ac:dyDescent="0.3">
      <c r="A1200">
        <v>1660</v>
      </c>
      <c r="B1200" t="s">
        <v>19</v>
      </c>
      <c r="C1200" s="1">
        <v>45312</v>
      </c>
      <c r="D1200" t="s">
        <v>27</v>
      </c>
      <c r="E1200" t="s">
        <v>32</v>
      </c>
      <c r="F1200">
        <v>1</v>
      </c>
      <c r="G1200">
        <v>8.11</v>
      </c>
      <c r="H1200">
        <v>8.11</v>
      </c>
      <c r="I1200" t="str">
        <f t="shared" si="126"/>
        <v>Low</v>
      </c>
      <c r="J1200">
        <v>0.81</v>
      </c>
      <c r="K1200">
        <f t="shared" si="131"/>
        <v>7.2999999999999989</v>
      </c>
      <c r="L1200" t="str">
        <f t="shared" si="132"/>
        <v>January</v>
      </c>
      <c r="M1200">
        <f>YEAR(C1200)</f>
        <v>2024</v>
      </c>
      <c r="N1200">
        <v>425</v>
      </c>
      <c r="O1200" t="str">
        <f>IF(N1200&gt;=200,"Platinum",IF(N1200&gt;=100,"Gold",IF(N1200&gt;=50,"Silver","Regular")))</f>
        <v>Platinum</v>
      </c>
      <c r="P1200" s="4" t="str">
        <f t="shared" si="127"/>
        <v>Sunday</v>
      </c>
      <c r="Q1200" s="4" t="str">
        <f t="shared" si="128"/>
        <v>Small Order</v>
      </c>
      <c r="R1200" s="4" t="str">
        <f t="shared" si="129"/>
        <v>Weekend</v>
      </c>
      <c r="S1200" s="4" t="str">
        <f t="shared" si="130"/>
        <v>Regular</v>
      </c>
    </row>
    <row r="1201" spans="1:19" x14ac:dyDescent="0.3">
      <c r="A1201">
        <v>6456</v>
      </c>
      <c r="B1201" t="s">
        <v>20</v>
      </c>
      <c r="C1201" s="1">
        <v>45750</v>
      </c>
      <c r="D1201" t="s">
        <v>9</v>
      </c>
      <c r="E1201" t="s">
        <v>29</v>
      </c>
      <c r="F1201">
        <v>1</v>
      </c>
      <c r="G1201">
        <v>29.74</v>
      </c>
      <c r="H1201">
        <v>29.74</v>
      </c>
      <c r="I1201" t="str">
        <f t="shared" si="126"/>
        <v>Low</v>
      </c>
      <c r="J1201">
        <v>2.97</v>
      </c>
      <c r="K1201">
        <f t="shared" si="131"/>
        <v>26.77</v>
      </c>
      <c r="L1201" t="str">
        <f t="shared" si="132"/>
        <v>April</v>
      </c>
      <c r="M1201">
        <f>YEAR(C1201)</f>
        <v>2025</v>
      </c>
      <c r="N1201">
        <v>375</v>
      </c>
      <c r="O1201" t="str">
        <f>IF(N1201&gt;=200,"Platinum",IF(N1201&gt;=100,"Gold",IF(N1201&gt;=50,"Silver","Regular")))</f>
        <v>Platinum</v>
      </c>
      <c r="P1201" s="4" t="str">
        <f t="shared" si="127"/>
        <v>Thursday</v>
      </c>
      <c r="Q1201" s="4" t="str">
        <f t="shared" si="128"/>
        <v>Small Order</v>
      </c>
      <c r="R1201" s="4" t="str">
        <f t="shared" si="129"/>
        <v>Weekday</v>
      </c>
      <c r="S1201" s="4" t="str">
        <f t="shared" si="130"/>
        <v>Regular</v>
      </c>
    </row>
    <row r="1202" spans="1:19" x14ac:dyDescent="0.3">
      <c r="A1202">
        <v>2208</v>
      </c>
      <c r="B1202" t="s">
        <v>31</v>
      </c>
      <c r="C1202" s="1">
        <v>45242</v>
      </c>
      <c r="D1202" t="s">
        <v>1</v>
      </c>
      <c r="E1202" t="s">
        <v>14</v>
      </c>
      <c r="F1202">
        <v>2</v>
      </c>
      <c r="G1202">
        <v>14.52</v>
      </c>
      <c r="H1202">
        <v>29.04</v>
      </c>
      <c r="I1202" t="str">
        <f t="shared" si="126"/>
        <v>Low</v>
      </c>
      <c r="J1202">
        <v>2.9</v>
      </c>
      <c r="K1202">
        <f t="shared" si="131"/>
        <v>26.14</v>
      </c>
      <c r="L1202" t="str">
        <f t="shared" si="132"/>
        <v>November</v>
      </c>
      <c r="M1202">
        <f>YEAR(C1202)</f>
        <v>2023</v>
      </c>
      <c r="N1202">
        <v>109</v>
      </c>
      <c r="O1202" t="str">
        <f>IF(N1202&gt;=200,"Platinum",IF(N1202&gt;=100,"Gold",IF(N1202&gt;=50,"Silver","Regular")))</f>
        <v>Gold</v>
      </c>
      <c r="P1202" s="4" t="str">
        <f t="shared" si="127"/>
        <v>Sunday</v>
      </c>
      <c r="Q1202" s="4" t="str">
        <f t="shared" si="128"/>
        <v>Small Order</v>
      </c>
      <c r="R1202" s="4" t="str">
        <f t="shared" si="129"/>
        <v>Weekend</v>
      </c>
      <c r="S1202" s="4" t="str">
        <f t="shared" si="130"/>
        <v>Regular</v>
      </c>
    </row>
    <row r="1203" spans="1:19" x14ac:dyDescent="0.3">
      <c r="A1203">
        <v>8007</v>
      </c>
      <c r="B1203" t="s">
        <v>0</v>
      </c>
      <c r="C1203" s="1">
        <v>45580</v>
      </c>
      <c r="D1203" t="s">
        <v>27</v>
      </c>
      <c r="E1203" t="s">
        <v>12</v>
      </c>
      <c r="F1203">
        <v>1</v>
      </c>
      <c r="G1203">
        <v>28.64</v>
      </c>
      <c r="H1203">
        <v>28.64</v>
      </c>
      <c r="I1203" t="str">
        <f t="shared" si="126"/>
        <v>Low</v>
      </c>
      <c r="J1203">
        <v>2.86</v>
      </c>
      <c r="K1203">
        <f t="shared" si="131"/>
        <v>25.78</v>
      </c>
      <c r="L1203" t="str">
        <f t="shared" si="132"/>
        <v>October</v>
      </c>
      <c r="M1203">
        <f>YEAR(C1203)</f>
        <v>2024</v>
      </c>
      <c r="N1203">
        <v>278</v>
      </c>
      <c r="O1203" t="str">
        <f>IF(N1203&gt;=200,"Platinum",IF(N1203&gt;=100,"Gold",IF(N1203&gt;=50,"Silver","Regular")))</f>
        <v>Platinum</v>
      </c>
      <c r="P1203" s="4" t="str">
        <f t="shared" si="127"/>
        <v>Tuesday</v>
      </c>
      <c r="Q1203" s="4" t="str">
        <f t="shared" si="128"/>
        <v>Small Order</v>
      </c>
      <c r="R1203" s="4" t="str">
        <f t="shared" si="129"/>
        <v>Weekday</v>
      </c>
      <c r="S1203" s="4" t="str">
        <f t="shared" si="130"/>
        <v>Regular</v>
      </c>
    </row>
    <row r="1204" spans="1:19" x14ac:dyDescent="0.3">
      <c r="A1204">
        <v>9193</v>
      </c>
      <c r="B1204" t="s">
        <v>20</v>
      </c>
      <c r="C1204" s="1">
        <v>45176</v>
      </c>
      <c r="D1204" t="s">
        <v>16</v>
      </c>
      <c r="E1204" t="s">
        <v>29</v>
      </c>
      <c r="F1204">
        <v>1</v>
      </c>
      <c r="G1204">
        <v>7.11</v>
      </c>
      <c r="H1204">
        <v>7.11</v>
      </c>
      <c r="I1204" t="str">
        <f t="shared" si="126"/>
        <v>Low</v>
      </c>
      <c r="J1204">
        <v>0.71</v>
      </c>
      <c r="K1204">
        <f t="shared" si="131"/>
        <v>6.4</v>
      </c>
      <c r="L1204" t="str">
        <f t="shared" si="132"/>
        <v>September</v>
      </c>
      <c r="M1204">
        <f>YEAR(C1204)</f>
        <v>2023</v>
      </c>
      <c r="N1204">
        <v>405</v>
      </c>
      <c r="O1204" t="str">
        <f>IF(N1204&gt;=200,"Platinum",IF(N1204&gt;=100,"Gold",IF(N1204&gt;=50,"Silver","Regular")))</f>
        <v>Platinum</v>
      </c>
      <c r="P1204" s="4" t="str">
        <f t="shared" si="127"/>
        <v>Thursday</v>
      </c>
      <c r="Q1204" s="4" t="str">
        <f t="shared" si="128"/>
        <v>Small Order</v>
      </c>
      <c r="R1204" s="4" t="str">
        <f t="shared" si="129"/>
        <v>Weekday</v>
      </c>
      <c r="S1204" s="4" t="str">
        <f t="shared" si="130"/>
        <v>Regular</v>
      </c>
    </row>
    <row r="1205" spans="1:19" x14ac:dyDescent="0.3">
      <c r="A1205">
        <v>4618</v>
      </c>
      <c r="B1205" t="s">
        <v>20</v>
      </c>
      <c r="C1205" s="1">
        <v>45315</v>
      </c>
      <c r="D1205" t="s">
        <v>9</v>
      </c>
      <c r="E1205" t="s">
        <v>12</v>
      </c>
      <c r="F1205">
        <v>1</v>
      </c>
      <c r="G1205">
        <v>21.33</v>
      </c>
      <c r="H1205">
        <v>21.33</v>
      </c>
      <c r="I1205" t="str">
        <f t="shared" si="126"/>
        <v>Low</v>
      </c>
      <c r="J1205">
        <v>2.13</v>
      </c>
      <c r="K1205">
        <f t="shared" si="131"/>
        <v>19.2</v>
      </c>
      <c r="L1205" t="str">
        <f t="shared" si="132"/>
        <v>January</v>
      </c>
      <c r="M1205">
        <f>YEAR(C1205)</f>
        <v>2024</v>
      </c>
      <c r="N1205">
        <v>339</v>
      </c>
      <c r="O1205" t="str">
        <f>IF(N1205&gt;=200,"Platinum",IF(N1205&gt;=100,"Gold",IF(N1205&gt;=50,"Silver","Regular")))</f>
        <v>Platinum</v>
      </c>
      <c r="P1205" s="4" t="str">
        <f t="shared" si="127"/>
        <v>Wednesday</v>
      </c>
      <c r="Q1205" s="4" t="str">
        <f t="shared" si="128"/>
        <v>Small Order</v>
      </c>
      <c r="R1205" s="4" t="str">
        <f t="shared" si="129"/>
        <v>Weekday</v>
      </c>
      <c r="S1205" s="4" t="str">
        <f t="shared" si="130"/>
        <v>Regular</v>
      </c>
    </row>
    <row r="1206" spans="1:19" x14ac:dyDescent="0.3">
      <c r="A1206">
        <v>9138</v>
      </c>
      <c r="B1206" t="s">
        <v>3</v>
      </c>
      <c r="C1206" s="1">
        <v>45791</v>
      </c>
      <c r="D1206" t="s">
        <v>23</v>
      </c>
      <c r="E1206" t="s">
        <v>28</v>
      </c>
      <c r="F1206">
        <v>1</v>
      </c>
      <c r="G1206">
        <v>20.23</v>
      </c>
      <c r="H1206">
        <v>20.23</v>
      </c>
      <c r="I1206" t="str">
        <f t="shared" si="126"/>
        <v>Low</v>
      </c>
      <c r="J1206">
        <v>2.02</v>
      </c>
      <c r="K1206">
        <f t="shared" si="131"/>
        <v>18.21</v>
      </c>
      <c r="L1206" t="str">
        <f t="shared" si="132"/>
        <v>May</v>
      </c>
      <c r="M1206">
        <f>YEAR(C1206)</f>
        <v>2025</v>
      </c>
      <c r="N1206">
        <v>440</v>
      </c>
      <c r="O1206" t="str">
        <f>IF(N1206&gt;=200,"Platinum",IF(N1206&gt;=100,"Gold",IF(N1206&gt;=50,"Silver","Regular")))</f>
        <v>Platinum</v>
      </c>
      <c r="P1206" s="4" t="str">
        <f t="shared" si="127"/>
        <v>Wednesday</v>
      </c>
      <c r="Q1206" s="4" t="str">
        <f t="shared" si="128"/>
        <v>Small Order</v>
      </c>
      <c r="R1206" s="4" t="str">
        <f t="shared" si="129"/>
        <v>Weekday</v>
      </c>
      <c r="S1206" s="4" t="str">
        <f t="shared" si="130"/>
        <v>Regular</v>
      </c>
    </row>
    <row r="1207" spans="1:19" x14ac:dyDescent="0.3">
      <c r="A1207">
        <v>4593</v>
      </c>
      <c r="B1207" t="s">
        <v>0</v>
      </c>
      <c r="C1207" s="1">
        <v>45252</v>
      </c>
      <c r="D1207" t="s">
        <v>34</v>
      </c>
      <c r="E1207" t="s">
        <v>5</v>
      </c>
      <c r="F1207">
        <v>5</v>
      </c>
      <c r="G1207">
        <v>6.63</v>
      </c>
      <c r="H1207">
        <v>33.15</v>
      </c>
      <c r="I1207" t="str">
        <f t="shared" si="126"/>
        <v>Low</v>
      </c>
      <c r="J1207">
        <v>3.31</v>
      </c>
      <c r="K1207">
        <f t="shared" si="131"/>
        <v>29.84</v>
      </c>
      <c r="L1207" t="str">
        <f t="shared" si="132"/>
        <v>November</v>
      </c>
      <c r="M1207">
        <f>YEAR(C1207)</f>
        <v>2023</v>
      </c>
      <c r="N1207">
        <v>356</v>
      </c>
      <c r="O1207" t="str">
        <f>IF(N1207&gt;=200,"Platinum",IF(N1207&gt;=100,"Gold",IF(N1207&gt;=50,"Silver","Regular")))</f>
        <v>Platinum</v>
      </c>
      <c r="P1207" s="4" t="str">
        <f t="shared" si="127"/>
        <v>Wednesday</v>
      </c>
      <c r="Q1207" s="4" t="str">
        <f t="shared" si="128"/>
        <v>Medium Order</v>
      </c>
      <c r="R1207" s="4" t="str">
        <f t="shared" si="129"/>
        <v>Weekday</v>
      </c>
      <c r="S1207" s="4" t="str">
        <f t="shared" si="130"/>
        <v>Regular</v>
      </c>
    </row>
    <row r="1208" spans="1:19" x14ac:dyDescent="0.3">
      <c r="A1208">
        <v>3290</v>
      </c>
      <c r="B1208" t="s">
        <v>0</v>
      </c>
      <c r="C1208" s="1">
        <v>45239</v>
      </c>
      <c r="D1208" t="s">
        <v>1</v>
      </c>
      <c r="E1208" t="s">
        <v>18</v>
      </c>
      <c r="F1208">
        <v>1</v>
      </c>
      <c r="G1208">
        <v>17.53</v>
      </c>
      <c r="H1208">
        <v>17.53</v>
      </c>
      <c r="I1208" t="str">
        <f t="shared" si="126"/>
        <v>Low</v>
      </c>
      <c r="J1208">
        <v>1.75</v>
      </c>
      <c r="K1208">
        <f t="shared" si="131"/>
        <v>15.780000000000001</v>
      </c>
      <c r="L1208" t="str">
        <f t="shared" si="132"/>
        <v>November</v>
      </c>
      <c r="M1208">
        <f>YEAR(C1208)</f>
        <v>2023</v>
      </c>
      <c r="N1208">
        <v>340</v>
      </c>
      <c r="O1208" t="str">
        <f>IF(N1208&gt;=200,"Platinum",IF(N1208&gt;=100,"Gold",IF(N1208&gt;=50,"Silver","Regular")))</f>
        <v>Platinum</v>
      </c>
      <c r="P1208" s="4" t="str">
        <f t="shared" si="127"/>
        <v>Thursday</v>
      </c>
      <c r="Q1208" s="4" t="str">
        <f t="shared" si="128"/>
        <v>Small Order</v>
      </c>
      <c r="R1208" s="4" t="str">
        <f t="shared" si="129"/>
        <v>Weekday</v>
      </c>
      <c r="S1208" s="4" t="str">
        <f t="shared" si="130"/>
        <v>Regular</v>
      </c>
    </row>
    <row r="1209" spans="1:19" x14ac:dyDescent="0.3">
      <c r="A1209">
        <v>9945</v>
      </c>
      <c r="B1209" t="s">
        <v>15</v>
      </c>
      <c r="C1209" s="1">
        <v>45407</v>
      </c>
      <c r="D1209" t="s">
        <v>9</v>
      </c>
      <c r="E1209" t="s">
        <v>28</v>
      </c>
      <c r="F1209">
        <v>1</v>
      </c>
      <c r="G1209">
        <v>5.81</v>
      </c>
      <c r="H1209">
        <v>5.81</v>
      </c>
      <c r="I1209" t="str">
        <f t="shared" si="126"/>
        <v>Low</v>
      </c>
      <c r="J1209">
        <v>0.57999999999999996</v>
      </c>
      <c r="K1209">
        <f t="shared" si="131"/>
        <v>5.2299999999999995</v>
      </c>
      <c r="L1209" t="str">
        <f t="shared" si="132"/>
        <v>April</v>
      </c>
      <c r="M1209">
        <f>YEAR(C1209)</f>
        <v>2024</v>
      </c>
      <c r="N1209">
        <v>78</v>
      </c>
      <c r="O1209" t="str">
        <f>IF(N1209&gt;=200,"Platinum",IF(N1209&gt;=100,"Gold",IF(N1209&gt;=50,"Silver","Regular")))</f>
        <v>Silver</v>
      </c>
      <c r="P1209" s="4" t="str">
        <f t="shared" si="127"/>
        <v>Thursday</v>
      </c>
      <c r="Q1209" s="4" t="str">
        <f t="shared" si="128"/>
        <v>Small Order</v>
      </c>
      <c r="R1209" s="4" t="str">
        <f t="shared" si="129"/>
        <v>Weekday</v>
      </c>
      <c r="S1209" s="4" t="str">
        <f t="shared" si="130"/>
        <v>Regular</v>
      </c>
    </row>
    <row r="1210" spans="1:19" x14ac:dyDescent="0.3">
      <c r="A1210">
        <v>1990</v>
      </c>
      <c r="B1210" t="s">
        <v>8</v>
      </c>
      <c r="C1210" s="1">
        <v>45758</v>
      </c>
      <c r="D1210" t="s">
        <v>34</v>
      </c>
      <c r="E1210" t="s">
        <v>7</v>
      </c>
      <c r="F1210">
        <v>3</v>
      </c>
      <c r="G1210">
        <v>7.48</v>
      </c>
      <c r="H1210">
        <v>22.44</v>
      </c>
      <c r="I1210" t="str">
        <f t="shared" si="126"/>
        <v>Low</v>
      </c>
      <c r="J1210">
        <v>2.2400000000000002</v>
      </c>
      <c r="K1210">
        <f t="shared" si="131"/>
        <v>20.200000000000003</v>
      </c>
      <c r="L1210" t="str">
        <f t="shared" si="132"/>
        <v>April</v>
      </c>
      <c r="M1210">
        <f>YEAR(C1210)</f>
        <v>2025</v>
      </c>
      <c r="N1210">
        <v>146</v>
      </c>
      <c r="O1210" t="str">
        <f>IF(N1210&gt;=200,"Platinum",IF(N1210&gt;=100,"Gold",IF(N1210&gt;=50,"Silver","Regular")))</f>
        <v>Gold</v>
      </c>
      <c r="P1210" s="4" t="str">
        <f t="shared" si="127"/>
        <v>Friday</v>
      </c>
      <c r="Q1210" s="4" t="str">
        <f t="shared" si="128"/>
        <v>Medium Order</v>
      </c>
      <c r="R1210" s="4" t="str">
        <f t="shared" si="129"/>
        <v>Weekday</v>
      </c>
      <c r="S1210" s="4" t="str">
        <f t="shared" si="130"/>
        <v>Regular</v>
      </c>
    </row>
    <row r="1211" spans="1:19" x14ac:dyDescent="0.3">
      <c r="A1211">
        <v>3042</v>
      </c>
      <c r="B1211" t="s">
        <v>0</v>
      </c>
      <c r="C1211" s="1">
        <v>45366</v>
      </c>
      <c r="D1211" t="s">
        <v>17</v>
      </c>
      <c r="E1211" t="s">
        <v>35</v>
      </c>
      <c r="F1211">
        <v>1</v>
      </c>
      <c r="G1211">
        <v>16.13</v>
      </c>
      <c r="H1211">
        <v>16.13</v>
      </c>
      <c r="I1211" t="str">
        <f t="shared" si="126"/>
        <v>Low</v>
      </c>
      <c r="J1211">
        <v>1.61</v>
      </c>
      <c r="K1211">
        <f t="shared" si="131"/>
        <v>14.52</v>
      </c>
      <c r="L1211" t="str">
        <f t="shared" si="132"/>
        <v>March</v>
      </c>
      <c r="M1211">
        <f>YEAR(C1211)</f>
        <v>2024</v>
      </c>
      <c r="N1211">
        <v>424</v>
      </c>
      <c r="O1211" t="str">
        <f>IF(N1211&gt;=200,"Platinum",IF(N1211&gt;=100,"Gold",IF(N1211&gt;=50,"Silver","Regular")))</f>
        <v>Platinum</v>
      </c>
      <c r="P1211" s="4" t="str">
        <f t="shared" si="127"/>
        <v>Friday</v>
      </c>
      <c r="Q1211" s="4" t="str">
        <f t="shared" si="128"/>
        <v>Small Order</v>
      </c>
      <c r="R1211" s="4" t="str">
        <f t="shared" si="129"/>
        <v>Weekday</v>
      </c>
      <c r="S1211" s="4" t="str">
        <f t="shared" si="130"/>
        <v>Regular</v>
      </c>
    </row>
    <row r="1212" spans="1:19" x14ac:dyDescent="0.3">
      <c r="A1212">
        <v>7561</v>
      </c>
      <c r="B1212" t="s">
        <v>0</v>
      </c>
      <c r="C1212" s="1">
        <v>45776</v>
      </c>
      <c r="D1212" t="s">
        <v>1</v>
      </c>
      <c r="E1212" t="s">
        <v>18</v>
      </c>
      <c r="F1212">
        <v>4</v>
      </c>
      <c r="G1212">
        <v>5.0599999999999996</v>
      </c>
      <c r="H1212">
        <v>20.239999999999998</v>
      </c>
      <c r="I1212" t="str">
        <f t="shared" si="126"/>
        <v>Low</v>
      </c>
      <c r="J1212">
        <v>2.02</v>
      </c>
      <c r="K1212">
        <f t="shared" si="131"/>
        <v>18.22</v>
      </c>
      <c r="L1212" t="str">
        <f t="shared" si="132"/>
        <v>April</v>
      </c>
      <c r="M1212">
        <f>YEAR(C1212)</f>
        <v>2025</v>
      </c>
      <c r="N1212">
        <v>367</v>
      </c>
      <c r="O1212" t="str">
        <f>IF(N1212&gt;=200,"Platinum",IF(N1212&gt;=100,"Gold",IF(N1212&gt;=50,"Silver","Regular")))</f>
        <v>Platinum</v>
      </c>
      <c r="P1212" s="4" t="str">
        <f t="shared" si="127"/>
        <v>Tuesday</v>
      </c>
      <c r="Q1212" s="4" t="str">
        <f t="shared" si="128"/>
        <v>Medium Order</v>
      </c>
      <c r="R1212" s="4" t="str">
        <f t="shared" si="129"/>
        <v>Weekday</v>
      </c>
      <c r="S1212" s="4" t="str">
        <f t="shared" si="130"/>
        <v>Regular</v>
      </c>
    </row>
    <row r="1213" spans="1:19" x14ac:dyDescent="0.3">
      <c r="A1213">
        <v>1782</v>
      </c>
      <c r="B1213" t="s">
        <v>20</v>
      </c>
      <c r="C1213" s="1">
        <v>45330</v>
      </c>
      <c r="D1213" t="s">
        <v>6</v>
      </c>
      <c r="E1213" t="s">
        <v>18</v>
      </c>
      <c r="F1213">
        <v>1</v>
      </c>
      <c r="G1213">
        <v>14.63</v>
      </c>
      <c r="H1213">
        <v>14.63</v>
      </c>
      <c r="I1213" t="str">
        <f t="shared" si="126"/>
        <v>Low</v>
      </c>
      <c r="J1213">
        <v>1.46</v>
      </c>
      <c r="K1213">
        <f t="shared" si="131"/>
        <v>13.170000000000002</v>
      </c>
      <c r="L1213" t="str">
        <f t="shared" si="132"/>
        <v>February</v>
      </c>
      <c r="M1213">
        <f>YEAR(C1213)</f>
        <v>2024</v>
      </c>
      <c r="N1213">
        <v>83</v>
      </c>
      <c r="O1213" t="str">
        <f>IF(N1213&gt;=200,"Platinum",IF(N1213&gt;=100,"Gold",IF(N1213&gt;=50,"Silver","Regular")))</f>
        <v>Silver</v>
      </c>
      <c r="P1213" s="4" t="str">
        <f t="shared" si="127"/>
        <v>Thursday</v>
      </c>
      <c r="Q1213" s="4" t="str">
        <f t="shared" si="128"/>
        <v>Small Order</v>
      </c>
      <c r="R1213" s="4" t="str">
        <f t="shared" si="129"/>
        <v>Weekday</v>
      </c>
      <c r="S1213" s="4" t="str">
        <f t="shared" si="130"/>
        <v>Regular</v>
      </c>
    </row>
    <row r="1214" spans="1:19" x14ac:dyDescent="0.3">
      <c r="A1214">
        <v>4522</v>
      </c>
      <c r="B1214" t="s">
        <v>25</v>
      </c>
      <c r="C1214" s="1">
        <v>45479</v>
      </c>
      <c r="D1214" t="s">
        <v>11</v>
      </c>
      <c r="E1214" t="s">
        <v>32</v>
      </c>
      <c r="F1214">
        <v>2</v>
      </c>
      <c r="G1214">
        <v>9.1199999999999992</v>
      </c>
      <c r="H1214">
        <v>18.239999999999998</v>
      </c>
      <c r="I1214" t="str">
        <f t="shared" si="126"/>
        <v>Low</v>
      </c>
      <c r="J1214">
        <v>1.82</v>
      </c>
      <c r="K1214">
        <f t="shared" si="131"/>
        <v>16.419999999999998</v>
      </c>
      <c r="L1214" t="str">
        <f t="shared" si="132"/>
        <v>July</v>
      </c>
      <c r="M1214">
        <f>YEAR(C1214)</f>
        <v>2024</v>
      </c>
      <c r="N1214">
        <v>15</v>
      </c>
      <c r="O1214" t="str">
        <f>IF(N1214&gt;=200,"Platinum",IF(N1214&gt;=100,"Gold",IF(N1214&gt;=50,"Silver","Regular")))</f>
        <v>Regular</v>
      </c>
      <c r="P1214" s="4" t="str">
        <f t="shared" si="127"/>
        <v>Saturday</v>
      </c>
      <c r="Q1214" s="4" t="str">
        <f t="shared" si="128"/>
        <v>Small Order</v>
      </c>
      <c r="R1214" s="4" t="str">
        <f t="shared" si="129"/>
        <v>Weekend</v>
      </c>
      <c r="S1214" s="4" t="str">
        <f t="shared" si="130"/>
        <v>Regular</v>
      </c>
    </row>
    <row r="1215" spans="1:19" x14ac:dyDescent="0.3">
      <c r="A1215">
        <v>4178</v>
      </c>
      <c r="B1215" t="s">
        <v>0</v>
      </c>
      <c r="C1215" s="1">
        <v>45430</v>
      </c>
      <c r="D1215" t="s">
        <v>17</v>
      </c>
      <c r="E1215" t="s">
        <v>10</v>
      </c>
      <c r="F1215">
        <v>3</v>
      </c>
      <c r="G1215">
        <v>2.94</v>
      </c>
      <c r="H1215">
        <v>8.82</v>
      </c>
      <c r="I1215" t="str">
        <f t="shared" si="126"/>
        <v>Low</v>
      </c>
      <c r="J1215">
        <v>0.88</v>
      </c>
      <c r="K1215">
        <f t="shared" si="131"/>
        <v>7.94</v>
      </c>
      <c r="L1215" t="str">
        <f t="shared" si="132"/>
        <v>May</v>
      </c>
      <c r="M1215">
        <f>YEAR(C1215)</f>
        <v>2024</v>
      </c>
      <c r="N1215">
        <v>410</v>
      </c>
      <c r="O1215" t="str">
        <f>IF(N1215&gt;=200,"Platinum",IF(N1215&gt;=100,"Gold",IF(N1215&gt;=50,"Silver","Regular")))</f>
        <v>Platinum</v>
      </c>
      <c r="P1215" s="4" t="str">
        <f t="shared" si="127"/>
        <v>Saturday</v>
      </c>
      <c r="Q1215" s="4" t="str">
        <f t="shared" si="128"/>
        <v>Medium Order</v>
      </c>
      <c r="R1215" s="4" t="str">
        <f t="shared" si="129"/>
        <v>Weekend</v>
      </c>
      <c r="S1215" s="4" t="str">
        <f t="shared" si="130"/>
        <v>Regular</v>
      </c>
    </row>
    <row r="1216" spans="1:19" x14ac:dyDescent="0.3">
      <c r="A1216">
        <v>7389</v>
      </c>
      <c r="B1216" t="s">
        <v>15</v>
      </c>
      <c r="C1216" s="1">
        <v>45807</v>
      </c>
      <c r="D1216" t="s">
        <v>23</v>
      </c>
      <c r="E1216" t="s">
        <v>26</v>
      </c>
      <c r="F1216">
        <v>2</v>
      </c>
      <c r="G1216">
        <v>8.32</v>
      </c>
      <c r="H1216">
        <v>16.64</v>
      </c>
      <c r="I1216" t="str">
        <f t="shared" si="126"/>
        <v>Low</v>
      </c>
      <c r="J1216">
        <v>1.66</v>
      </c>
      <c r="K1216">
        <f t="shared" si="131"/>
        <v>14.98</v>
      </c>
      <c r="L1216" t="str">
        <f t="shared" si="132"/>
        <v>May</v>
      </c>
      <c r="M1216">
        <f>YEAR(C1216)</f>
        <v>2025</v>
      </c>
      <c r="N1216">
        <v>78</v>
      </c>
      <c r="O1216" t="str">
        <f>IF(N1216&gt;=200,"Platinum",IF(N1216&gt;=100,"Gold",IF(N1216&gt;=50,"Silver","Regular")))</f>
        <v>Silver</v>
      </c>
      <c r="P1216" s="4" t="str">
        <f t="shared" si="127"/>
        <v>Friday</v>
      </c>
      <c r="Q1216" s="4" t="str">
        <f t="shared" si="128"/>
        <v>Small Order</v>
      </c>
      <c r="R1216" s="4" t="str">
        <f t="shared" si="129"/>
        <v>Weekday</v>
      </c>
      <c r="S1216" s="4" t="str">
        <f t="shared" si="130"/>
        <v>Regular</v>
      </c>
    </row>
    <row r="1217" spans="1:19" x14ac:dyDescent="0.3">
      <c r="A1217">
        <v>8170</v>
      </c>
      <c r="B1217" t="s">
        <v>20</v>
      </c>
      <c r="C1217" s="1">
        <v>45178</v>
      </c>
      <c r="D1217" t="s">
        <v>16</v>
      </c>
      <c r="E1217" t="s">
        <v>10</v>
      </c>
      <c r="F1217">
        <v>4</v>
      </c>
      <c r="G1217">
        <v>3.81</v>
      </c>
      <c r="H1217">
        <v>15.24</v>
      </c>
      <c r="I1217" t="str">
        <f t="shared" si="126"/>
        <v>Low</v>
      </c>
      <c r="J1217">
        <v>1.52</v>
      </c>
      <c r="K1217">
        <f t="shared" si="131"/>
        <v>13.72</v>
      </c>
      <c r="L1217" t="str">
        <f t="shared" si="132"/>
        <v>September</v>
      </c>
      <c r="M1217">
        <f>YEAR(C1217)</f>
        <v>2023</v>
      </c>
      <c r="N1217">
        <v>176</v>
      </c>
      <c r="O1217" t="str">
        <f>IF(N1217&gt;=200,"Platinum",IF(N1217&gt;=100,"Gold",IF(N1217&gt;=50,"Silver","Regular")))</f>
        <v>Gold</v>
      </c>
      <c r="P1217" s="4" t="str">
        <f t="shared" si="127"/>
        <v>Saturday</v>
      </c>
      <c r="Q1217" s="4" t="str">
        <f t="shared" si="128"/>
        <v>Medium Order</v>
      </c>
      <c r="R1217" s="4" t="str">
        <f t="shared" si="129"/>
        <v>Weekend</v>
      </c>
      <c r="S1217" s="4" t="str">
        <f t="shared" si="130"/>
        <v>Regular</v>
      </c>
    </row>
    <row r="1218" spans="1:19" x14ac:dyDescent="0.3">
      <c r="A1218">
        <v>7161</v>
      </c>
      <c r="B1218" t="s">
        <v>0</v>
      </c>
      <c r="C1218" s="1">
        <v>45362</v>
      </c>
      <c r="D1218" t="s">
        <v>27</v>
      </c>
      <c r="E1218" t="s">
        <v>5</v>
      </c>
      <c r="F1218">
        <v>3</v>
      </c>
      <c r="G1218">
        <v>6.15</v>
      </c>
      <c r="H1218">
        <v>18.45</v>
      </c>
      <c r="I1218" t="str">
        <f t="shared" ref="I1218:I1281" si="133">IF(J1218=0,"No Discount",IF(J1218&lt;=5,"Low",IF(J1218&lt;=10,"Medium",IF(J1218&lt;=20,"High","Very High"))))</f>
        <v>Low</v>
      </c>
      <c r="J1218">
        <v>1.84</v>
      </c>
      <c r="K1218">
        <f t="shared" si="131"/>
        <v>16.61</v>
      </c>
      <c r="L1218" t="str">
        <f t="shared" si="132"/>
        <v>March</v>
      </c>
      <c r="M1218">
        <f>YEAR(C1218)</f>
        <v>2024</v>
      </c>
      <c r="N1218">
        <v>443</v>
      </c>
      <c r="O1218" t="str">
        <f>IF(N1218&gt;=200,"Platinum",IF(N1218&gt;=100,"Gold",IF(N1218&gt;=50,"Silver","Regular")))</f>
        <v>Platinum</v>
      </c>
      <c r="P1218" s="4" t="str">
        <f t="shared" ref="P1218:P1281" si="134">TEXT(C1218,"dddd")</f>
        <v>Monday</v>
      </c>
      <c r="Q1218" s="4" t="str">
        <f t="shared" ref="Q1218:Q1281" si="135">IF(F1218&lt;=2,"Small Order",IF(F1218&lt;=5,"Medium Order",IF(F1218&lt;=10,"Large Order","Bulk Order")))</f>
        <v>Medium Order</v>
      </c>
      <c r="R1218" s="4" t="str">
        <f t="shared" ref="R1218:R1281" si="136">IF(WEEKDAY(C1218,2)&gt;5,"Weekend","Weekday")</f>
        <v>Weekday</v>
      </c>
      <c r="S1218" s="4" t="str">
        <f t="shared" ref="S1218:S1281" si="137">IF(K1218&gt;=100,"High Value","Regular")</f>
        <v>Regular</v>
      </c>
    </row>
    <row r="1219" spans="1:19" x14ac:dyDescent="0.3">
      <c r="A1219">
        <v>3174</v>
      </c>
      <c r="B1219" t="s">
        <v>0</v>
      </c>
      <c r="C1219" s="1">
        <v>45338</v>
      </c>
      <c r="D1219" t="s">
        <v>1</v>
      </c>
      <c r="E1219" t="s">
        <v>12</v>
      </c>
      <c r="F1219">
        <v>2</v>
      </c>
      <c r="G1219">
        <v>3.66</v>
      </c>
      <c r="H1219">
        <v>7.32</v>
      </c>
      <c r="I1219" t="str">
        <f t="shared" si="133"/>
        <v>Low</v>
      </c>
      <c r="J1219">
        <v>0.73</v>
      </c>
      <c r="K1219">
        <f t="shared" ref="K1219:K1282" si="138">MAX(0,H1219-J1219)</f>
        <v>6.59</v>
      </c>
      <c r="L1219" t="str">
        <f t="shared" ref="L1219:L1282" si="139">TEXT(C1219,"mmmm")</f>
        <v>February</v>
      </c>
      <c r="M1219">
        <f>YEAR(C1219)</f>
        <v>2024</v>
      </c>
      <c r="N1219">
        <v>33</v>
      </c>
      <c r="O1219" t="str">
        <f>IF(N1219&gt;=200,"Platinum",IF(N1219&gt;=100,"Gold",IF(N1219&gt;=50,"Silver","Regular")))</f>
        <v>Regular</v>
      </c>
      <c r="P1219" s="4" t="str">
        <f t="shared" si="134"/>
        <v>Friday</v>
      </c>
      <c r="Q1219" s="4" t="str">
        <f t="shared" si="135"/>
        <v>Small Order</v>
      </c>
      <c r="R1219" s="4" t="str">
        <f t="shared" si="136"/>
        <v>Weekday</v>
      </c>
      <c r="S1219" s="4" t="str">
        <f t="shared" si="137"/>
        <v>Regular</v>
      </c>
    </row>
    <row r="1220" spans="1:19" x14ac:dyDescent="0.3">
      <c r="A1220">
        <v>1126</v>
      </c>
      <c r="B1220" t="s">
        <v>3</v>
      </c>
      <c r="C1220" s="1">
        <v>45531</v>
      </c>
      <c r="D1220" t="s">
        <v>34</v>
      </c>
      <c r="E1220" t="s">
        <v>28</v>
      </c>
      <c r="F1220">
        <v>1</v>
      </c>
      <c r="G1220">
        <v>10.83</v>
      </c>
      <c r="H1220">
        <v>10.83</v>
      </c>
      <c r="I1220" t="str">
        <f t="shared" si="133"/>
        <v>Low</v>
      </c>
      <c r="J1220">
        <v>1.08</v>
      </c>
      <c r="K1220">
        <f t="shared" si="138"/>
        <v>9.75</v>
      </c>
      <c r="L1220" t="str">
        <f t="shared" si="139"/>
        <v>August</v>
      </c>
      <c r="M1220">
        <f>YEAR(C1220)</f>
        <v>2024</v>
      </c>
      <c r="N1220">
        <v>172</v>
      </c>
      <c r="O1220" t="str">
        <f>IF(N1220&gt;=200,"Platinum",IF(N1220&gt;=100,"Gold",IF(N1220&gt;=50,"Silver","Regular")))</f>
        <v>Gold</v>
      </c>
      <c r="P1220" s="4" t="str">
        <f t="shared" si="134"/>
        <v>Tuesday</v>
      </c>
      <c r="Q1220" s="4" t="str">
        <f t="shared" si="135"/>
        <v>Small Order</v>
      </c>
      <c r="R1220" s="4" t="str">
        <f t="shared" si="136"/>
        <v>Weekday</v>
      </c>
      <c r="S1220" s="4" t="str">
        <f t="shared" si="137"/>
        <v>Regular</v>
      </c>
    </row>
    <row r="1221" spans="1:19" x14ac:dyDescent="0.3">
      <c r="A1221">
        <v>5011</v>
      </c>
      <c r="B1221" t="s">
        <v>13</v>
      </c>
      <c r="C1221" s="1">
        <v>45514</v>
      </c>
      <c r="D1221" t="s">
        <v>17</v>
      </c>
      <c r="E1221" t="s">
        <v>28</v>
      </c>
      <c r="F1221">
        <v>2</v>
      </c>
      <c r="G1221">
        <v>6.97</v>
      </c>
      <c r="H1221">
        <v>13.94</v>
      </c>
      <c r="I1221" t="str">
        <f t="shared" si="133"/>
        <v>Low</v>
      </c>
      <c r="J1221">
        <v>1.39</v>
      </c>
      <c r="K1221">
        <f t="shared" si="138"/>
        <v>12.549999999999999</v>
      </c>
      <c r="L1221" t="str">
        <f t="shared" si="139"/>
        <v>August</v>
      </c>
      <c r="M1221">
        <f>YEAR(C1221)</f>
        <v>2024</v>
      </c>
      <c r="N1221">
        <v>51</v>
      </c>
      <c r="O1221" t="str">
        <f>IF(N1221&gt;=200,"Platinum",IF(N1221&gt;=100,"Gold",IF(N1221&gt;=50,"Silver","Regular")))</f>
        <v>Silver</v>
      </c>
      <c r="P1221" s="4" t="str">
        <f t="shared" si="134"/>
        <v>Saturday</v>
      </c>
      <c r="Q1221" s="4" t="str">
        <f t="shared" si="135"/>
        <v>Small Order</v>
      </c>
      <c r="R1221" s="4" t="str">
        <f t="shared" si="136"/>
        <v>Weekend</v>
      </c>
      <c r="S1221" s="4" t="str">
        <f t="shared" si="137"/>
        <v>Regular</v>
      </c>
    </row>
    <row r="1222" spans="1:19" x14ac:dyDescent="0.3">
      <c r="A1222">
        <v>2196</v>
      </c>
      <c r="B1222" t="s">
        <v>13</v>
      </c>
      <c r="C1222" s="1">
        <v>45180</v>
      </c>
      <c r="D1222" t="s">
        <v>24</v>
      </c>
      <c r="E1222" t="s">
        <v>2</v>
      </c>
      <c r="F1222">
        <v>2</v>
      </c>
      <c r="G1222">
        <v>3.41</v>
      </c>
      <c r="H1222">
        <v>6.82</v>
      </c>
      <c r="I1222" t="str">
        <f t="shared" si="133"/>
        <v>Low</v>
      </c>
      <c r="J1222">
        <v>0.68</v>
      </c>
      <c r="K1222">
        <f t="shared" si="138"/>
        <v>6.1400000000000006</v>
      </c>
      <c r="L1222" t="str">
        <f t="shared" si="139"/>
        <v>September</v>
      </c>
      <c r="M1222">
        <f>YEAR(C1222)</f>
        <v>2023</v>
      </c>
      <c r="N1222">
        <v>35</v>
      </c>
      <c r="O1222" t="str">
        <f>IF(N1222&gt;=200,"Platinum",IF(N1222&gt;=100,"Gold",IF(N1222&gt;=50,"Silver","Regular")))</f>
        <v>Regular</v>
      </c>
      <c r="P1222" s="4" t="str">
        <f t="shared" si="134"/>
        <v>Monday</v>
      </c>
      <c r="Q1222" s="4" t="str">
        <f t="shared" si="135"/>
        <v>Small Order</v>
      </c>
      <c r="R1222" s="4" t="str">
        <f t="shared" si="136"/>
        <v>Weekday</v>
      </c>
      <c r="S1222" s="4" t="str">
        <f t="shared" si="137"/>
        <v>Regular</v>
      </c>
    </row>
    <row r="1223" spans="1:19" x14ac:dyDescent="0.3">
      <c r="A1223">
        <v>2821</v>
      </c>
      <c r="B1223" t="s">
        <v>3</v>
      </c>
      <c r="C1223" s="1">
        <v>45747</v>
      </c>
      <c r="D1223" t="s">
        <v>9</v>
      </c>
      <c r="E1223" t="s">
        <v>30</v>
      </c>
      <c r="F1223">
        <v>3</v>
      </c>
      <c r="G1223">
        <v>4.38</v>
      </c>
      <c r="H1223">
        <v>13.14</v>
      </c>
      <c r="I1223" t="str">
        <f t="shared" si="133"/>
        <v>Low</v>
      </c>
      <c r="J1223">
        <v>1.31</v>
      </c>
      <c r="K1223">
        <f t="shared" si="138"/>
        <v>11.83</v>
      </c>
      <c r="L1223" t="str">
        <f t="shared" si="139"/>
        <v>March</v>
      </c>
      <c r="M1223">
        <f>YEAR(C1223)</f>
        <v>2025</v>
      </c>
      <c r="N1223">
        <v>22</v>
      </c>
      <c r="O1223" t="str">
        <f>IF(N1223&gt;=200,"Platinum",IF(N1223&gt;=100,"Gold",IF(N1223&gt;=50,"Silver","Regular")))</f>
        <v>Regular</v>
      </c>
      <c r="P1223" s="4" t="str">
        <f t="shared" si="134"/>
        <v>Monday</v>
      </c>
      <c r="Q1223" s="4" t="str">
        <f t="shared" si="135"/>
        <v>Medium Order</v>
      </c>
      <c r="R1223" s="4" t="str">
        <f t="shared" si="136"/>
        <v>Weekday</v>
      </c>
      <c r="S1223" s="4" t="str">
        <f t="shared" si="137"/>
        <v>Regular</v>
      </c>
    </row>
    <row r="1224" spans="1:19" x14ac:dyDescent="0.3">
      <c r="A1224">
        <v>6231</v>
      </c>
      <c r="B1224" t="s">
        <v>3</v>
      </c>
      <c r="C1224" s="1">
        <v>45715</v>
      </c>
      <c r="D1224" t="s">
        <v>1</v>
      </c>
      <c r="E1224" t="s">
        <v>22</v>
      </c>
      <c r="F1224">
        <v>1</v>
      </c>
      <c r="G1224">
        <v>3.11</v>
      </c>
      <c r="H1224">
        <v>3.11</v>
      </c>
      <c r="I1224" t="str">
        <f t="shared" si="133"/>
        <v>Low</v>
      </c>
      <c r="J1224">
        <v>0.31</v>
      </c>
      <c r="K1224">
        <f t="shared" si="138"/>
        <v>2.8</v>
      </c>
      <c r="L1224" t="str">
        <f t="shared" si="139"/>
        <v>February</v>
      </c>
      <c r="M1224">
        <f>YEAR(C1224)</f>
        <v>2025</v>
      </c>
      <c r="N1224">
        <v>355</v>
      </c>
      <c r="O1224" t="str">
        <f>IF(N1224&gt;=200,"Platinum",IF(N1224&gt;=100,"Gold",IF(N1224&gt;=50,"Silver","Regular")))</f>
        <v>Platinum</v>
      </c>
      <c r="P1224" s="4" t="str">
        <f t="shared" si="134"/>
        <v>Thursday</v>
      </c>
      <c r="Q1224" s="4" t="str">
        <f t="shared" si="135"/>
        <v>Small Order</v>
      </c>
      <c r="R1224" s="4" t="str">
        <f t="shared" si="136"/>
        <v>Weekday</v>
      </c>
      <c r="S1224" s="4" t="str">
        <f t="shared" si="137"/>
        <v>Regular</v>
      </c>
    </row>
    <row r="1225" spans="1:19" x14ac:dyDescent="0.3">
      <c r="A1225">
        <v>2465</v>
      </c>
      <c r="B1225" t="s">
        <v>0</v>
      </c>
      <c r="C1225" s="1">
        <v>45651</v>
      </c>
      <c r="D1225" t="s">
        <v>23</v>
      </c>
      <c r="E1225" t="s">
        <v>21</v>
      </c>
      <c r="F1225">
        <v>1</v>
      </c>
      <c r="G1225">
        <v>8.93</v>
      </c>
      <c r="H1225">
        <v>8.93</v>
      </c>
      <c r="I1225" t="str">
        <f t="shared" si="133"/>
        <v>Low</v>
      </c>
      <c r="J1225">
        <v>0.89</v>
      </c>
      <c r="K1225">
        <f t="shared" si="138"/>
        <v>8.0399999999999991</v>
      </c>
      <c r="L1225" t="str">
        <f t="shared" si="139"/>
        <v>December</v>
      </c>
      <c r="M1225">
        <f>YEAR(C1225)</f>
        <v>2024</v>
      </c>
      <c r="N1225">
        <v>98</v>
      </c>
      <c r="O1225" t="str">
        <f>IF(N1225&gt;=200,"Platinum",IF(N1225&gt;=100,"Gold",IF(N1225&gt;=50,"Silver","Regular")))</f>
        <v>Silver</v>
      </c>
      <c r="P1225" s="4" t="str">
        <f t="shared" si="134"/>
        <v>Wednesday</v>
      </c>
      <c r="Q1225" s="4" t="str">
        <f t="shared" si="135"/>
        <v>Small Order</v>
      </c>
      <c r="R1225" s="4" t="str">
        <f t="shared" si="136"/>
        <v>Weekday</v>
      </c>
      <c r="S1225" s="4" t="str">
        <f t="shared" si="137"/>
        <v>Regular</v>
      </c>
    </row>
    <row r="1226" spans="1:19" x14ac:dyDescent="0.3">
      <c r="A1226">
        <v>8886</v>
      </c>
      <c r="B1226" t="s">
        <v>0</v>
      </c>
      <c r="C1226" s="1">
        <v>45311</v>
      </c>
      <c r="D1226" t="s">
        <v>34</v>
      </c>
      <c r="E1226" t="s">
        <v>5</v>
      </c>
      <c r="F1226">
        <v>3</v>
      </c>
      <c r="G1226">
        <v>1.94</v>
      </c>
      <c r="H1226">
        <v>5.82</v>
      </c>
      <c r="I1226" t="str">
        <f t="shared" si="133"/>
        <v>Low</v>
      </c>
      <c r="J1226">
        <v>0.57999999999999996</v>
      </c>
      <c r="K1226">
        <f t="shared" si="138"/>
        <v>5.24</v>
      </c>
      <c r="L1226" t="str">
        <f t="shared" si="139"/>
        <v>January</v>
      </c>
      <c r="M1226">
        <f>YEAR(C1226)</f>
        <v>2024</v>
      </c>
      <c r="N1226">
        <v>189</v>
      </c>
      <c r="O1226" t="str">
        <f>IF(N1226&gt;=200,"Platinum",IF(N1226&gt;=100,"Gold",IF(N1226&gt;=50,"Silver","Regular")))</f>
        <v>Gold</v>
      </c>
      <c r="P1226" s="4" t="str">
        <f t="shared" si="134"/>
        <v>Saturday</v>
      </c>
      <c r="Q1226" s="4" t="str">
        <f t="shared" si="135"/>
        <v>Medium Order</v>
      </c>
      <c r="R1226" s="4" t="str">
        <f t="shared" si="136"/>
        <v>Weekend</v>
      </c>
      <c r="S1226" s="4" t="str">
        <f t="shared" si="137"/>
        <v>Regular</v>
      </c>
    </row>
    <row r="1227" spans="1:19" x14ac:dyDescent="0.3">
      <c r="A1227">
        <v>2298</v>
      </c>
      <c r="B1227" t="s">
        <v>19</v>
      </c>
      <c r="C1227" s="1">
        <v>45159</v>
      </c>
      <c r="D1227" t="s">
        <v>4</v>
      </c>
      <c r="E1227" t="s">
        <v>37</v>
      </c>
      <c r="F1227">
        <v>5</v>
      </c>
      <c r="G1227">
        <v>2.69</v>
      </c>
      <c r="H1227">
        <v>13.45</v>
      </c>
      <c r="I1227" t="str">
        <f t="shared" si="133"/>
        <v>Low</v>
      </c>
      <c r="J1227">
        <v>1.34</v>
      </c>
      <c r="K1227">
        <f t="shared" si="138"/>
        <v>12.11</v>
      </c>
      <c r="L1227" t="str">
        <f t="shared" si="139"/>
        <v>August</v>
      </c>
      <c r="M1227">
        <f>YEAR(C1227)</f>
        <v>2023</v>
      </c>
      <c r="N1227">
        <v>170</v>
      </c>
      <c r="O1227" t="str">
        <f>IF(N1227&gt;=200,"Platinum",IF(N1227&gt;=100,"Gold",IF(N1227&gt;=50,"Silver","Regular")))</f>
        <v>Gold</v>
      </c>
      <c r="P1227" s="4" t="str">
        <f t="shared" si="134"/>
        <v>Monday</v>
      </c>
      <c r="Q1227" s="4" t="str">
        <f t="shared" si="135"/>
        <v>Medium Order</v>
      </c>
      <c r="R1227" s="4" t="str">
        <f t="shared" si="136"/>
        <v>Weekday</v>
      </c>
      <c r="S1227" s="4" t="str">
        <f t="shared" si="137"/>
        <v>Regular</v>
      </c>
    </row>
    <row r="1228" spans="1:19" x14ac:dyDescent="0.3">
      <c r="A1228">
        <v>1861</v>
      </c>
      <c r="B1228" t="s">
        <v>19</v>
      </c>
      <c r="C1228" s="1">
        <v>45265</v>
      </c>
      <c r="D1228" t="s">
        <v>23</v>
      </c>
      <c r="E1228" t="s">
        <v>35</v>
      </c>
      <c r="F1228">
        <v>4</v>
      </c>
      <c r="G1228">
        <v>1.33</v>
      </c>
      <c r="H1228">
        <v>5.32</v>
      </c>
      <c r="I1228" t="str">
        <f t="shared" si="133"/>
        <v>Low</v>
      </c>
      <c r="J1228">
        <v>0.53</v>
      </c>
      <c r="K1228">
        <f t="shared" si="138"/>
        <v>4.79</v>
      </c>
      <c r="L1228" t="str">
        <f t="shared" si="139"/>
        <v>December</v>
      </c>
      <c r="M1228">
        <f>YEAR(C1228)</f>
        <v>2023</v>
      </c>
      <c r="N1228">
        <v>474</v>
      </c>
      <c r="O1228" t="str">
        <f>IF(N1228&gt;=200,"Platinum",IF(N1228&gt;=100,"Gold",IF(N1228&gt;=50,"Silver","Regular")))</f>
        <v>Platinum</v>
      </c>
      <c r="P1228" s="4" t="str">
        <f t="shared" si="134"/>
        <v>Tuesday</v>
      </c>
      <c r="Q1228" s="4" t="str">
        <f t="shared" si="135"/>
        <v>Medium Order</v>
      </c>
      <c r="R1228" s="4" t="str">
        <f t="shared" si="136"/>
        <v>Weekday</v>
      </c>
      <c r="S1228" s="4" t="str">
        <f t="shared" si="137"/>
        <v>Regular</v>
      </c>
    </row>
    <row r="1229" spans="1:19" x14ac:dyDescent="0.3">
      <c r="A1229">
        <v>1104</v>
      </c>
      <c r="B1229" t="s">
        <v>31</v>
      </c>
      <c r="C1229" s="1">
        <v>45869</v>
      </c>
      <c r="D1229" t="s">
        <v>1</v>
      </c>
      <c r="E1229" t="s">
        <v>7</v>
      </c>
      <c r="F1229">
        <v>1</v>
      </c>
      <c r="G1229">
        <v>2.5099999999999998</v>
      </c>
      <c r="H1229">
        <v>2.5099999999999998</v>
      </c>
      <c r="I1229" t="str">
        <f t="shared" si="133"/>
        <v>Low</v>
      </c>
      <c r="J1229">
        <v>0.25</v>
      </c>
      <c r="K1229">
        <f t="shared" si="138"/>
        <v>2.2599999999999998</v>
      </c>
      <c r="L1229" t="str">
        <f t="shared" si="139"/>
        <v>July</v>
      </c>
      <c r="M1229">
        <f>YEAR(C1229)</f>
        <v>2025</v>
      </c>
      <c r="N1229">
        <v>431</v>
      </c>
      <c r="O1229" t="str">
        <f>IF(N1229&gt;=200,"Platinum",IF(N1229&gt;=100,"Gold",IF(N1229&gt;=50,"Silver","Regular")))</f>
        <v>Platinum</v>
      </c>
      <c r="P1229" s="4" t="str">
        <f t="shared" si="134"/>
        <v>Thursday</v>
      </c>
      <c r="Q1229" s="4" t="str">
        <f t="shared" si="135"/>
        <v>Small Order</v>
      </c>
      <c r="R1229" s="4" t="str">
        <f t="shared" si="136"/>
        <v>Weekday</v>
      </c>
      <c r="S1229" s="4" t="str">
        <f t="shared" si="137"/>
        <v>Regular</v>
      </c>
    </row>
    <row r="1230" spans="1:19" x14ac:dyDescent="0.3">
      <c r="A1230">
        <v>6314</v>
      </c>
      <c r="B1230" t="s">
        <v>25</v>
      </c>
      <c r="C1230" s="1">
        <v>45748</v>
      </c>
      <c r="D1230" t="s">
        <v>1</v>
      </c>
      <c r="E1230" t="s">
        <v>2</v>
      </c>
      <c r="F1230">
        <v>1</v>
      </c>
      <c r="G1230">
        <v>2.5099999999999998</v>
      </c>
      <c r="H1230">
        <v>2.5099999999999998</v>
      </c>
      <c r="I1230" t="str">
        <f t="shared" si="133"/>
        <v>Low</v>
      </c>
      <c r="J1230">
        <v>0.25</v>
      </c>
      <c r="K1230">
        <f t="shared" si="138"/>
        <v>2.2599999999999998</v>
      </c>
      <c r="L1230" t="str">
        <f t="shared" si="139"/>
        <v>April</v>
      </c>
      <c r="M1230">
        <f>YEAR(C1230)</f>
        <v>2025</v>
      </c>
      <c r="N1230">
        <v>237</v>
      </c>
      <c r="O1230" t="str">
        <f>IF(N1230&gt;=200,"Platinum",IF(N1230&gt;=100,"Gold",IF(N1230&gt;=50,"Silver","Regular")))</f>
        <v>Platinum</v>
      </c>
      <c r="P1230" s="4" t="str">
        <f t="shared" si="134"/>
        <v>Tuesday</v>
      </c>
      <c r="Q1230" s="4" t="str">
        <f t="shared" si="135"/>
        <v>Small Order</v>
      </c>
      <c r="R1230" s="4" t="str">
        <f t="shared" si="136"/>
        <v>Weekday</v>
      </c>
      <c r="S1230" s="4" t="str">
        <f t="shared" si="137"/>
        <v>Regular</v>
      </c>
    </row>
    <row r="1231" spans="1:19" x14ac:dyDescent="0.3">
      <c r="A1231">
        <v>7290</v>
      </c>
      <c r="B1231" t="s">
        <v>15</v>
      </c>
      <c r="C1231" s="1">
        <v>45581</v>
      </c>
      <c r="D1231" t="s">
        <v>4</v>
      </c>
      <c r="E1231" t="s">
        <v>18</v>
      </c>
      <c r="F1231">
        <v>4</v>
      </c>
      <c r="G1231">
        <v>1.18</v>
      </c>
      <c r="H1231">
        <v>4.72</v>
      </c>
      <c r="I1231" t="str">
        <f t="shared" si="133"/>
        <v>Low</v>
      </c>
      <c r="J1231">
        <v>0.47</v>
      </c>
      <c r="K1231">
        <f t="shared" si="138"/>
        <v>4.25</v>
      </c>
      <c r="L1231" t="str">
        <f t="shared" si="139"/>
        <v>October</v>
      </c>
      <c r="M1231">
        <f>YEAR(C1231)</f>
        <v>2024</v>
      </c>
      <c r="N1231">
        <v>457</v>
      </c>
      <c r="O1231" t="str">
        <f>IF(N1231&gt;=200,"Platinum",IF(N1231&gt;=100,"Gold",IF(N1231&gt;=50,"Silver","Regular")))</f>
        <v>Platinum</v>
      </c>
      <c r="P1231" s="4" t="str">
        <f t="shared" si="134"/>
        <v>Wednesday</v>
      </c>
      <c r="Q1231" s="4" t="str">
        <f t="shared" si="135"/>
        <v>Medium Order</v>
      </c>
      <c r="R1231" s="4" t="str">
        <f t="shared" si="136"/>
        <v>Weekday</v>
      </c>
      <c r="S1231" s="4" t="str">
        <f t="shared" si="137"/>
        <v>Regular</v>
      </c>
    </row>
    <row r="1232" spans="1:19" x14ac:dyDescent="0.3">
      <c r="A1232">
        <v>3546</v>
      </c>
      <c r="B1232" t="s">
        <v>8</v>
      </c>
      <c r="C1232" s="1">
        <v>45356</v>
      </c>
      <c r="D1232" t="s">
        <v>17</v>
      </c>
      <c r="E1232" t="s">
        <v>18</v>
      </c>
      <c r="F1232">
        <v>4</v>
      </c>
      <c r="G1232">
        <v>2.2599999999999998</v>
      </c>
      <c r="H1232">
        <v>9.0399999999999991</v>
      </c>
      <c r="I1232" t="str">
        <f t="shared" si="133"/>
        <v>Low</v>
      </c>
      <c r="J1232">
        <v>0.9</v>
      </c>
      <c r="K1232">
        <f t="shared" si="138"/>
        <v>8.1399999999999988</v>
      </c>
      <c r="L1232" t="str">
        <f t="shared" si="139"/>
        <v>March</v>
      </c>
      <c r="M1232">
        <f>YEAR(C1232)</f>
        <v>2024</v>
      </c>
      <c r="N1232">
        <v>186</v>
      </c>
      <c r="O1232" t="str">
        <f>IF(N1232&gt;=200,"Platinum",IF(N1232&gt;=100,"Gold",IF(N1232&gt;=50,"Silver","Regular")))</f>
        <v>Gold</v>
      </c>
      <c r="P1232" s="4" t="str">
        <f t="shared" si="134"/>
        <v>Tuesday</v>
      </c>
      <c r="Q1232" s="4" t="str">
        <f t="shared" si="135"/>
        <v>Medium Order</v>
      </c>
      <c r="R1232" s="4" t="str">
        <f t="shared" si="136"/>
        <v>Weekday</v>
      </c>
      <c r="S1232" s="4" t="str">
        <f t="shared" si="137"/>
        <v>Regular</v>
      </c>
    </row>
    <row r="1233" spans="1:19" x14ac:dyDescent="0.3">
      <c r="A1233">
        <v>4111</v>
      </c>
      <c r="B1233" t="s">
        <v>15</v>
      </c>
      <c r="C1233" s="1">
        <v>45375</v>
      </c>
      <c r="D1233" t="s">
        <v>27</v>
      </c>
      <c r="E1233" t="s">
        <v>14</v>
      </c>
      <c r="F1233">
        <v>5</v>
      </c>
      <c r="G1233">
        <v>2.25</v>
      </c>
      <c r="H1233">
        <v>11.25</v>
      </c>
      <c r="I1233" t="str">
        <f t="shared" si="133"/>
        <v>Low</v>
      </c>
      <c r="J1233">
        <v>1.1200000000000001</v>
      </c>
      <c r="K1233">
        <f t="shared" si="138"/>
        <v>10.129999999999999</v>
      </c>
      <c r="L1233" t="str">
        <f t="shared" si="139"/>
        <v>March</v>
      </c>
      <c r="M1233">
        <f>YEAR(C1233)</f>
        <v>2024</v>
      </c>
      <c r="N1233">
        <v>401</v>
      </c>
      <c r="O1233" t="str">
        <f>IF(N1233&gt;=200,"Platinum",IF(N1233&gt;=100,"Gold",IF(N1233&gt;=50,"Silver","Regular")))</f>
        <v>Platinum</v>
      </c>
      <c r="P1233" s="4" t="str">
        <f t="shared" si="134"/>
        <v>Sunday</v>
      </c>
      <c r="Q1233" s="4" t="str">
        <f t="shared" si="135"/>
        <v>Medium Order</v>
      </c>
      <c r="R1233" s="4" t="str">
        <f t="shared" si="136"/>
        <v>Weekend</v>
      </c>
      <c r="S1233" s="4" t="str">
        <f t="shared" si="137"/>
        <v>Regular</v>
      </c>
    </row>
    <row r="1234" spans="1:19" x14ac:dyDescent="0.3">
      <c r="A1234">
        <v>4505</v>
      </c>
      <c r="B1234" t="s">
        <v>13</v>
      </c>
      <c r="C1234" s="1">
        <v>45194</v>
      </c>
      <c r="D1234" t="s">
        <v>4</v>
      </c>
      <c r="E1234" t="s">
        <v>28</v>
      </c>
      <c r="F1234">
        <v>1</v>
      </c>
      <c r="G1234">
        <v>11.25</v>
      </c>
      <c r="H1234">
        <v>11.25</v>
      </c>
      <c r="I1234" t="str">
        <f t="shared" si="133"/>
        <v>Low</v>
      </c>
      <c r="J1234">
        <v>1.1200000000000001</v>
      </c>
      <c r="K1234">
        <f t="shared" si="138"/>
        <v>10.129999999999999</v>
      </c>
      <c r="L1234" t="str">
        <f t="shared" si="139"/>
        <v>September</v>
      </c>
      <c r="M1234">
        <f>YEAR(C1234)</f>
        <v>2023</v>
      </c>
      <c r="N1234">
        <v>47</v>
      </c>
      <c r="O1234" t="str">
        <f>IF(N1234&gt;=200,"Platinum",IF(N1234&gt;=100,"Gold",IF(N1234&gt;=50,"Silver","Regular")))</f>
        <v>Regular</v>
      </c>
      <c r="P1234" s="4" t="str">
        <f t="shared" si="134"/>
        <v>Monday</v>
      </c>
      <c r="Q1234" s="4" t="str">
        <f t="shared" si="135"/>
        <v>Small Order</v>
      </c>
      <c r="R1234" s="4" t="str">
        <f t="shared" si="136"/>
        <v>Weekday</v>
      </c>
      <c r="S1234" s="4" t="str">
        <f t="shared" si="137"/>
        <v>Regular</v>
      </c>
    </row>
    <row r="1235" spans="1:19" x14ac:dyDescent="0.3">
      <c r="A1235">
        <v>1436</v>
      </c>
      <c r="B1235" t="s">
        <v>25</v>
      </c>
      <c r="C1235" s="1">
        <v>45467</v>
      </c>
      <c r="D1235" t="s">
        <v>16</v>
      </c>
      <c r="E1235" t="s">
        <v>5</v>
      </c>
      <c r="F1235">
        <v>1</v>
      </c>
      <c r="G1235">
        <v>8.94</v>
      </c>
      <c r="H1235">
        <v>8.94</v>
      </c>
      <c r="I1235" t="str">
        <f t="shared" si="133"/>
        <v>Low</v>
      </c>
      <c r="J1235">
        <v>0.89</v>
      </c>
      <c r="K1235">
        <f t="shared" si="138"/>
        <v>8.0499999999999989</v>
      </c>
      <c r="L1235" t="str">
        <f t="shared" si="139"/>
        <v>June</v>
      </c>
      <c r="M1235">
        <f>YEAR(C1235)</f>
        <v>2024</v>
      </c>
      <c r="N1235">
        <v>41</v>
      </c>
      <c r="O1235" t="str">
        <f>IF(N1235&gt;=200,"Platinum",IF(N1235&gt;=100,"Gold",IF(N1235&gt;=50,"Silver","Regular")))</f>
        <v>Regular</v>
      </c>
      <c r="P1235" s="4" t="str">
        <f t="shared" si="134"/>
        <v>Monday</v>
      </c>
      <c r="Q1235" s="4" t="str">
        <f t="shared" si="135"/>
        <v>Small Order</v>
      </c>
      <c r="R1235" s="4" t="str">
        <f t="shared" si="136"/>
        <v>Weekday</v>
      </c>
      <c r="S1235" s="4" t="str">
        <f t="shared" si="137"/>
        <v>Regular</v>
      </c>
    </row>
    <row r="1236" spans="1:19" x14ac:dyDescent="0.3">
      <c r="A1236">
        <v>7743</v>
      </c>
      <c r="B1236" t="s">
        <v>8</v>
      </c>
      <c r="C1236" s="1">
        <v>45858</v>
      </c>
      <c r="D1236" t="s">
        <v>11</v>
      </c>
      <c r="E1236" t="s">
        <v>37</v>
      </c>
      <c r="F1236">
        <v>2</v>
      </c>
      <c r="G1236">
        <v>1.86</v>
      </c>
      <c r="H1236">
        <v>3.72</v>
      </c>
      <c r="I1236" t="str">
        <f t="shared" si="133"/>
        <v>Low</v>
      </c>
      <c r="J1236">
        <v>0.37</v>
      </c>
      <c r="K1236">
        <f t="shared" si="138"/>
        <v>3.35</v>
      </c>
      <c r="L1236" t="str">
        <f t="shared" si="139"/>
        <v>July</v>
      </c>
      <c r="M1236">
        <f>YEAR(C1236)</f>
        <v>2025</v>
      </c>
      <c r="N1236">
        <v>104</v>
      </c>
      <c r="O1236" t="str">
        <f>IF(N1236&gt;=200,"Platinum",IF(N1236&gt;=100,"Gold",IF(N1236&gt;=50,"Silver","Regular")))</f>
        <v>Gold</v>
      </c>
      <c r="P1236" s="4" t="str">
        <f t="shared" si="134"/>
        <v>Sunday</v>
      </c>
      <c r="Q1236" s="4" t="str">
        <f t="shared" si="135"/>
        <v>Small Order</v>
      </c>
      <c r="R1236" s="4" t="str">
        <f t="shared" si="136"/>
        <v>Weekend</v>
      </c>
      <c r="S1236" s="4" t="str">
        <f t="shared" si="137"/>
        <v>Regular</v>
      </c>
    </row>
    <row r="1237" spans="1:19" x14ac:dyDescent="0.3">
      <c r="A1237">
        <v>7270</v>
      </c>
      <c r="B1237" t="s">
        <v>15</v>
      </c>
      <c r="C1237" s="1">
        <v>45745</v>
      </c>
      <c r="D1237" t="s">
        <v>4</v>
      </c>
      <c r="E1237" t="s">
        <v>10</v>
      </c>
      <c r="F1237">
        <v>1</v>
      </c>
      <c r="G1237">
        <v>3.72</v>
      </c>
      <c r="H1237">
        <v>3.72</v>
      </c>
      <c r="I1237" t="str">
        <f t="shared" si="133"/>
        <v>Low</v>
      </c>
      <c r="J1237">
        <v>0.37</v>
      </c>
      <c r="K1237">
        <f t="shared" si="138"/>
        <v>3.35</v>
      </c>
      <c r="L1237" t="str">
        <f t="shared" si="139"/>
        <v>March</v>
      </c>
      <c r="M1237">
        <f>YEAR(C1237)</f>
        <v>2025</v>
      </c>
      <c r="N1237">
        <v>206</v>
      </c>
      <c r="O1237" t="str">
        <f>IF(N1237&gt;=200,"Platinum",IF(N1237&gt;=100,"Gold",IF(N1237&gt;=50,"Silver","Regular")))</f>
        <v>Platinum</v>
      </c>
      <c r="P1237" s="4" t="str">
        <f t="shared" si="134"/>
        <v>Saturday</v>
      </c>
      <c r="Q1237" s="4" t="str">
        <f t="shared" si="135"/>
        <v>Small Order</v>
      </c>
      <c r="R1237" s="4" t="str">
        <f t="shared" si="136"/>
        <v>Weekend</v>
      </c>
      <c r="S1237" s="4" t="str">
        <f t="shared" si="137"/>
        <v>Regular</v>
      </c>
    </row>
    <row r="1238" spans="1:19" x14ac:dyDescent="0.3">
      <c r="A1238">
        <v>4598</v>
      </c>
      <c r="B1238" t="s">
        <v>31</v>
      </c>
      <c r="C1238" s="1">
        <v>45676</v>
      </c>
      <c r="D1238" t="s">
        <v>23</v>
      </c>
      <c r="E1238" t="s">
        <v>18</v>
      </c>
      <c r="F1238">
        <v>4</v>
      </c>
      <c r="G1238">
        <v>1.71</v>
      </c>
      <c r="H1238">
        <v>6.84</v>
      </c>
      <c r="I1238" t="str">
        <f t="shared" si="133"/>
        <v>Low</v>
      </c>
      <c r="J1238">
        <v>0.68</v>
      </c>
      <c r="K1238">
        <f t="shared" si="138"/>
        <v>6.16</v>
      </c>
      <c r="L1238" t="str">
        <f t="shared" si="139"/>
        <v>January</v>
      </c>
      <c r="M1238">
        <f>YEAR(C1238)</f>
        <v>2025</v>
      </c>
      <c r="N1238">
        <v>377</v>
      </c>
      <c r="O1238" t="str">
        <f>IF(N1238&gt;=200,"Platinum",IF(N1238&gt;=100,"Gold",IF(N1238&gt;=50,"Silver","Regular")))</f>
        <v>Platinum</v>
      </c>
      <c r="P1238" s="4" t="str">
        <f t="shared" si="134"/>
        <v>Sunday</v>
      </c>
      <c r="Q1238" s="4" t="str">
        <f t="shared" si="135"/>
        <v>Medium Order</v>
      </c>
      <c r="R1238" s="4" t="str">
        <f t="shared" si="136"/>
        <v>Weekend</v>
      </c>
      <c r="S1238" s="4" t="str">
        <f t="shared" si="137"/>
        <v>Regular</v>
      </c>
    </row>
    <row r="1239" spans="1:19" x14ac:dyDescent="0.3">
      <c r="A1239">
        <v>4289</v>
      </c>
      <c r="B1239" t="s">
        <v>31</v>
      </c>
      <c r="C1239" s="1">
        <v>45247</v>
      </c>
      <c r="D1239" t="s">
        <v>24</v>
      </c>
      <c r="E1239" t="s">
        <v>21</v>
      </c>
      <c r="F1239">
        <v>1</v>
      </c>
      <c r="G1239">
        <v>4.53</v>
      </c>
      <c r="H1239">
        <v>4.53</v>
      </c>
      <c r="I1239" t="str">
        <f t="shared" si="133"/>
        <v>Low</v>
      </c>
      <c r="J1239">
        <v>0.45</v>
      </c>
      <c r="K1239">
        <f t="shared" si="138"/>
        <v>4.08</v>
      </c>
      <c r="L1239" t="str">
        <f t="shared" si="139"/>
        <v>November</v>
      </c>
      <c r="M1239">
        <f>YEAR(C1239)</f>
        <v>2023</v>
      </c>
      <c r="N1239">
        <v>393</v>
      </c>
      <c r="O1239" t="str">
        <f>IF(N1239&gt;=200,"Platinum",IF(N1239&gt;=100,"Gold",IF(N1239&gt;=50,"Silver","Regular")))</f>
        <v>Platinum</v>
      </c>
      <c r="P1239" s="4" t="str">
        <f t="shared" si="134"/>
        <v>Friday</v>
      </c>
      <c r="Q1239" s="4" t="str">
        <f t="shared" si="135"/>
        <v>Small Order</v>
      </c>
      <c r="R1239" s="4" t="str">
        <f t="shared" si="136"/>
        <v>Weekday</v>
      </c>
      <c r="S1239" s="4" t="str">
        <f t="shared" si="137"/>
        <v>Regular</v>
      </c>
    </row>
    <row r="1240" spans="1:19" x14ac:dyDescent="0.3">
      <c r="A1240">
        <v>6511</v>
      </c>
      <c r="B1240" t="s">
        <v>0</v>
      </c>
      <c r="C1240" s="1">
        <v>45539</v>
      </c>
      <c r="D1240" t="s">
        <v>4</v>
      </c>
      <c r="E1240" t="s">
        <v>5</v>
      </c>
      <c r="F1240">
        <v>1</v>
      </c>
      <c r="G1240">
        <v>5.64</v>
      </c>
      <c r="H1240">
        <v>5.64</v>
      </c>
      <c r="I1240" t="str">
        <f t="shared" si="133"/>
        <v>Low</v>
      </c>
      <c r="J1240">
        <v>0.56000000000000005</v>
      </c>
      <c r="K1240">
        <f t="shared" si="138"/>
        <v>5.08</v>
      </c>
      <c r="L1240" t="str">
        <f t="shared" si="139"/>
        <v>September</v>
      </c>
      <c r="M1240">
        <f>YEAR(C1240)</f>
        <v>2024</v>
      </c>
      <c r="N1240">
        <v>475</v>
      </c>
      <c r="O1240" t="str">
        <f>IF(N1240&gt;=200,"Platinum",IF(N1240&gt;=100,"Gold",IF(N1240&gt;=50,"Silver","Regular")))</f>
        <v>Platinum</v>
      </c>
      <c r="P1240" s="4" t="str">
        <f t="shared" si="134"/>
        <v>Wednesday</v>
      </c>
      <c r="Q1240" s="4" t="str">
        <f t="shared" si="135"/>
        <v>Small Order</v>
      </c>
      <c r="R1240" s="4" t="str">
        <f t="shared" si="136"/>
        <v>Weekday</v>
      </c>
      <c r="S1240" s="4" t="str">
        <f t="shared" si="137"/>
        <v>Regular</v>
      </c>
    </row>
    <row r="1241" spans="1:19" x14ac:dyDescent="0.3">
      <c r="A1241">
        <v>9011</v>
      </c>
      <c r="B1241" t="s">
        <v>8</v>
      </c>
      <c r="C1241" s="1">
        <v>45391</v>
      </c>
      <c r="D1241" t="s">
        <v>6</v>
      </c>
      <c r="E1241" t="s">
        <v>2</v>
      </c>
      <c r="F1241">
        <v>1</v>
      </c>
      <c r="G1241">
        <v>3.83</v>
      </c>
      <c r="H1241">
        <v>3.83</v>
      </c>
      <c r="I1241" t="str">
        <f t="shared" si="133"/>
        <v>Low</v>
      </c>
      <c r="J1241">
        <v>0.38</v>
      </c>
      <c r="K1241">
        <f t="shared" si="138"/>
        <v>3.45</v>
      </c>
      <c r="L1241" t="str">
        <f t="shared" si="139"/>
        <v>April</v>
      </c>
      <c r="M1241">
        <f>YEAR(C1241)</f>
        <v>2024</v>
      </c>
      <c r="N1241">
        <v>496</v>
      </c>
      <c r="O1241" t="str">
        <f>IF(N1241&gt;=200,"Platinum",IF(N1241&gt;=100,"Gold",IF(N1241&gt;=50,"Silver","Regular")))</f>
        <v>Platinum</v>
      </c>
      <c r="P1241" s="4" t="str">
        <f t="shared" si="134"/>
        <v>Tuesday</v>
      </c>
      <c r="Q1241" s="4" t="str">
        <f t="shared" si="135"/>
        <v>Small Order</v>
      </c>
      <c r="R1241" s="4" t="str">
        <f t="shared" si="136"/>
        <v>Weekday</v>
      </c>
      <c r="S1241" s="4" t="str">
        <f t="shared" si="137"/>
        <v>Regular</v>
      </c>
    </row>
    <row r="1242" spans="1:19" x14ac:dyDescent="0.3">
      <c r="A1242">
        <v>8668</v>
      </c>
      <c r="B1242" t="s">
        <v>20</v>
      </c>
      <c r="C1242" s="1">
        <v>45555</v>
      </c>
      <c r="D1242" t="s">
        <v>17</v>
      </c>
      <c r="E1242" t="s">
        <v>21</v>
      </c>
      <c r="F1242">
        <v>4</v>
      </c>
      <c r="G1242">
        <v>1.1599999999999999</v>
      </c>
      <c r="H1242">
        <v>4.6399999999999997</v>
      </c>
      <c r="I1242" t="str">
        <f t="shared" si="133"/>
        <v>Low</v>
      </c>
      <c r="J1242">
        <v>0.46</v>
      </c>
      <c r="K1242">
        <f t="shared" si="138"/>
        <v>4.18</v>
      </c>
      <c r="L1242" t="str">
        <f t="shared" si="139"/>
        <v>September</v>
      </c>
      <c r="M1242">
        <f>YEAR(C1242)</f>
        <v>2024</v>
      </c>
      <c r="N1242">
        <v>180</v>
      </c>
      <c r="O1242" t="str">
        <f>IF(N1242&gt;=200,"Platinum",IF(N1242&gt;=100,"Gold",IF(N1242&gt;=50,"Silver","Regular")))</f>
        <v>Gold</v>
      </c>
      <c r="P1242" s="4" t="str">
        <f t="shared" si="134"/>
        <v>Friday</v>
      </c>
      <c r="Q1242" s="4" t="str">
        <f t="shared" si="135"/>
        <v>Medium Order</v>
      </c>
      <c r="R1242" s="4" t="str">
        <f t="shared" si="136"/>
        <v>Weekday</v>
      </c>
      <c r="S1242" s="4" t="str">
        <f t="shared" si="137"/>
        <v>Regular</v>
      </c>
    </row>
    <row r="1243" spans="1:19" x14ac:dyDescent="0.3">
      <c r="A1243">
        <v>4788</v>
      </c>
      <c r="B1243" t="s">
        <v>13</v>
      </c>
      <c r="C1243" s="1">
        <v>45442</v>
      </c>
      <c r="D1243" t="s">
        <v>11</v>
      </c>
      <c r="E1243" t="s">
        <v>12</v>
      </c>
      <c r="F1243">
        <v>1</v>
      </c>
      <c r="G1243">
        <v>3.64</v>
      </c>
      <c r="H1243">
        <v>3.64</v>
      </c>
      <c r="I1243" t="str">
        <f t="shared" si="133"/>
        <v>Low</v>
      </c>
      <c r="J1243">
        <v>0.36</v>
      </c>
      <c r="K1243">
        <f t="shared" si="138"/>
        <v>3.2800000000000002</v>
      </c>
      <c r="L1243" t="str">
        <f t="shared" si="139"/>
        <v>May</v>
      </c>
      <c r="M1243">
        <f>YEAR(C1243)</f>
        <v>2024</v>
      </c>
      <c r="N1243">
        <v>482</v>
      </c>
      <c r="O1243" t="str">
        <f>IF(N1243&gt;=200,"Platinum",IF(N1243&gt;=100,"Gold",IF(N1243&gt;=50,"Silver","Regular")))</f>
        <v>Platinum</v>
      </c>
      <c r="P1243" s="4" t="str">
        <f t="shared" si="134"/>
        <v>Thursday</v>
      </c>
      <c r="Q1243" s="4" t="str">
        <f t="shared" si="135"/>
        <v>Small Order</v>
      </c>
      <c r="R1243" s="4" t="str">
        <f t="shared" si="136"/>
        <v>Weekday</v>
      </c>
      <c r="S1243" s="4" t="str">
        <f t="shared" si="137"/>
        <v>Regular</v>
      </c>
    </row>
    <row r="1244" spans="1:19" x14ac:dyDescent="0.3">
      <c r="A1244">
        <v>9626</v>
      </c>
      <c r="B1244" t="s">
        <v>15</v>
      </c>
      <c r="C1244" s="1">
        <v>45174</v>
      </c>
      <c r="D1244" t="s">
        <v>34</v>
      </c>
      <c r="E1244" t="s">
        <v>35</v>
      </c>
      <c r="F1244">
        <v>3</v>
      </c>
      <c r="G1244">
        <v>16.72</v>
      </c>
      <c r="H1244">
        <v>50.16</v>
      </c>
      <c r="I1244" t="str">
        <f t="shared" si="133"/>
        <v>Low</v>
      </c>
      <c r="J1244">
        <v>4.96</v>
      </c>
      <c r="K1244">
        <f t="shared" si="138"/>
        <v>45.199999999999996</v>
      </c>
      <c r="L1244" t="str">
        <f t="shared" si="139"/>
        <v>September</v>
      </c>
      <c r="M1244">
        <f>YEAR(C1244)</f>
        <v>2023</v>
      </c>
      <c r="N1244">
        <v>414</v>
      </c>
      <c r="O1244" t="str">
        <f>IF(N1244&gt;=200,"Platinum",IF(N1244&gt;=100,"Gold",IF(N1244&gt;=50,"Silver","Regular")))</f>
        <v>Platinum</v>
      </c>
      <c r="P1244" s="4" t="str">
        <f t="shared" si="134"/>
        <v>Tuesday</v>
      </c>
      <c r="Q1244" s="4" t="str">
        <f t="shared" si="135"/>
        <v>Medium Order</v>
      </c>
      <c r="R1244" s="4" t="str">
        <f t="shared" si="136"/>
        <v>Weekday</v>
      </c>
      <c r="S1244" s="4" t="str">
        <f t="shared" si="137"/>
        <v>Regular</v>
      </c>
    </row>
    <row r="1245" spans="1:19" x14ac:dyDescent="0.3">
      <c r="A1245">
        <v>5422</v>
      </c>
      <c r="B1245" t="s">
        <v>20</v>
      </c>
      <c r="C1245" s="1">
        <v>45863</v>
      </c>
      <c r="D1245" t="s">
        <v>11</v>
      </c>
      <c r="E1245" t="s">
        <v>33</v>
      </c>
      <c r="F1245">
        <v>2</v>
      </c>
      <c r="G1245">
        <v>20.329999999999998</v>
      </c>
      <c r="H1245">
        <v>40.659999999999997</v>
      </c>
      <c r="I1245" t="str">
        <f t="shared" si="133"/>
        <v>Low</v>
      </c>
      <c r="J1245">
        <v>4</v>
      </c>
      <c r="K1245">
        <f t="shared" si="138"/>
        <v>36.659999999999997</v>
      </c>
      <c r="L1245" t="str">
        <f t="shared" si="139"/>
        <v>July</v>
      </c>
      <c r="M1245">
        <f>YEAR(C1245)</f>
        <v>2025</v>
      </c>
      <c r="N1245">
        <v>181</v>
      </c>
      <c r="O1245" t="str">
        <f>IF(N1245&gt;=200,"Platinum",IF(N1245&gt;=100,"Gold",IF(N1245&gt;=50,"Silver","Regular")))</f>
        <v>Gold</v>
      </c>
      <c r="P1245" s="4" t="str">
        <f t="shared" si="134"/>
        <v>Friday</v>
      </c>
      <c r="Q1245" s="4" t="str">
        <f t="shared" si="135"/>
        <v>Small Order</v>
      </c>
      <c r="R1245" s="4" t="str">
        <f t="shared" si="136"/>
        <v>Weekday</v>
      </c>
      <c r="S1245" s="4" t="str">
        <f t="shared" si="137"/>
        <v>Regular</v>
      </c>
    </row>
    <row r="1246" spans="1:19" x14ac:dyDescent="0.3">
      <c r="A1246">
        <v>2771</v>
      </c>
      <c r="B1246" t="s">
        <v>31</v>
      </c>
      <c r="C1246" s="1">
        <v>45594</v>
      </c>
      <c r="D1246" t="s">
        <v>27</v>
      </c>
      <c r="E1246" t="s">
        <v>22</v>
      </c>
      <c r="F1246">
        <v>1</v>
      </c>
      <c r="G1246">
        <v>1.22</v>
      </c>
      <c r="H1246">
        <v>1.22</v>
      </c>
      <c r="I1246" t="str">
        <f t="shared" si="133"/>
        <v>Low</v>
      </c>
      <c r="J1246">
        <v>0.12</v>
      </c>
      <c r="K1246">
        <f t="shared" si="138"/>
        <v>1.1000000000000001</v>
      </c>
      <c r="L1246" t="str">
        <f t="shared" si="139"/>
        <v>October</v>
      </c>
      <c r="M1246">
        <f>YEAR(C1246)</f>
        <v>2024</v>
      </c>
      <c r="N1246">
        <v>175</v>
      </c>
      <c r="O1246" t="str">
        <f>IF(N1246&gt;=200,"Platinum",IF(N1246&gt;=100,"Gold",IF(N1246&gt;=50,"Silver","Regular")))</f>
        <v>Gold</v>
      </c>
      <c r="P1246" s="4" t="str">
        <f t="shared" si="134"/>
        <v>Tuesday</v>
      </c>
      <c r="Q1246" s="4" t="str">
        <f t="shared" si="135"/>
        <v>Small Order</v>
      </c>
      <c r="R1246" s="4" t="str">
        <f t="shared" si="136"/>
        <v>Weekday</v>
      </c>
      <c r="S1246" s="4" t="str">
        <f t="shared" si="137"/>
        <v>Regular</v>
      </c>
    </row>
    <row r="1247" spans="1:19" x14ac:dyDescent="0.3">
      <c r="A1247">
        <v>4824</v>
      </c>
      <c r="B1247" t="s">
        <v>0</v>
      </c>
      <c r="C1247" s="1">
        <v>45862</v>
      </c>
      <c r="D1247" t="s">
        <v>34</v>
      </c>
      <c r="E1247" t="s">
        <v>33</v>
      </c>
      <c r="F1247">
        <v>5</v>
      </c>
      <c r="G1247">
        <v>4.46</v>
      </c>
      <c r="H1247">
        <v>22.3</v>
      </c>
      <c r="I1247" t="str">
        <f t="shared" si="133"/>
        <v>Low</v>
      </c>
      <c r="J1247">
        <v>2.19</v>
      </c>
      <c r="K1247">
        <f t="shared" si="138"/>
        <v>20.11</v>
      </c>
      <c r="L1247" t="str">
        <f t="shared" si="139"/>
        <v>July</v>
      </c>
      <c r="M1247">
        <f>YEAR(C1247)</f>
        <v>2025</v>
      </c>
      <c r="N1247">
        <v>348</v>
      </c>
      <c r="O1247" t="str">
        <f>IF(N1247&gt;=200,"Platinum",IF(N1247&gt;=100,"Gold",IF(N1247&gt;=50,"Silver","Regular")))</f>
        <v>Platinum</v>
      </c>
      <c r="P1247" s="4" t="str">
        <f t="shared" si="134"/>
        <v>Thursday</v>
      </c>
      <c r="Q1247" s="4" t="str">
        <f t="shared" si="135"/>
        <v>Medium Order</v>
      </c>
      <c r="R1247" s="4" t="str">
        <f t="shared" si="136"/>
        <v>Weekday</v>
      </c>
      <c r="S1247" s="4" t="str">
        <f t="shared" si="137"/>
        <v>Regular</v>
      </c>
    </row>
    <row r="1248" spans="1:19" x14ac:dyDescent="0.3">
      <c r="A1248">
        <v>7919</v>
      </c>
      <c r="B1248" t="s">
        <v>15</v>
      </c>
      <c r="C1248" s="1">
        <v>45684</v>
      </c>
      <c r="D1248" t="s">
        <v>34</v>
      </c>
      <c r="E1248" t="s">
        <v>5</v>
      </c>
      <c r="F1248">
        <v>1</v>
      </c>
      <c r="G1248">
        <v>28.63</v>
      </c>
      <c r="H1248">
        <v>28.63</v>
      </c>
      <c r="I1248" t="str">
        <f t="shared" si="133"/>
        <v>Low</v>
      </c>
      <c r="J1248">
        <v>2.79</v>
      </c>
      <c r="K1248">
        <f t="shared" si="138"/>
        <v>25.84</v>
      </c>
      <c r="L1248" t="str">
        <f t="shared" si="139"/>
        <v>January</v>
      </c>
      <c r="M1248">
        <f>YEAR(C1248)</f>
        <v>2025</v>
      </c>
      <c r="N1248">
        <v>87</v>
      </c>
      <c r="O1248" t="str">
        <f>IF(N1248&gt;=200,"Platinum",IF(N1248&gt;=100,"Gold",IF(N1248&gt;=50,"Silver","Regular")))</f>
        <v>Silver</v>
      </c>
      <c r="P1248" s="4" t="str">
        <f t="shared" si="134"/>
        <v>Monday</v>
      </c>
      <c r="Q1248" s="4" t="str">
        <f t="shared" si="135"/>
        <v>Small Order</v>
      </c>
      <c r="R1248" s="4" t="str">
        <f t="shared" si="136"/>
        <v>Weekday</v>
      </c>
      <c r="S1248" s="4" t="str">
        <f t="shared" si="137"/>
        <v>Regular</v>
      </c>
    </row>
    <row r="1249" spans="1:19" x14ac:dyDescent="0.3">
      <c r="A1249">
        <v>7502</v>
      </c>
      <c r="B1249" t="s">
        <v>15</v>
      </c>
      <c r="C1249" s="1">
        <v>45206</v>
      </c>
      <c r="D1249" t="s">
        <v>24</v>
      </c>
      <c r="E1249" t="s">
        <v>12</v>
      </c>
      <c r="F1249">
        <v>5</v>
      </c>
      <c r="G1249">
        <v>9.48</v>
      </c>
      <c r="H1249">
        <v>47.4</v>
      </c>
      <c r="I1249" t="str">
        <f t="shared" si="133"/>
        <v>Low</v>
      </c>
      <c r="J1249">
        <v>4.57</v>
      </c>
      <c r="K1249">
        <f t="shared" si="138"/>
        <v>42.83</v>
      </c>
      <c r="L1249" t="str">
        <f t="shared" si="139"/>
        <v>October</v>
      </c>
      <c r="M1249">
        <f>YEAR(C1249)</f>
        <v>2023</v>
      </c>
      <c r="N1249">
        <v>334</v>
      </c>
      <c r="O1249" t="str">
        <f>IF(N1249&gt;=200,"Platinum",IF(N1249&gt;=100,"Gold",IF(N1249&gt;=50,"Silver","Regular")))</f>
        <v>Platinum</v>
      </c>
      <c r="P1249" s="4" t="str">
        <f t="shared" si="134"/>
        <v>Saturday</v>
      </c>
      <c r="Q1249" s="4" t="str">
        <f t="shared" si="135"/>
        <v>Medium Order</v>
      </c>
      <c r="R1249" s="4" t="str">
        <f t="shared" si="136"/>
        <v>Weekend</v>
      </c>
      <c r="S1249" s="4" t="str">
        <f t="shared" si="137"/>
        <v>Regular</v>
      </c>
    </row>
    <row r="1250" spans="1:19" x14ac:dyDescent="0.3">
      <c r="A1250">
        <v>9898</v>
      </c>
      <c r="B1250" t="s">
        <v>31</v>
      </c>
      <c r="C1250" s="1">
        <v>45784</v>
      </c>
      <c r="D1250" t="s">
        <v>27</v>
      </c>
      <c r="E1250" t="s">
        <v>32</v>
      </c>
      <c r="F1250">
        <v>4</v>
      </c>
      <c r="G1250">
        <v>8.1</v>
      </c>
      <c r="H1250">
        <v>32.4</v>
      </c>
      <c r="I1250" t="str">
        <f t="shared" si="133"/>
        <v>Low</v>
      </c>
      <c r="J1250">
        <v>3.12</v>
      </c>
      <c r="K1250">
        <f t="shared" si="138"/>
        <v>29.279999999999998</v>
      </c>
      <c r="L1250" t="str">
        <f t="shared" si="139"/>
        <v>May</v>
      </c>
      <c r="M1250">
        <f>YEAR(C1250)</f>
        <v>2025</v>
      </c>
      <c r="N1250">
        <v>293</v>
      </c>
      <c r="O1250" t="str">
        <f>IF(N1250&gt;=200,"Platinum",IF(N1250&gt;=100,"Gold",IF(N1250&gt;=50,"Silver","Regular")))</f>
        <v>Platinum</v>
      </c>
      <c r="P1250" s="4" t="str">
        <f t="shared" si="134"/>
        <v>Wednesday</v>
      </c>
      <c r="Q1250" s="4" t="str">
        <f t="shared" si="135"/>
        <v>Medium Order</v>
      </c>
      <c r="R1250" s="4" t="str">
        <f t="shared" si="136"/>
        <v>Weekday</v>
      </c>
      <c r="S1250" s="4" t="str">
        <f t="shared" si="137"/>
        <v>Regular</v>
      </c>
    </row>
    <row r="1251" spans="1:19" x14ac:dyDescent="0.3">
      <c r="A1251">
        <v>3255</v>
      </c>
      <c r="B1251" t="s">
        <v>3</v>
      </c>
      <c r="C1251" s="1">
        <v>45556</v>
      </c>
      <c r="D1251" t="s">
        <v>6</v>
      </c>
      <c r="E1251" t="s">
        <v>30</v>
      </c>
      <c r="F1251">
        <v>3</v>
      </c>
      <c r="G1251">
        <v>16.66</v>
      </c>
      <c r="H1251">
        <v>49.98</v>
      </c>
      <c r="I1251" t="str">
        <f t="shared" si="133"/>
        <v>Low</v>
      </c>
      <c r="J1251">
        <v>4.8099999999999996</v>
      </c>
      <c r="K1251">
        <f t="shared" si="138"/>
        <v>45.169999999999995</v>
      </c>
      <c r="L1251" t="str">
        <f t="shared" si="139"/>
        <v>September</v>
      </c>
      <c r="M1251">
        <f>YEAR(C1251)</f>
        <v>2024</v>
      </c>
      <c r="N1251">
        <v>86</v>
      </c>
      <c r="O1251" t="str">
        <f>IF(N1251&gt;=200,"Platinum",IF(N1251&gt;=100,"Gold",IF(N1251&gt;=50,"Silver","Regular")))</f>
        <v>Silver</v>
      </c>
      <c r="P1251" s="4" t="str">
        <f t="shared" si="134"/>
        <v>Saturday</v>
      </c>
      <c r="Q1251" s="4" t="str">
        <f t="shared" si="135"/>
        <v>Medium Order</v>
      </c>
      <c r="R1251" s="4" t="str">
        <f t="shared" si="136"/>
        <v>Weekend</v>
      </c>
      <c r="S1251" s="4" t="str">
        <f t="shared" si="137"/>
        <v>Regular</v>
      </c>
    </row>
    <row r="1252" spans="1:19" x14ac:dyDescent="0.3">
      <c r="A1252">
        <v>9109</v>
      </c>
      <c r="B1252" t="s">
        <v>3</v>
      </c>
      <c r="C1252" s="1">
        <v>45462</v>
      </c>
      <c r="D1252" t="s">
        <v>23</v>
      </c>
      <c r="E1252" t="s">
        <v>33</v>
      </c>
      <c r="F1252">
        <v>1</v>
      </c>
      <c r="G1252">
        <v>23.11</v>
      </c>
      <c r="H1252">
        <v>23.11</v>
      </c>
      <c r="I1252" t="str">
        <f t="shared" si="133"/>
        <v>Low</v>
      </c>
      <c r="J1252">
        <v>2.2200000000000002</v>
      </c>
      <c r="K1252">
        <f t="shared" si="138"/>
        <v>20.89</v>
      </c>
      <c r="L1252" t="str">
        <f t="shared" si="139"/>
        <v>June</v>
      </c>
      <c r="M1252">
        <f>YEAR(C1252)</f>
        <v>2024</v>
      </c>
      <c r="N1252">
        <v>109</v>
      </c>
      <c r="O1252" t="str">
        <f>IF(N1252&gt;=200,"Platinum",IF(N1252&gt;=100,"Gold",IF(N1252&gt;=50,"Silver","Regular")))</f>
        <v>Gold</v>
      </c>
      <c r="P1252" s="4" t="str">
        <f t="shared" si="134"/>
        <v>Wednesday</v>
      </c>
      <c r="Q1252" s="4" t="str">
        <f t="shared" si="135"/>
        <v>Small Order</v>
      </c>
      <c r="R1252" s="4" t="str">
        <f t="shared" si="136"/>
        <v>Weekday</v>
      </c>
      <c r="S1252" s="4" t="str">
        <f t="shared" si="137"/>
        <v>Regular</v>
      </c>
    </row>
    <row r="1253" spans="1:19" x14ac:dyDescent="0.3">
      <c r="A1253">
        <v>7596</v>
      </c>
      <c r="B1253" t="s">
        <v>13</v>
      </c>
      <c r="C1253" s="1">
        <v>45710</v>
      </c>
      <c r="D1253" t="s">
        <v>24</v>
      </c>
      <c r="E1253" t="s">
        <v>22</v>
      </c>
      <c r="F1253">
        <v>3</v>
      </c>
      <c r="G1253">
        <v>6.77</v>
      </c>
      <c r="H1253">
        <v>20.309999999999999</v>
      </c>
      <c r="I1253" t="str">
        <f t="shared" si="133"/>
        <v>Low</v>
      </c>
      <c r="J1253">
        <v>1.95</v>
      </c>
      <c r="K1253">
        <f t="shared" si="138"/>
        <v>18.36</v>
      </c>
      <c r="L1253" t="str">
        <f t="shared" si="139"/>
        <v>February</v>
      </c>
      <c r="M1253">
        <f>YEAR(C1253)</f>
        <v>2025</v>
      </c>
      <c r="N1253">
        <v>196</v>
      </c>
      <c r="O1253" t="str">
        <f>IF(N1253&gt;=200,"Platinum",IF(N1253&gt;=100,"Gold",IF(N1253&gt;=50,"Silver","Regular")))</f>
        <v>Gold</v>
      </c>
      <c r="P1253" s="4" t="str">
        <f t="shared" si="134"/>
        <v>Saturday</v>
      </c>
      <c r="Q1253" s="4" t="str">
        <f t="shared" si="135"/>
        <v>Medium Order</v>
      </c>
      <c r="R1253" s="4" t="str">
        <f t="shared" si="136"/>
        <v>Weekend</v>
      </c>
      <c r="S1253" s="4" t="str">
        <f t="shared" si="137"/>
        <v>Regular</v>
      </c>
    </row>
    <row r="1254" spans="1:19" x14ac:dyDescent="0.3">
      <c r="A1254">
        <v>6753</v>
      </c>
      <c r="B1254" t="s">
        <v>3</v>
      </c>
      <c r="C1254" s="1">
        <v>45706</v>
      </c>
      <c r="D1254" t="s">
        <v>6</v>
      </c>
      <c r="E1254" t="s">
        <v>12</v>
      </c>
      <c r="F1254">
        <v>1</v>
      </c>
      <c r="G1254">
        <v>26.28</v>
      </c>
      <c r="H1254">
        <v>26.28</v>
      </c>
      <c r="I1254" t="str">
        <f t="shared" si="133"/>
        <v>Low</v>
      </c>
      <c r="J1254">
        <v>2.5</v>
      </c>
      <c r="K1254">
        <f t="shared" si="138"/>
        <v>23.78</v>
      </c>
      <c r="L1254" t="str">
        <f t="shared" si="139"/>
        <v>February</v>
      </c>
      <c r="M1254">
        <f>YEAR(C1254)</f>
        <v>2025</v>
      </c>
      <c r="N1254">
        <v>467</v>
      </c>
      <c r="O1254" t="str">
        <f>IF(N1254&gt;=200,"Platinum",IF(N1254&gt;=100,"Gold",IF(N1254&gt;=50,"Silver","Regular")))</f>
        <v>Platinum</v>
      </c>
      <c r="P1254" s="4" t="str">
        <f t="shared" si="134"/>
        <v>Tuesday</v>
      </c>
      <c r="Q1254" s="4" t="str">
        <f t="shared" si="135"/>
        <v>Small Order</v>
      </c>
      <c r="R1254" s="4" t="str">
        <f t="shared" si="136"/>
        <v>Weekday</v>
      </c>
      <c r="S1254" s="4" t="str">
        <f t="shared" si="137"/>
        <v>Regular</v>
      </c>
    </row>
    <row r="1255" spans="1:19" x14ac:dyDescent="0.3">
      <c r="A1255">
        <v>7266</v>
      </c>
      <c r="B1255" t="s">
        <v>15</v>
      </c>
      <c r="C1255" s="1">
        <v>45493</v>
      </c>
      <c r="D1255" t="s">
        <v>16</v>
      </c>
      <c r="E1255" t="s">
        <v>22</v>
      </c>
      <c r="F1255">
        <v>4</v>
      </c>
      <c r="G1255">
        <v>12.89</v>
      </c>
      <c r="H1255">
        <v>51.56</v>
      </c>
      <c r="I1255" t="str">
        <f t="shared" si="133"/>
        <v>Low</v>
      </c>
      <c r="J1255">
        <v>4.9000000000000004</v>
      </c>
      <c r="K1255">
        <f t="shared" si="138"/>
        <v>46.660000000000004</v>
      </c>
      <c r="L1255" t="str">
        <f t="shared" si="139"/>
        <v>July</v>
      </c>
      <c r="M1255">
        <f>YEAR(C1255)</f>
        <v>2024</v>
      </c>
      <c r="N1255">
        <v>180</v>
      </c>
      <c r="O1255" t="str">
        <f>IF(N1255&gt;=200,"Platinum",IF(N1255&gt;=100,"Gold",IF(N1255&gt;=50,"Silver","Regular")))</f>
        <v>Gold</v>
      </c>
      <c r="P1255" s="4" t="str">
        <f t="shared" si="134"/>
        <v>Saturday</v>
      </c>
      <c r="Q1255" s="4" t="str">
        <f t="shared" si="135"/>
        <v>Medium Order</v>
      </c>
      <c r="R1255" s="4" t="str">
        <f t="shared" si="136"/>
        <v>Weekend</v>
      </c>
      <c r="S1255" s="4" t="str">
        <f t="shared" si="137"/>
        <v>Regular</v>
      </c>
    </row>
    <row r="1256" spans="1:19" x14ac:dyDescent="0.3">
      <c r="A1256">
        <v>1158</v>
      </c>
      <c r="B1256" t="s">
        <v>15</v>
      </c>
      <c r="C1256" s="1">
        <v>45231</v>
      </c>
      <c r="D1256" t="s">
        <v>1</v>
      </c>
      <c r="E1256" t="s">
        <v>21</v>
      </c>
      <c r="F1256">
        <v>3</v>
      </c>
      <c r="G1256">
        <v>8.35</v>
      </c>
      <c r="H1256">
        <v>25.05</v>
      </c>
      <c r="I1256" t="str">
        <f t="shared" si="133"/>
        <v>Low</v>
      </c>
      <c r="J1256">
        <v>2.38</v>
      </c>
      <c r="K1256">
        <f t="shared" si="138"/>
        <v>22.67</v>
      </c>
      <c r="L1256" t="str">
        <f t="shared" si="139"/>
        <v>November</v>
      </c>
      <c r="M1256">
        <f>YEAR(C1256)</f>
        <v>2023</v>
      </c>
      <c r="N1256">
        <v>8</v>
      </c>
      <c r="O1256" t="str">
        <f>IF(N1256&gt;=200,"Platinum",IF(N1256&gt;=100,"Gold",IF(N1256&gt;=50,"Silver","Regular")))</f>
        <v>Regular</v>
      </c>
      <c r="P1256" s="4" t="str">
        <f t="shared" si="134"/>
        <v>Wednesday</v>
      </c>
      <c r="Q1256" s="4" t="str">
        <f t="shared" si="135"/>
        <v>Medium Order</v>
      </c>
      <c r="R1256" s="4" t="str">
        <f t="shared" si="136"/>
        <v>Weekday</v>
      </c>
      <c r="S1256" s="4" t="str">
        <f t="shared" si="137"/>
        <v>Regular</v>
      </c>
    </row>
    <row r="1257" spans="1:19" x14ac:dyDescent="0.3">
      <c r="A1257">
        <v>9540</v>
      </c>
      <c r="B1257" t="s">
        <v>20</v>
      </c>
      <c r="C1257" s="1">
        <v>45316</v>
      </c>
      <c r="D1257" t="s">
        <v>34</v>
      </c>
      <c r="E1257" t="s">
        <v>36</v>
      </c>
      <c r="F1257">
        <v>1</v>
      </c>
      <c r="G1257">
        <v>29.71</v>
      </c>
      <c r="H1257">
        <v>29.71</v>
      </c>
      <c r="I1257" t="str">
        <f t="shared" si="133"/>
        <v>Low</v>
      </c>
      <c r="J1257">
        <v>2.81</v>
      </c>
      <c r="K1257">
        <f t="shared" si="138"/>
        <v>26.900000000000002</v>
      </c>
      <c r="L1257" t="str">
        <f t="shared" si="139"/>
        <v>January</v>
      </c>
      <c r="M1257">
        <f>YEAR(C1257)</f>
        <v>2024</v>
      </c>
      <c r="N1257">
        <v>215</v>
      </c>
      <c r="O1257" t="str">
        <f>IF(N1257&gt;=200,"Platinum",IF(N1257&gt;=100,"Gold",IF(N1257&gt;=50,"Silver","Regular")))</f>
        <v>Platinum</v>
      </c>
      <c r="P1257" s="4" t="str">
        <f t="shared" si="134"/>
        <v>Thursday</v>
      </c>
      <c r="Q1257" s="4" t="str">
        <f t="shared" si="135"/>
        <v>Small Order</v>
      </c>
      <c r="R1257" s="4" t="str">
        <f t="shared" si="136"/>
        <v>Weekday</v>
      </c>
      <c r="S1257" s="4" t="str">
        <f t="shared" si="137"/>
        <v>Regular</v>
      </c>
    </row>
    <row r="1258" spans="1:19" x14ac:dyDescent="0.3">
      <c r="A1258">
        <v>5636</v>
      </c>
      <c r="B1258" t="s">
        <v>31</v>
      </c>
      <c r="C1258" s="1">
        <v>45223</v>
      </c>
      <c r="D1258" t="s">
        <v>23</v>
      </c>
      <c r="E1258" t="s">
        <v>22</v>
      </c>
      <c r="F1258">
        <v>1</v>
      </c>
      <c r="G1258">
        <v>24.17</v>
      </c>
      <c r="H1258">
        <v>24.17</v>
      </c>
      <c r="I1258" t="str">
        <f t="shared" si="133"/>
        <v>Low</v>
      </c>
      <c r="J1258">
        <v>2.27</v>
      </c>
      <c r="K1258">
        <f t="shared" si="138"/>
        <v>21.900000000000002</v>
      </c>
      <c r="L1258" t="str">
        <f t="shared" si="139"/>
        <v>October</v>
      </c>
      <c r="M1258">
        <f>YEAR(C1258)</f>
        <v>2023</v>
      </c>
      <c r="N1258">
        <v>17</v>
      </c>
      <c r="O1258" t="str">
        <f>IF(N1258&gt;=200,"Platinum",IF(N1258&gt;=100,"Gold",IF(N1258&gt;=50,"Silver","Regular")))</f>
        <v>Regular</v>
      </c>
      <c r="P1258" s="4" t="str">
        <f t="shared" si="134"/>
        <v>Tuesday</v>
      </c>
      <c r="Q1258" s="4" t="str">
        <f t="shared" si="135"/>
        <v>Small Order</v>
      </c>
      <c r="R1258" s="4" t="str">
        <f t="shared" si="136"/>
        <v>Weekday</v>
      </c>
      <c r="S1258" s="4" t="str">
        <f t="shared" si="137"/>
        <v>Regular</v>
      </c>
    </row>
    <row r="1259" spans="1:19" x14ac:dyDescent="0.3">
      <c r="A1259">
        <v>5055</v>
      </c>
      <c r="B1259" t="s">
        <v>25</v>
      </c>
      <c r="C1259" s="1">
        <v>45376</v>
      </c>
      <c r="D1259" t="s">
        <v>16</v>
      </c>
      <c r="E1259" t="s">
        <v>32</v>
      </c>
      <c r="F1259">
        <v>1</v>
      </c>
      <c r="G1259">
        <v>17.38</v>
      </c>
      <c r="H1259">
        <v>17.38</v>
      </c>
      <c r="I1259" t="str">
        <f t="shared" si="133"/>
        <v>Low</v>
      </c>
      <c r="J1259">
        <v>1.63</v>
      </c>
      <c r="K1259">
        <f t="shared" si="138"/>
        <v>15.75</v>
      </c>
      <c r="L1259" t="str">
        <f t="shared" si="139"/>
        <v>March</v>
      </c>
      <c r="M1259">
        <f>YEAR(C1259)</f>
        <v>2024</v>
      </c>
      <c r="N1259">
        <v>498</v>
      </c>
      <c r="O1259" t="str">
        <f>IF(N1259&gt;=200,"Platinum",IF(N1259&gt;=100,"Gold",IF(N1259&gt;=50,"Silver","Regular")))</f>
        <v>Platinum</v>
      </c>
      <c r="P1259" s="4" t="str">
        <f t="shared" si="134"/>
        <v>Monday</v>
      </c>
      <c r="Q1259" s="4" t="str">
        <f t="shared" si="135"/>
        <v>Small Order</v>
      </c>
      <c r="R1259" s="4" t="str">
        <f t="shared" si="136"/>
        <v>Weekday</v>
      </c>
      <c r="S1259" s="4" t="str">
        <f t="shared" si="137"/>
        <v>Regular</v>
      </c>
    </row>
    <row r="1260" spans="1:19" x14ac:dyDescent="0.3">
      <c r="A1260">
        <v>8251</v>
      </c>
      <c r="B1260" t="s">
        <v>20</v>
      </c>
      <c r="C1260" s="1">
        <v>45620</v>
      </c>
      <c r="D1260" t="s">
        <v>27</v>
      </c>
      <c r="E1260" t="s">
        <v>29</v>
      </c>
      <c r="F1260">
        <v>1</v>
      </c>
      <c r="G1260">
        <v>28.4</v>
      </c>
      <c r="H1260">
        <v>28.4</v>
      </c>
      <c r="I1260" t="str">
        <f t="shared" si="133"/>
        <v>Low</v>
      </c>
      <c r="J1260">
        <v>2.65</v>
      </c>
      <c r="K1260">
        <f t="shared" si="138"/>
        <v>25.75</v>
      </c>
      <c r="L1260" t="str">
        <f t="shared" si="139"/>
        <v>November</v>
      </c>
      <c r="M1260">
        <f>YEAR(C1260)</f>
        <v>2024</v>
      </c>
      <c r="N1260">
        <v>342</v>
      </c>
      <c r="O1260" t="str">
        <f>IF(N1260&gt;=200,"Platinum",IF(N1260&gt;=100,"Gold",IF(N1260&gt;=50,"Silver","Regular")))</f>
        <v>Platinum</v>
      </c>
      <c r="P1260" s="4" t="str">
        <f t="shared" si="134"/>
        <v>Sunday</v>
      </c>
      <c r="Q1260" s="4" t="str">
        <f t="shared" si="135"/>
        <v>Small Order</v>
      </c>
      <c r="R1260" s="4" t="str">
        <f t="shared" si="136"/>
        <v>Weekend</v>
      </c>
      <c r="S1260" s="4" t="str">
        <f t="shared" si="137"/>
        <v>Regular</v>
      </c>
    </row>
    <row r="1261" spans="1:19" x14ac:dyDescent="0.3">
      <c r="A1261">
        <v>7653</v>
      </c>
      <c r="B1261" t="s">
        <v>20</v>
      </c>
      <c r="C1261" s="1">
        <v>45376</v>
      </c>
      <c r="D1261" t="s">
        <v>23</v>
      </c>
      <c r="E1261" t="s">
        <v>22</v>
      </c>
      <c r="F1261">
        <v>1</v>
      </c>
      <c r="G1261">
        <v>24.9</v>
      </c>
      <c r="H1261">
        <v>24.9</v>
      </c>
      <c r="I1261" t="str">
        <f t="shared" si="133"/>
        <v>Low</v>
      </c>
      <c r="J1261">
        <v>2.3199999999999998</v>
      </c>
      <c r="K1261">
        <f t="shared" si="138"/>
        <v>22.58</v>
      </c>
      <c r="L1261" t="str">
        <f t="shared" si="139"/>
        <v>March</v>
      </c>
      <c r="M1261">
        <f>YEAR(C1261)</f>
        <v>2024</v>
      </c>
      <c r="N1261">
        <v>309</v>
      </c>
      <c r="O1261" t="str">
        <f>IF(N1261&gt;=200,"Platinum",IF(N1261&gt;=100,"Gold",IF(N1261&gt;=50,"Silver","Regular")))</f>
        <v>Platinum</v>
      </c>
      <c r="P1261" s="4" t="str">
        <f t="shared" si="134"/>
        <v>Monday</v>
      </c>
      <c r="Q1261" s="4" t="str">
        <f t="shared" si="135"/>
        <v>Small Order</v>
      </c>
      <c r="R1261" s="4" t="str">
        <f t="shared" si="136"/>
        <v>Weekday</v>
      </c>
      <c r="S1261" s="4" t="str">
        <f t="shared" si="137"/>
        <v>Regular</v>
      </c>
    </row>
    <row r="1262" spans="1:19" x14ac:dyDescent="0.3">
      <c r="A1262">
        <v>7992</v>
      </c>
      <c r="B1262" t="s">
        <v>20</v>
      </c>
      <c r="C1262" s="1">
        <v>45387</v>
      </c>
      <c r="D1262" t="s">
        <v>16</v>
      </c>
      <c r="E1262" t="s">
        <v>32</v>
      </c>
      <c r="F1262">
        <v>3</v>
      </c>
      <c r="G1262">
        <v>14.53</v>
      </c>
      <c r="H1262">
        <v>43.59</v>
      </c>
      <c r="I1262" t="str">
        <f t="shared" si="133"/>
        <v>Low</v>
      </c>
      <c r="J1262">
        <v>4.0599999999999996</v>
      </c>
      <c r="K1262">
        <f t="shared" si="138"/>
        <v>39.53</v>
      </c>
      <c r="L1262" t="str">
        <f t="shared" si="139"/>
        <v>April</v>
      </c>
      <c r="M1262">
        <f>YEAR(C1262)</f>
        <v>2024</v>
      </c>
      <c r="N1262">
        <v>23</v>
      </c>
      <c r="O1262" t="str">
        <f>IF(N1262&gt;=200,"Platinum",IF(N1262&gt;=100,"Gold",IF(N1262&gt;=50,"Silver","Regular")))</f>
        <v>Regular</v>
      </c>
      <c r="P1262" s="4" t="str">
        <f t="shared" si="134"/>
        <v>Friday</v>
      </c>
      <c r="Q1262" s="4" t="str">
        <f t="shared" si="135"/>
        <v>Medium Order</v>
      </c>
      <c r="R1262" s="4" t="str">
        <f t="shared" si="136"/>
        <v>Weekday</v>
      </c>
      <c r="S1262" s="4" t="str">
        <f t="shared" si="137"/>
        <v>Regular</v>
      </c>
    </row>
    <row r="1263" spans="1:19" x14ac:dyDescent="0.3">
      <c r="A1263">
        <v>6139</v>
      </c>
      <c r="B1263" t="s">
        <v>15</v>
      </c>
      <c r="C1263" s="1">
        <v>45470</v>
      </c>
      <c r="D1263" t="s">
        <v>23</v>
      </c>
      <c r="E1263" t="s">
        <v>29</v>
      </c>
      <c r="F1263">
        <v>1</v>
      </c>
      <c r="G1263">
        <v>29.42</v>
      </c>
      <c r="H1263">
        <v>29.42</v>
      </c>
      <c r="I1263" t="str">
        <f t="shared" si="133"/>
        <v>Low</v>
      </c>
      <c r="J1263">
        <v>2.74</v>
      </c>
      <c r="K1263">
        <f t="shared" si="138"/>
        <v>26.68</v>
      </c>
      <c r="L1263" t="str">
        <f t="shared" si="139"/>
        <v>June</v>
      </c>
      <c r="M1263">
        <f>YEAR(C1263)</f>
        <v>2024</v>
      </c>
      <c r="N1263">
        <v>332</v>
      </c>
      <c r="O1263" t="str">
        <f>IF(N1263&gt;=200,"Platinum",IF(N1263&gt;=100,"Gold",IF(N1263&gt;=50,"Silver","Regular")))</f>
        <v>Platinum</v>
      </c>
      <c r="P1263" s="4" t="str">
        <f t="shared" si="134"/>
        <v>Thursday</v>
      </c>
      <c r="Q1263" s="4" t="str">
        <f t="shared" si="135"/>
        <v>Small Order</v>
      </c>
      <c r="R1263" s="4" t="str">
        <f t="shared" si="136"/>
        <v>Weekday</v>
      </c>
      <c r="S1263" s="4" t="str">
        <f t="shared" si="137"/>
        <v>Regular</v>
      </c>
    </row>
    <row r="1264" spans="1:19" x14ac:dyDescent="0.3">
      <c r="A1264">
        <v>2290</v>
      </c>
      <c r="B1264" t="s">
        <v>8</v>
      </c>
      <c r="C1264" s="1">
        <v>45211</v>
      </c>
      <c r="D1264" t="s">
        <v>24</v>
      </c>
      <c r="E1264" t="s">
        <v>28</v>
      </c>
      <c r="F1264">
        <v>5</v>
      </c>
      <c r="G1264">
        <v>4.66</v>
      </c>
      <c r="H1264">
        <v>23.3</v>
      </c>
      <c r="I1264" t="str">
        <f t="shared" si="133"/>
        <v>Low</v>
      </c>
      <c r="J1264">
        <v>2.17</v>
      </c>
      <c r="K1264">
        <f t="shared" si="138"/>
        <v>21.130000000000003</v>
      </c>
      <c r="L1264" t="str">
        <f t="shared" si="139"/>
        <v>October</v>
      </c>
      <c r="M1264">
        <f>YEAR(C1264)</f>
        <v>2023</v>
      </c>
      <c r="N1264">
        <v>23</v>
      </c>
      <c r="O1264" t="str">
        <f>IF(N1264&gt;=200,"Platinum",IF(N1264&gt;=100,"Gold",IF(N1264&gt;=50,"Silver","Regular")))</f>
        <v>Regular</v>
      </c>
      <c r="P1264" s="4" t="str">
        <f t="shared" si="134"/>
        <v>Thursday</v>
      </c>
      <c r="Q1264" s="4" t="str">
        <f t="shared" si="135"/>
        <v>Medium Order</v>
      </c>
      <c r="R1264" s="4" t="str">
        <f t="shared" si="136"/>
        <v>Weekday</v>
      </c>
      <c r="S1264" s="4" t="str">
        <f t="shared" si="137"/>
        <v>Regular</v>
      </c>
    </row>
    <row r="1265" spans="1:19" x14ac:dyDescent="0.3">
      <c r="A1265">
        <v>1749</v>
      </c>
      <c r="B1265" t="s">
        <v>13</v>
      </c>
      <c r="C1265" s="1">
        <v>45581</v>
      </c>
      <c r="D1265" t="s">
        <v>23</v>
      </c>
      <c r="E1265" t="s">
        <v>21</v>
      </c>
      <c r="F1265">
        <v>1</v>
      </c>
      <c r="G1265">
        <v>14.41</v>
      </c>
      <c r="H1265">
        <v>14.41</v>
      </c>
      <c r="I1265" t="str">
        <f t="shared" si="133"/>
        <v>Low</v>
      </c>
      <c r="J1265">
        <v>1.34</v>
      </c>
      <c r="K1265">
        <f t="shared" si="138"/>
        <v>13.07</v>
      </c>
      <c r="L1265" t="str">
        <f t="shared" si="139"/>
        <v>October</v>
      </c>
      <c r="M1265">
        <f>YEAR(C1265)</f>
        <v>2024</v>
      </c>
      <c r="N1265">
        <v>390</v>
      </c>
      <c r="O1265" t="str">
        <f>IF(N1265&gt;=200,"Platinum",IF(N1265&gt;=100,"Gold",IF(N1265&gt;=50,"Silver","Regular")))</f>
        <v>Platinum</v>
      </c>
      <c r="P1265" s="4" t="str">
        <f t="shared" si="134"/>
        <v>Wednesday</v>
      </c>
      <c r="Q1265" s="4" t="str">
        <f t="shared" si="135"/>
        <v>Small Order</v>
      </c>
      <c r="R1265" s="4" t="str">
        <f t="shared" si="136"/>
        <v>Weekday</v>
      </c>
      <c r="S1265" s="4" t="str">
        <f t="shared" si="137"/>
        <v>Regular</v>
      </c>
    </row>
    <row r="1266" spans="1:19" x14ac:dyDescent="0.3">
      <c r="A1266">
        <v>1420</v>
      </c>
      <c r="B1266" t="s">
        <v>8</v>
      </c>
      <c r="C1266" s="1">
        <v>45866</v>
      </c>
      <c r="D1266" t="s">
        <v>34</v>
      </c>
      <c r="E1266" t="s">
        <v>32</v>
      </c>
      <c r="F1266">
        <v>2</v>
      </c>
      <c r="G1266">
        <v>12.1</v>
      </c>
      <c r="H1266">
        <v>24.2</v>
      </c>
      <c r="I1266" t="str">
        <f t="shared" si="133"/>
        <v>Low</v>
      </c>
      <c r="J1266">
        <v>2.25</v>
      </c>
      <c r="K1266">
        <f t="shared" si="138"/>
        <v>21.95</v>
      </c>
      <c r="L1266" t="str">
        <f t="shared" si="139"/>
        <v>July</v>
      </c>
      <c r="M1266">
        <f>YEAR(C1266)</f>
        <v>2025</v>
      </c>
      <c r="N1266">
        <v>374</v>
      </c>
      <c r="O1266" t="str">
        <f>IF(N1266&gt;=200,"Platinum",IF(N1266&gt;=100,"Gold",IF(N1266&gt;=50,"Silver","Regular")))</f>
        <v>Platinum</v>
      </c>
      <c r="P1266" s="4" t="str">
        <f t="shared" si="134"/>
        <v>Monday</v>
      </c>
      <c r="Q1266" s="4" t="str">
        <f t="shared" si="135"/>
        <v>Small Order</v>
      </c>
      <c r="R1266" s="4" t="str">
        <f t="shared" si="136"/>
        <v>Weekday</v>
      </c>
      <c r="S1266" s="4" t="str">
        <f t="shared" si="137"/>
        <v>Regular</v>
      </c>
    </row>
    <row r="1267" spans="1:19" x14ac:dyDescent="0.3">
      <c r="A1267">
        <v>4583</v>
      </c>
      <c r="B1267" t="s">
        <v>8</v>
      </c>
      <c r="C1267" s="1">
        <v>45537</v>
      </c>
      <c r="D1267" t="s">
        <v>16</v>
      </c>
      <c r="E1267" t="s">
        <v>35</v>
      </c>
      <c r="F1267">
        <v>4</v>
      </c>
      <c r="G1267">
        <v>6.5</v>
      </c>
      <c r="H1267">
        <v>26</v>
      </c>
      <c r="I1267" t="str">
        <f t="shared" si="133"/>
        <v>Low</v>
      </c>
      <c r="J1267">
        <v>2.41</v>
      </c>
      <c r="K1267">
        <f t="shared" si="138"/>
        <v>23.59</v>
      </c>
      <c r="L1267" t="str">
        <f t="shared" si="139"/>
        <v>September</v>
      </c>
      <c r="M1267">
        <f>YEAR(C1267)</f>
        <v>2024</v>
      </c>
      <c r="N1267">
        <v>106</v>
      </c>
      <c r="O1267" t="str">
        <f>IF(N1267&gt;=200,"Platinum",IF(N1267&gt;=100,"Gold",IF(N1267&gt;=50,"Silver","Regular")))</f>
        <v>Gold</v>
      </c>
      <c r="P1267" s="4" t="str">
        <f t="shared" si="134"/>
        <v>Monday</v>
      </c>
      <c r="Q1267" s="4" t="str">
        <f t="shared" si="135"/>
        <v>Medium Order</v>
      </c>
      <c r="R1267" s="4" t="str">
        <f t="shared" si="136"/>
        <v>Weekday</v>
      </c>
      <c r="S1267" s="4" t="str">
        <f t="shared" si="137"/>
        <v>Regular</v>
      </c>
    </row>
    <row r="1268" spans="1:19" x14ac:dyDescent="0.3">
      <c r="A1268">
        <v>1744</v>
      </c>
      <c r="B1268" t="s">
        <v>8</v>
      </c>
      <c r="C1268" s="1">
        <v>45643</v>
      </c>
      <c r="D1268" t="s">
        <v>11</v>
      </c>
      <c r="E1268" t="s">
        <v>21</v>
      </c>
      <c r="F1268">
        <v>4</v>
      </c>
      <c r="G1268">
        <v>6.91</v>
      </c>
      <c r="H1268">
        <v>27.64</v>
      </c>
      <c r="I1268" t="str">
        <f t="shared" si="133"/>
        <v>Low</v>
      </c>
      <c r="J1268">
        <v>2.5499999999999998</v>
      </c>
      <c r="K1268">
        <f t="shared" si="138"/>
        <v>25.09</v>
      </c>
      <c r="L1268" t="str">
        <f t="shared" si="139"/>
        <v>December</v>
      </c>
      <c r="M1268">
        <f>YEAR(C1268)</f>
        <v>2024</v>
      </c>
      <c r="N1268">
        <v>200</v>
      </c>
      <c r="O1268" t="str">
        <f>IF(N1268&gt;=200,"Platinum",IF(N1268&gt;=100,"Gold",IF(N1268&gt;=50,"Silver","Regular")))</f>
        <v>Platinum</v>
      </c>
      <c r="P1268" s="4" t="str">
        <f t="shared" si="134"/>
        <v>Tuesday</v>
      </c>
      <c r="Q1268" s="4" t="str">
        <f t="shared" si="135"/>
        <v>Medium Order</v>
      </c>
      <c r="R1268" s="4" t="str">
        <f t="shared" si="136"/>
        <v>Weekday</v>
      </c>
      <c r="S1268" s="4" t="str">
        <f t="shared" si="137"/>
        <v>Regular</v>
      </c>
    </row>
    <row r="1269" spans="1:19" x14ac:dyDescent="0.3">
      <c r="A1269">
        <v>7939</v>
      </c>
      <c r="B1269" t="s">
        <v>20</v>
      </c>
      <c r="C1269" s="1">
        <v>45464</v>
      </c>
      <c r="D1269" t="s">
        <v>24</v>
      </c>
      <c r="E1269" t="s">
        <v>12</v>
      </c>
      <c r="F1269">
        <v>3</v>
      </c>
      <c r="G1269">
        <v>13.48</v>
      </c>
      <c r="H1269">
        <v>40.44</v>
      </c>
      <c r="I1269" t="str">
        <f t="shared" si="133"/>
        <v>Low</v>
      </c>
      <c r="J1269">
        <v>3.73</v>
      </c>
      <c r="K1269">
        <f t="shared" si="138"/>
        <v>36.71</v>
      </c>
      <c r="L1269" t="str">
        <f t="shared" si="139"/>
        <v>June</v>
      </c>
      <c r="M1269">
        <f>YEAR(C1269)</f>
        <v>2024</v>
      </c>
      <c r="N1269">
        <v>125</v>
      </c>
      <c r="O1269" t="str">
        <f>IF(N1269&gt;=200,"Platinum",IF(N1269&gt;=100,"Gold",IF(N1269&gt;=50,"Silver","Regular")))</f>
        <v>Gold</v>
      </c>
      <c r="P1269" s="4" t="str">
        <f t="shared" si="134"/>
        <v>Friday</v>
      </c>
      <c r="Q1269" s="4" t="str">
        <f t="shared" si="135"/>
        <v>Medium Order</v>
      </c>
      <c r="R1269" s="4" t="str">
        <f t="shared" si="136"/>
        <v>Weekday</v>
      </c>
      <c r="S1269" s="4" t="str">
        <f t="shared" si="137"/>
        <v>Regular</v>
      </c>
    </row>
    <row r="1270" spans="1:19" x14ac:dyDescent="0.3">
      <c r="A1270">
        <v>4853</v>
      </c>
      <c r="B1270" t="s">
        <v>3</v>
      </c>
      <c r="C1270" s="1">
        <v>45458</v>
      </c>
      <c r="D1270" t="s">
        <v>17</v>
      </c>
      <c r="E1270" t="s">
        <v>7</v>
      </c>
      <c r="F1270">
        <v>1</v>
      </c>
      <c r="G1270">
        <v>18.649999999999999</v>
      </c>
      <c r="H1270">
        <v>18.649999999999999</v>
      </c>
      <c r="I1270" t="str">
        <f t="shared" si="133"/>
        <v>Low</v>
      </c>
      <c r="J1270">
        <v>1.72</v>
      </c>
      <c r="K1270">
        <f t="shared" si="138"/>
        <v>16.93</v>
      </c>
      <c r="L1270" t="str">
        <f t="shared" si="139"/>
        <v>June</v>
      </c>
      <c r="M1270">
        <f>YEAR(C1270)</f>
        <v>2024</v>
      </c>
      <c r="N1270">
        <v>336</v>
      </c>
      <c r="O1270" t="str">
        <f>IF(N1270&gt;=200,"Platinum",IF(N1270&gt;=100,"Gold",IF(N1270&gt;=50,"Silver","Regular")))</f>
        <v>Platinum</v>
      </c>
      <c r="P1270" s="4" t="str">
        <f t="shared" si="134"/>
        <v>Saturday</v>
      </c>
      <c r="Q1270" s="4" t="str">
        <f t="shared" si="135"/>
        <v>Small Order</v>
      </c>
      <c r="R1270" s="4" t="str">
        <f t="shared" si="136"/>
        <v>Weekend</v>
      </c>
      <c r="S1270" s="4" t="str">
        <f t="shared" si="137"/>
        <v>Regular</v>
      </c>
    </row>
    <row r="1271" spans="1:19" x14ac:dyDescent="0.3">
      <c r="A1271">
        <v>5508</v>
      </c>
      <c r="B1271" t="s">
        <v>20</v>
      </c>
      <c r="C1271" s="1">
        <v>45192</v>
      </c>
      <c r="D1271" t="s">
        <v>34</v>
      </c>
      <c r="E1271" t="s">
        <v>26</v>
      </c>
      <c r="F1271">
        <v>2</v>
      </c>
      <c r="G1271">
        <v>25.4</v>
      </c>
      <c r="H1271">
        <v>50.8</v>
      </c>
      <c r="I1271" t="str">
        <f t="shared" si="133"/>
        <v>Low</v>
      </c>
      <c r="J1271">
        <v>4.67</v>
      </c>
      <c r="K1271">
        <f t="shared" si="138"/>
        <v>46.129999999999995</v>
      </c>
      <c r="L1271" t="str">
        <f t="shared" si="139"/>
        <v>September</v>
      </c>
      <c r="M1271">
        <f>YEAR(C1271)</f>
        <v>2023</v>
      </c>
      <c r="N1271">
        <v>206</v>
      </c>
      <c r="O1271" t="str">
        <f>IF(N1271&gt;=200,"Platinum",IF(N1271&gt;=100,"Gold",IF(N1271&gt;=50,"Silver","Regular")))</f>
        <v>Platinum</v>
      </c>
      <c r="P1271" s="4" t="str">
        <f t="shared" si="134"/>
        <v>Saturday</v>
      </c>
      <c r="Q1271" s="4" t="str">
        <f t="shared" si="135"/>
        <v>Small Order</v>
      </c>
      <c r="R1271" s="4" t="str">
        <f t="shared" si="136"/>
        <v>Weekend</v>
      </c>
      <c r="S1271" s="4" t="str">
        <f t="shared" si="137"/>
        <v>Regular</v>
      </c>
    </row>
    <row r="1272" spans="1:19" x14ac:dyDescent="0.3">
      <c r="A1272">
        <v>4201</v>
      </c>
      <c r="B1272" t="s">
        <v>31</v>
      </c>
      <c r="C1272" s="1">
        <v>45713</v>
      </c>
      <c r="D1272" t="s">
        <v>4</v>
      </c>
      <c r="E1272" t="s">
        <v>12</v>
      </c>
      <c r="F1272">
        <v>3</v>
      </c>
      <c r="G1272">
        <v>10.8</v>
      </c>
      <c r="H1272">
        <v>32.4</v>
      </c>
      <c r="I1272" t="str">
        <f t="shared" si="133"/>
        <v>Low</v>
      </c>
      <c r="J1272">
        <v>2.97</v>
      </c>
      <c r="K1272">
        <f t="shared" si="138"/>
        <v>29.43</v>
      </c>
      <c r="L1272" t="str">
        <f t="shared" si="139"/>
        <v>February</v>
      </c>
      <c r="M1272">
        <f>YEAR(C1272)</f>
        <v>2025</v>
      </c>
      <c r="N1272">
        <v>211</v>
      </c>
      <c r="O1272" t="str">
        <f>IF(N1272&gt;=200,"Platinum",IF(N1272&gt;=100,"Gold",IF(N1272&gt;=50,"Silver","Regular")))</f>
        <v>Platinum</v>
      </c>
      <c r="P1272" s="4" t="str">
        <f t="shared" si="134"/>
        <v>Tuesday</v>
      </c>
      <c r="Q1272" s="4" t="str">
        <f t="shared" si="135"/>
        <v>Medium Order</v>
      </c>
      <c r="R1272" s="4" t="str">
        <f t="shared" si="136"/>
        <v>Weekday</v>
      </c>
      <c r="S1272" s="4" t="str">
        <f t="shared" si="137"/>
        <v>Regular</v>
      </c>
    </row>
    <row r="1273" spans="1:19" x14ac:dyDescent="0.3">
      <c r="A1273">
        <v>3529</v>
      </c>
      <c r="B1273" t="s">
        <v>3</v>
      </c>
      <c r="C1273" s="1">
        <v>45203</v>
      </c>
      <c r="D1273" t="s">
        <v>16</v>
      </c>
      <c r="E1273" t="s">
        <v>5</v>
      </c>
      <c r="F1273">
        <v>2</v>
      </c>
      <c r="G1273">
        <v>18.55</v>
      </c>
      <c r="H1273">
        <v>37.1</v>
      </c>
      <c r="I1273" t="str">
        <f t="shared" si="133"/>
        <v>Low</v>
      </c>
      <c r="J1273">
        <v>3.4</v>
      </c>
      <c r="K1273">
        <f t="shared" si="138"/>
        <v>33.700000000000003</v>
      </c>
      <c r="L1273" t="str">
        <f t="shared" si="139"/>
        <v>October</v>
      </c>
      <c r="M1273">
        <f>YEAR(C1273)</f>
        <v>2023</v>
      </c>
      <c r="N1273">
        <v>90</v>
      </c>
      <c r="O1273" t="str">
        <f>IF(N1273&gt;=200,"Platinum",IF(N1273&gt;=100,"Gold",IF(N1273&gt;=50,"Silver","Regular")))</f>
        <v>Silver</v>
      </c>
      <c r="P1273" s="4" t="str">
        <f t="shared" si="134"/>
        <v>Wednesday</v>
      </c>
      <c r="Q1273" s="4" t="str">
        <f t="shared" si="135"/>
        <v>Small Order</v>
      </c>
      <c r="R1273" s="4" t="str">
        <f t="shared" si="136"/>
        <v>Weekday</v>
      </c>
      <c r="S1273" s="4" t="str">
        <f t="shared" si="137"/>
        <v>Regular</v>
      </c>
    </row>
    <row r="1274" spans="1:19" x14ac:dyDescent="0.3">
      <c r="A1274">
        <v>1049</v>
      </c>
      <c r="B1274" t="s">
        <v>8</v>
      </c>
      <c r="C1274" s="1">
        <v>45724</v>
      </c>
      <c r="D1274" t="s">
        <v>16</v>
      </c>
      <c r="E1274" t="s">
        <v>33</v>
      </c>
      <c r="F1274">
        <v>3</v>
      </c>
      <c r="G1274">
        <v>17.47</v>
      </c>
      <c r="H1274">
        <v>52.41</v>
      </c>
      <c r="I1274" t="str">
        <f t="shared" si="133"/>
        <v>Low</v>
      </c>
      <c r="J1274">
        <v>4.75</v>
      </c>
      <c r="K1274">
        <f t="shared" si="138"/>
        <v>47.66</v>
      </c>
      <c r="L1274" t="str">
        <f t="shared" si="139"/>
        <v>March</v>
      </c>
      <c r="M1274">
        <f>YEAR(C1274)</f>
        <v>2025</v>
      </c>
      <c r="N1274">
        <v>307</v>
      </c>
      <c r="O1274" t="str">
        <f>IF(N1274&gt;=200,"Platinum",IF(N1274&gt;=100,"Gold",IF(N1274&gt;=50,"Silver","Regular")))</f>
        <v>Platinum</v>
      </c>
      <c r="P1274" s="4" t="str">
        <f t="shared" si="134"/>
        <v>Saturday</v>
      </c>
      <c r="Q1274" s="4" t="str">
        <f t="shared" si="135"/>
        <v>Medium Order</v>
      </c>
      <c r="R1274" s="4" t="str">
        <f t="shared" si="136"/>
        <v>Weekend</v>
      </c>
      <c r="S1274" s="4" t="str">
        <f t="shared" si="137"/>
        <v>Regular</v>
      </c>
    </row>
    <row r="1275" spans="1:19" x14ac:dyDescent="0.3">
      <c r="A1275">
        <v>6161</v>
      </c>
      <c r="B1275" t="s">
        <v>20</v>
      </c>
      <c r="C1275" s="1">
        <v>45864</v>
      </c>
      <c r="D1275" t="s">
        <v>24</v>
      </c>
      <c r="E1275" t="s">
        <v>12</v>
      </c>
      <c r="F1275">
        <v>1</v>
      </c>
      <c r="G1275">
        <v>18.329999999999998</v>
      </c>
      <c r="H1275">
        <v>18.329999999999998</v>
      </c>
      <c r="I1275" t="str">
        <f t="shared" si="133"/>
        <v>Low</v>
      </c>
      <c r="J1275">
        <v>1.66</v>
      </c>
      <c r="K1275">
        <f t="shared" si="138"/>
        <v>16.669999999999998</v>
      </c>
      <c r="L1275" t="str">
        <f t="shared" si="139"/>
        <v>July</v>
      </c>
      <c r="M1275">
        <f>YEAR(C1275)</f>
        <v>2025</v>
      </c>
      <c r="N1275">
        <v>233</v>
      </c>
      <c r="O1275" t="str">
        <f>IF(N1275&gt;=200,"Platinum",IF(N1275&gt;=100,"Gold",IF(N1275&gt;=50,"Silver","Regular")))</f>
        <v>Platinum</v>
      </c>
      <c r="P1275" s="4" t="str">
        <f t="shared" si="134"/>
        <v>Saturday</v>
      </c>
      <c r="Q1275" s="4" t="str">
        <f t="shared" si="135"/>
        <v>Small Order</v>
      </c>
      <c r="R1275" s="4" t="str">
        <f t="shared" si="136"/>
        <v>Weekend</v>
      </c>
      <c r="S1275" s="4" t="str">
        <f t="shared" si="137"/>
        <v>Regular</v>
      </c>
    </row>
    <row r="1276" spans="1:19" x14ac:dyDescent="0.3">
      <c r="A1276">
        <v>5781</v>
      </c>
      <c r="B1276" t="s">
        <v>0</v>
      </c>
      <c r="C1276" s="1">
        <v>45540</v>
      </c>
      <c r="D1276" t="s">
        <v>16</v>
      </c>
      <c r="E1276" t="s">
        <v>30</v>
      </c>
      <c r="F1276">
        <v>1</v>
      </c>
      <c r="G1276">
        <v>14.31</v>
      </c>
      <c r="H1276">
        <v>14.31</v>
      </c>
      <c r="I1276" t="str">
        <f t="shared" si="133"/>
        <v>Low</v>
      </c>
      <c r="J1276">
        <v>1.29</v>
      </c>
      <c r="K1276">
        <f t="shared" si="138"/>
        <v>13.02</v>
      </c>
      <c r="L1276" t="str">
        <f t="shared" si="139"/>
        <v>September</v>
      </c>
      <c r="M1276">
        <f>YEAR(C1276)</f>
        <v>2024</v>
      </c>
      <c r="N1276">
        <v>169</v>
      </c>
      <c r="O1276" t="str">
        <f>IF(N1276&gt;=200,"Platinum",IF(N1276&gt;=100,"Gold",IF(N1276&gt;=50,"Silver","Regular")))</f>
        <v>Gold</v>
      </c>
      <c r="P1276" s="4" t="str">
        <f t="shared" si="134"/>
        <v>Thursday</v>
      </c>
      <c r="Q1276" s="4" t="str">
        <f t="shared" si="135"/>
        <v>Small Order</v>
      </c>
      <c r="R1276" s="4" t="str">
        <f t="shared" si="136"/>
        <v>Weekday</v>
      </c>
      <c r="S1276" s="4" t="str">
        <f t="shared" si="137"/>
        <v>Regular</v>
      </c>
    </row>
    <row r="1277" spans="1:19" x14ac:dyDescent="0.3">
      <c r="A1277">
        <v>3780</v>
      </c>
      <c r="B1277" t="s">
        <v>15</v>
      </c>
      <c r="C1277" s="1">
        <v>45656</v>
      </c>
      <c r="D1277" t="s">
        <v>1</v>
      </c>
      <c r="E1277" t="s">
        <v>22</v>
      </c>
      <c r="F1277">
        <v>2</v>
      </c>
      <c r="G1277">
        <v>15.87</v>
      </c>
      <c r="H1277">
        <v>31.74</v>
      </c>
      <c r="I1277" t="str">
        <f t="shared" si="133"/>
        <v>Low</v>
      </c>
      <c r="J1277">
        <v>2.85</v>
      </c>
      <c r="K1277">
        <f t="shared" si="138"/>
        <v>28.889999999999997</v>
      </c>
      <c r="L1277" t="str">
        <f t="shared" si="139"/>
        <v>December</v>
      </c>
      <c r="M1277">
        <f>YEAR(C1277)</f>
        <v>2024</v>
      </c>
      <c r="N1277">
        <v>233</v>
      </c>
      <c r="O1277" t="str">
        <f>IF(N1277&gt;=200,"Platinum",IF(N1277&gt;=100,"Gold",IF(N1277&gt;=50,"Silver","Regular")))</f>
        <v>Platinum</v>
      </c>
      <c r="P1277" s="4" t="str">
        <f t="shared" si="134"/>
        <v>Monday</v>
      </c>
      <c r="Q1277" s="4" t="str">
        <f t="shared" si="135"/>
        <v>Small Order</v>
      </c>
      <c r="R1277" s="4" t="str">
        <f t="shared" si="136"/>
        <v>Weekday</v>
      </c>
      <c r="S1277" s="4" t="str">
        <f t="shared" si="137"/>
        <v>Regular</v>
      </c>
    </row>
    <row r="1278" spans="1:19" x14ac:dyDescent="0.3">
      <c r="A1278">
        <v>4180</v>
      </c>
      <c r="B1278" t="s">
        <v>0</v>
      </c>
      <c r="C1278" s="1">
        <v>45375</v>
      </c>
      <c r="D1278" t="s">
        <v>4</v>
      </c>
      <c r="E1278" t="s">
        <v>10</v>
      </c>
      <c r="F1278">
        <v>2</v>
      </c>
      <c r="G1278">
        <v>26.74</v>
      </c>
      <c r="H1278">
        <v>53.48</v>
      </c>
      <c r="I1278" t="str">
        <f t="shared" si="133"/>
        <v>Low</v>
      </c>
      <c r="J1278">
        <v>4.7699999999999996</v>
      </c>
      <c r="K1278">
        <f t="shared" si="138"/>
        <v>48.709999999999994</v>
      </c>
      <c r="L1278" t="str">
        <f t="shared" si="139"/>
        <v>March</v>
      </c>
      <c r="M1278">
        <f>YEAR(C1278)</f>
        <v>2024</v>
      </c>
      <c r="N1278">
        <v>82</v>
      </c>
      <c r="O1278" t="str">
        <f>IF(N1278&gt;=200,"Platinum",IF(N1278&gt;=100,"Gold",IF(N1278&gt;=50,"Silver","Regular")))</f>
        <v>Silver</v>
      </c>
      <c r="P1278" s="4" t="str">
        <f t="shared" si="134"/>
        <v>Sunday</v>
      </c>
      <c r="Q1278" s="4" t="str">
        <f t="shared" si="135"/>
        <v>Small Order</v>
      </c>
      <c r="R1278" s="4" t="str">
        <f t="shared" si="136"/>
        <v>Weekend</v>
      </c>
      <c r="S1278" s="4" t="str">
        <f t="shared" si="137"/>
        <v>Regular</v>
      </c>
    </row>
    <row r="1279" spans="1:19" x14ac:dyDescent="0.3">
      <c r="A1279">
        <v>7570</v>
      </c>
      <c r="B1279" t="s">
        <v>15</v>
      </c>
      <c r="C1279" s="1">
        <v>45845</v>
      </c>
      <c r="D1279" t="s">
        <v>6</v>
      </c>
      <c r="E1279" t="s">
        <v>12</v>
      </c>
      <c r="F1279">
        <v>1</v>
      </c>
      <c r="G1279">
        <v>29.44</v>
      </c>
      <c r="H1279">
        <v>29.44</v>
      </c>
      <c r="I1279" t="str">
        <f t="shared" si="133"/>
        <v>Low</v>
      </c>
      <c r="J1279">
        <v>2.59</v>
      </c>
      <c r="K1279">
        <f t="shared" si="138"/>
        <v>26.85</v>
      </c>
      <c r="L1279" t="str">
        <f t="shared" si="139"/>
        <v>July</v>
      </c>
      <c r="M1279">
        <f>YEAR(C1279)</f>
        <v>2025</v>
      </c>
      <c r="N1279">
        <v>188</v>
      </c>
      <c r="O1279" t="str">
        <f>IF(N1279&gt;=200,"Platinum",IF(N1279&gt;=100,"Gold",IF(N1279&gt;=50,"Silver","Regular")))</f>
        <v>Gold</v>
      </c>
      <c r="P1279" s="4" t="str">
        <f t="shared" si="134"/>
        <v>Monday</v>
      </c>
      <c r="Q1279" s="4" t="str">
        <f t="shared" si="135"/>
        <v>Small Order</v>
      </c>
      <c r="R1279" s="4" t="str">
        <f t="shared" si="136"/>
        <v>Weekday</v>
      </c>
      <c r="S1279" s="4" t="str">
        <f t="shared" si="137"/>
        <v>Regular</v>
      </c>
    </row>
    <row r="1280" spans="1:19" x14ac:dyDescent="0.3">
      <c r="A1280">
        <v>7329</v>
      </c>
      <c r="B1280" t="s">
        <v>8</v>
      </c>
      <c r="C1280" s="1">
        <v>45536</v>
      </c>
      <c r="D1280" t="s">
        <v>24</v>
      </c>
      <c r="E1280" t="s">
        <v>22</v>
      </c>
      <c r="F1280">
        <v>2</v>
      </c>
      <c r="G1280">
        <v>8.36</v>
      </c>
      <c r="H1280">
        <v>16.72</v>
      </c>
      <c r="I1280" t="str">
        <f t="shared" si="133"/>
        <v>Low</v>
      </c>
      <c r="J1280">
        <v>1.47</v>
      </c>
      <c r="K1280">
        <f t="shared" si="138"/>
        <v>15.249999999999998</v>
      </c>
      <c r="L1280" t="str">
        <f t="shared" si="139"/>
        <v>September</v>
      </c>
      <c r="M1280">
        <f>YEAR(C1280)</f>
        <v>2024</v>
      </c>
      <c r="N1280">
        <v>308</v>
      </c>
      <c r="O1280" t="str">
        <f>IF(N1280&gt;=200,"Platinum",IF(N1280&gt;=100,"Gold",IF(N1280&gt;=50,"Silver","Regular")))</f>
        <v>Platinum</v>
      </c>
      <c r="P1280" s="4" t="str">
        <f t="shared" si="134"/>
        <v>Sunday</v>
      </c>
      <c r="Q1280" s="4" t="str">
        <f t="shared" si="135"/>
        <v>Small Order</v>
      </c>
      <c r="R1280" s="4" t="str">
        <f t="shared" si="136"/>
        <v>Weekend</v>
      </c>
      <c r="S1280" s="4" t="str">
        <f t="shared" si="137"/>
        <v>Regular</v>
      </c>
    </row>
    <row r="1281" spans="1:19" x14ac:dyDescent="0.3">
      <c r="A1281">
        <v>2667</v>
      </c>
      <c r="B1281" t="s">
        <v>31</v>
      </c>
      <c r="C1281" s="1">
        <v>45765</v>
      </c>
      <c r="D1281" t="s">
        <v>16</v>
      </c>
      <c r="E1281" t="s">
        <v>28</v>
      </c>
      <c r="F1281">
        <v>5</v>
      </c>
      <c r="G1281">
        <v>7.49</v>
      </c>
      <c r="H1281">
        <v>37.450000000000003</v>
      </c>
      <c r="I1281" t="str">
        <f t="shared" si="133"/>
        <v>Low</v>
      </c>
      <c r="J1281">
        <v>3.28</v>
      </c>
      <c r="K1281">
        <f t="shared" si="138"/>
        <v>34.17</v>
      </c>
      <c r="L1281" t="str">
        <f t="shared" si="139"/>
        <v>April</v>
      </c>
      <c r="M1281">
        <f>YEAR(C1281)</f>
        <v>2025</v>
      </c>
      <c r="N1281">
        <v>312</v>
      </c>
      <c r="O1281" t="str">
        <f>IF(N1281&gt;=200,"Platinum",IF(N1281&gt;=100,"Gold",IF(N1281&gt;=50,"Silver","Regular")))</f>
        <v>Platinum</v>
      </c>
      <c r="P1281" s="4" t="str">
        <f t="shared" si="134"/>
        <v>Friday</v>
      </c>
      <c r="Q1281" s="4" t="str">
        <f t="shared" si="135"/>
        <v>Medium Order</v>
      </c>
      <c r="R1281" s="4" t="str">
        <f t="shared" si="136"/>
        <v>Weekday</v>
      </c>
      <c r="S1281" s="4" t="str">
        <f t="shared" si="137"/>
        <v>Regular</v>
      </c>
    </row>
    <row r="1282" spans="1:19" x14ac:dyDescent="0.3">
      <c r="A1282">
        <v>7981</v>
      </c>
      <c r="B1282" t="s">
        <v>3</v>
      </c>
      <c r="C1282" s="1">
        <v>45274</v>
      </c>
      <c r="D1282" t="s">
        <v>27</v>
      </c>
      <c r="E1282" t="s">
        <v>37</v>
      </c>
      <c r="F1282">
        <v>2</v>
      </c>
      <c r="G1282">
        <v>14.2</v>
      </c>
      <c r="H1282">
        <v>28.4</v>
      </c>
      <c r="I1282" t="str">
        <f t="shared" ref="I1282:I1345" si="140">IF(J1282=0,"No Discount",IF(J1282&lt;=5,"Low",IF(J1282&lt;=10,"Medium",IF(J1282&lt;=20,"High","Very High"))))</f>
        <v>Low</v>
      </c>
      <c r="J1282">
        <v>2.48</v>
      </c>
      <c r="K1282">
        <f t="shared" si="138"/>
        <v>25.919999999999998</v>
      </c>
      <c r="L1282" t="str">
        <f t="shared" si="139"/>
        <v>December</v>
      </c>
      <c r="M1282">
        <f>YEAR(C1282)</f>
        <v>2023</v>
      </c>
      <c r="N1282">
        <v>16</v>
      </c>
      <c r="O1282" t="str">
        <f>IF(N1282&gt;=200,"Platinum",IF(N1282&gt;=100,"Gold",IF(N1282&gt;=50,"Silver","Regular")))</f>
        <v>Regular</v>
      </c>
      <c r="P1282" s="4" t="str">
        <f t="shared" ref="P1282:P1345" si="141">TEXT(C1282,"dddd")</f>
        <v>Thursday</v>
      </c>
      <c r="Q1282" s="4" t="str">
        <f t="shared" ref="Q1282:Q1345" si="142">IF(F1282&lt;=2,"Small Order",IF(F1282&lt;=5,"Medium Order",IF(F1282&lt;=10,"Large Order","Bulk Order")))</f>
        <v>Small Order</v>
      </c>
      <c r="R1282" s="4" t="str">
        <f t="shared" ref="R1282:R1345" si="143">IF(WEEKDAY(C1282,2)&gt;5,"Weekend","Weekday")</f>
        <v>Weekday</v>
      </c>
      <c r="S1282" s="4" t="str">
        <f t="shared" ref="S1282:S1345" si="144">IF(K1282&gt;=100,"High Value","Regular")</f>
        <v>Regular</v>
      </c>
    </row>
    <row r="1283" spans="1:19" x14ac:dyDescent="0.3">
      <c r="A1283">
        <v>6781</v>
      </c>
      <c r="B1283" t="s">
        <v>31</v>
      </c>
      <c r="C1283" s="1">
        <v>45182</v>
      </c>
      <c r="D1283" t="s">
        <v>17</v>
      </c>
      <c r="E1283" t="s">
        <v>21</v>
      </c>
      <c r="F1283">
        <v>5</v>
      </c>
      <c r="G1283">
        <v>10.32</v>
      </c>
      <c r="H1283">
        <v>51.6</v>
      </c>
      <c r="I1283" t="str">
        <f t="shared" si="140"/>
        <v>Low</v>
      </c>
      <c r="J1283">
        <v>4.4800000000000004</v>
      </c>
      <c r="K1283">
        <f t="shared" ref="K1283:K1346" si="145">MAX(0,H1283-J1283)</f>
        <v>47.120000000000005</v>
      </c>
      <c r="L1283" t="str">
        <f t="shared" ref="L1283:L1346" si="146">TEXT(C1283,"mmmm")</f>
        <v>September</v>
      </c>
      <c r="M1283">
        <f>YEAR(C1283)</f>
        <v>2023</v>
      </c>
      <c r="N1283">
        <v>226</v>
      </c>
      <c r="O1283" t="str">
        <f>IF(N1283&gt;=200,"Platinum",IF(N1283&gt;=100,"Gold",IF(N1283&gt;=50,"Silver","Regular")))</f>
        <v>Platinum</v>
      </c>
      <c r="P1283" s="4" t="str">
        <f t="shared" si="141"/>
        <v>Wednesday</v>
      </c>
      <c r="Q1283" s="4" t="str">
        <f t="shared" si="142"/>
        <v>Medium Order</v>
      </c>
      <c r="R1283" s="4" t="str">
        <f t="shared" si="143"/>
        <v>Weekday</v>
      </c>
      <c r="S1283" s="4" t="str">
        <f t="shared" si="144"/>
        <v>Regular</v>
      </c>
    </row>
    <row r="1284" spans="1:19" x14ac:dyDescent="0.3">
      <c r="A1284">
        <v>1897</v>
      </c>
      <c r="B1284" t="s">
        <v>13</v>
      </c>
      <c r="C1284" s="1">
        <v>45150</v>
      </c>
      <c r="D1284" t="s">
        <v>9</v>
      </c>
      <c r="E1284" t="s">
        <v>32</v>
      </c>
      <c r="F1284">
        <v>5</v>
      </c>
      <c r="G1284">
        <v>7.54</v>
      </c>
      <c r="H1284">
        <v>37.700000000000003</v>
      </c>
      <c r="I1284" t="str">
        <f t="shared" si="140"/>
        <v>Low</v>
      </c>
      <c r="J1284">
        <v>3.27</v>
      </c>
      <c r="K1284">
        <f t="shared" si="145"/>
        <v>34.43</v>
      </c>
      <c r="L1284" t="str">
        <f t="shared" si="146"/>
        <v>August</v>
      </c>
      <c r="M1284">
        <f>YEAR(C1284)</f>
        <v>2023</v>
      </c>
      <c r="N1284">
        <v>196</v>
      </c>
      <c r="O1284" t="str">
        <f>IF(N1284&gt;=200,"Platinum",IF(N1284&gt;=100,"Gold",IF(N1284&gt;=50,"Silver","Regular")))</f>
        <v>Gold</v>
      </c>
      <c r="P1284" s="4" t="str">
        <f t="shared" si="141"/>
        <v>Saturday</v>
      </c>
      <c r="Q1284" s="4" t="str">
        <f t="shared" si="142"/>
        <v>Medium Order</v>
      </c>
      <c r="R1284" s="4" t="str">
        <f t="shared" si="143"/>
        <v>Weekend</v>
      </c>
      <c r="S1284" s="4" t="str">
        <f t="shared" si="144"/>
        <v>Regular</v>
      </c>
    </row>
    <row r="1285" spans="1:19" x14ac:dyDescent="0.3">
      <c r="A1285">
        <v>4804</v>
      </c>
      <c r="B1285" t="s">
        <v>20</v>
      </c>
      <c r="C1285" s="1">
        <v>45560</v>
      </c>
      <c r="D1285" t="s">
        <v>17</v>
      </c>
      <c r="E1285" t="s">
        <v>33</v>
      </c>
      <c r="F1285">
        <v>1</v>
      </c>
      <c r="G1285">
        <v>26.06</v>
      </c>
      <c r="H1285">
        <v>26.06</v>
      </c>
      <c r="I1285" t="str">
        <f t="shared" si="140"/>
        <v>Low</v>
      </c>
      <c r="J1285">
        <v>2.23</v>
      </c>
      <c r="K1285">
        <f t="shared" si="145"/>
        <v>23.83</v>
      </c>
      <c r="L1285" t="str">
        <f t="shared" si="146"/>
        <v>September</v>
      </c>
      <c r="M1285">
        <f>YEAR(C1285)</f>
        <v>2024</v>
      </c>
      <c r="N1285">
        <v>194</v>
      </c>
      <c r="O1285" t="str">
        <f>IF(N1285&gt;=200,"Platinum",IF(N1285&gt;=100,"Gold",IF(N1285&gt;=50,"Silver","Regular")))</f>
        <v>Gold</v>
      </c>
      <c r="P1285" s="4" t="str">
        <f t="shared" si="141"/>
        <v>Wednesday</v>
      </c>
      <c r="Q1285" s="4" t="str">
        <f t="shared" si="142"/>
        <v>Small Order</v>
      </c>
      <c r="R1285" s="4" t="str">
        <f t="shared" si="143"/>
        <v>Weekday</v>
      </c>
      <c r="S1285" s="4" t="str">
        <f t="shared" si="144"/>
        <v>Regular</v>
      </c>
    </row>
    <row r="1286" spans="1:19" x14ac:dyDescent="0.3">
      <c r="A1286">
        <v>6507</v>
      </c>
      <c r="B1286" t="s">
        <v>19</v>
      </c>
      <c r="C1286" s="1">
        <v>45664</v>
      </c>
      <c r="D1286" t="s">
        <v>11</v>
      </c>
      <c r="E1286" t="s">
        <v>22</v>
      </c>
      <c r="F1286">
        <v>2</v>
      </c>
      <c r="G1286">
        <v>16.100000000000001</v>
      </c>
      <c r="H1286">
        <v>32.200000000000003</v>
      </c>
      <c r="I1286" t="str">
        <f t="shared" si="140"/>
        <v>Low</v>
      </c>
      <c r="J1286">
        <v>2.75</v>
      </c>
      <c r="K1286">
        <f t="shared" si="145"/>
        <v>29.450000000000003</v>
      </c>
      <c r="L1286" t="str">
        <f t="shared" si="146"/>
        <v>January</v>
      </c>
      <c r="M1286">
        <f>YEAR(C1286)</f>
        <v>2025</v>
      </c>
      <c r="N1286">
        <v>178</v>
      </c>
      <c r="O1286" t="str">
        <f>IF(N1286&gt;=200,"Platinum",IF(N1286&gt;=100,"Gold",IF(N1286&gt;=50,"Silver","Regular")))</f>
        <v>Gold</v>
      </c>
      <c r="P1286" s="4" t="str">
        <f t="shared" si="141"/>
        <v>Tuesday</v>
      </c>
      <c r="Q1286" s="4" t="str">
        <f t="shared" si="142"/>
        <v>Small Order</v>
      </c>
      <c r="R1286" s="4" t="str">
        <f t="shared" si="143"/>
        <v>Weekday</v>
      </c>
      <c r="S1286" s="4" t="str">
        <f t="shared" si="144"/>
        <v>Regular</v>
      </c>
    </row>
    <row r="1287" spans="1:19" x14ac:dyDescent="0.3">
      <c r="A1287">
        <v>6654</v>
      </c>
      <c r="B1287" t="s">
        <v>31</v>
      </c>
      <c r="C1287" s="1">
        <v>45745</v>
      </c>
      <c r="D1287" t="s">
        <v>16</v>
      </c>
      <c r="E1287" t="s">
        <v>5</v>
      </c>
      <c r="F1287">
        <v>4</v>
      </c>
      <c r="G1287">
        <v>6.3</v>
      </c>
      <c r="H1287">
        <v>25.2</v>
      </c>
      <c r="I1287" t="str">
        <f t="shared" si="140"/>
        <v>Low</v>
      </c>
      <c r="J1287">
        <v>2.15</v>
      </c>
      <c r="K1287">
        <f t="shared" si="145"/>
        <v>23.05</v>
      </c>
      <c r="L1287" t="str">
        <f t="shared" si="146"/>
        <v>March</v>
      </c>
      <c r="M1287">
        <f>YEAR(C1287)</f>
        <v>2025</v>
      </c>
      <c r="N1287">
        <v>181</v>
      </c>
      <c r="O1287" t="str">
        <f>IF(N1287&gt;=200,"Platinum",IF(N1287&gt;=100,"Gold",IF(N1287&gt;=50,"Silver","Regular")))</f>
        <v>Gold</v>
      </c>
      <c r="P1287" s="4" t="str">
        <f t="shared" si="141"/>
        <v>Saturday</v>
      </c>
      <c r="Q1287" s="4" t="str">
        <f t="shared" si="142"/>
        <v>Medium Order</v>
      </c>
      <c r="R1287" s="4" t="str">
        <f t="shared" si="143"/>
        <v>Weekend</v>
      </c>
      <c r="S1287" s="4" t="str">
        <f t="shared" si="144"/>
        <v>Regular</v>
      </c>
    </row>
    <row r="1288" spans="1:19" x14ac:dyDescent="0.3">
      <c r="A1288">
        <v>2631</v>
      </c>
      <c r="B1288" t="s">
        <v>0</v>
      </c>
      <c r="C1288" s="1">
        <v>45631</v>
      </c>
      <c r="D1288" t="s">
        <v>1</v>
      </c>
      <c r="E1288" t="s">
        <v>37</v>
      </c>
      <c r="F1288">
        <v>4</v>
      </c>
      <c r="G1288">
        <v>8.0299999999999994</v>
      </c>
      <c r="H1288">
        <v>32.119999999999997</v>
      </c>
      <c r="I1288" t="str">
        <f t="shared" si="140"/>
        <v>Low</v>
      </c>
      <c r="J1288">
        <v>2.74</v>
      </c>
      <c r="K1288">
        <f t="shared" si="145"/>
        <v>29.379999999999995</v>
      </c>
      <c r="L1288" t="str">
        <f t="shared" si="146"/>
        <v>December</v>
      </c>
      <c r="M1288">
        <f>YEAR(C1288)</f>
        <v>2024</v>
      </c>
      <c r="N1288">
        <v>253</v>
      </c>
      <c r="O1288" t="str">
        <f>IF(N1288&gt;=200,"Platinum",IF(N1288&gt;=100,"Gold",IF(N1288&gt;=50,"Silver","Regular")))</f>
        <v>Platinum</v>
      </c>
      <c r="P1288" s="4" t="str">
        <f t="shared" si="141"/>
        <v>Thursday</v>
      </c>
      <c r="Q1288" s="4" t="str">
        <f t="shared" si="142"/>
        <v>Medium Order</v>
      </c>
      <c r="R1288" s="4" t="str">
        <f t="shared" si="143"/>
        <v>Weekday</v>
      </c>
      <c r="S1288" s="4" t="str">
        <f t="shared" si="144"/>
        <v>Regular</v>
      </c>
    </row>
    <row r="1289" spans="1:19" x14ac:dyDescent="0.3">
      <c r="A1289">
        <v>2419</v>
      </c>
      <c r="B1289" t="s">
        <v>3</v>
      </c>
      <c r="C1289" s="1">
        <v>45361</v>
      </c>
      <c r="D1289" t="s">
        <v>6</v>
      </c>
      <c r="E1289" t="s">
        <v>30</v>
      </c>
      <c r="F1289">
        <v>1</v>
      </c>
      <c r="G1289">
        <v>28.03</v>
      </c>
      <c r="H1289">
        <v>28.03</v>
      </c>
      <c r="I1289" t="str">
        <f t="shared" si="140"/>
        <v>Low</v>
      </c>
      <c r="J1289">
        <v>2.39</v>
      </c>
      <c r="K1289">
        <f t="shared" si="145"/>
        <v>25.64</v>
      </c>
      <c r="L1289" t="str">
        <f t="shared" si="146"/>
        <v>March</v>
      </c>
      <c r="M1289">
        <f>YEAR(C1289)</f>
        <v>2024</v>
      </c>
      <c r="N1289">
        <v>12</v>
      </c>
      <c r="O1289" t="str">
        <f>IF(N1289&gt;=200,"Platinum",IF(N1289&gt;=100,"Gold",IF(N1289&gt;=50,"Silver","Regular")))</f>
        <v>Regular</v>
      </c>
      <c r="P1289" s="4" t="str">
        <f t="shared" si="141"/>
        <v>Sunday</v>
      </c>
      <c r="Q1289" s="4" t="str">
        <f t="shared" si="142"/>
        <v>Small Order</v>
      </c>
      <c r="R1289" s="4" t="str">
        <f t="shared" si="143"/>
        <v>Weekend</v>
      </c>
      <c r="S1289" s="4" t="str">
        <f t="shared" si="144"/>
        <v>Regular</v>
      </c>
    </row>
    <row r="1290" spans="1:19" x14ac:dyDescent="0.3">
      <c r="A1290">
        <v>8062</v>
      </c>
      <c r="B1290" t="s">
        <v>0</v>
      </c>
      <c r="C1290" s="1">
        <v>45420</v>
      </c>
      <c r="D1290" t="s">
        <v>9</v>
      </c>
      <c r="E1290" t="s">
        <v>37</v>
      </c>
      <c r="F1290">
        <v>1</v>
      </c>
      <c r="G1290">
        <v>13.86</v>
      </c>
      <c r="H1290">
        <v>13.86</v>
      </c>
      <c r="I1290" t="str">
        <f t="shared" si="140"/>
        <v>Low</v>
      </c>
      <c r="J1290">
        <v>1.18</v>
      </c>
      <c r="K1290">
        <f t="shared" si="145"/>
        <v>12.68</v>
      </c>
      <c r="L1290" t="str">
        <f t="shared" si="146"/>
        <v>May</v>
      </c>
      <c r="M1290">
        <f>YEAR(C1290)</f>
        <v>2024</v>
      </c>
      <c r="N1290">
        <v>355</v>
      </c>
      <c r="O1290" t="str">
        <f>IF(N1290&gt;=200,"Platinum",IF(N1290&gt;=100,"Gold",IF(N1290&gt;=50,"Silver","Regular")))</f>
        <v>Platinum</v>
      </c>
      <c r="P1290" s="4" t="str">
        <f t="shared" si="141"/>
        <v>Wednesday</v>
      </c>
      <c r="Q1290" s="4" t="str">
        <f t="shared" si="142"/>
        <v>Small Order</v>
      </c>
      <c r="R1290" s="4" t="str">
        <f t="shared" si="143"/>
        <v>Weekday</v>
      </c>
      <c r="S1290" s="4" t="str">
        <f t="shared" si="144"/>
        <v>Regular</v>
      </c>
    </row>
    <row r="1291" spans="1:19" x14ac:dyDescent="0.3">
      <c r="A1291">
        <v>4954</v>
      </c>
      <c r="B1291" t="s">
        <v>0</v>
      </c>
      <c r="C1291" s="1">
        <v>45704</v>
      </c>
      <c r="D1291" t="s">
        <v>1</v>
      </c>
      <c r="E1291" t="s">
        <v>32</v>
      </c>
      <c r="F1291">
        <v>2</v>
      </c>
      <c r="G1291">
        <v>27.16</v>
      </c>
      <c r="H1291">
        <v>54.32</v>
      </c>
      <c r="I1291" t="str">
        <f t="shared" si="140"/>
        <v>Low</v>
      </c>
      <c r="J1291">
        <v>4.62</v>
      </c>
      <c r="K1291">
        <f t="shared" si="145"/>
        <v>49.7</v>
      </c>
      <c r="L1291" t="str">
        <f t="shared" si="146"/>
        <v>February</v>
      </c>
      <c r="M1291">
        <f>YEAR(C1291)</f>
        <v>2025</v>
      </c>
      <c r="N1291">
        <v>227</v>
      </c>
      <c r="O1291" t="str">
        <f>IF(N1291&gt;=200,"Platinum",IF(N1291&gt;=100,"Gold",IF(N1291&gt;=50,"Silver","Regular")))</f>
        <v>Platinum</v>
      </c>
      <c r="P1291" s="4" t="str">
        <f t="shared" si="141"/>
        <v>Sunday</v>
      </c>
      <c r="Q1291" s="4" t="str">
        <f t="shared" si="142"/>
        <v>Small Order</v>
      </c>
      <c r="R1291" s="4" t="str">
        <f t="shared" si="143"/>
        <v>Weekend</v>
      </c>
      <c r="S1291" s="4" t="str">
        <f t="shared" si="144"/>
        <v>Regular</v>
      </c>
    </row>
    <row r="1292" spans="1:19" x14ac:dyDescent="0.3">
      <c r="A1292">
        <v>9189</v>
      </c>
      <c r="B1292" t="s">
        <v>13</v>
      </c>
      <c r="C1292" s="1">
        <v>45801</v>
      </c>
      <c r="D1292" t="s">
        <v>1</v>
      </c>
      <c r="E1292" t="s">
        <v>2</v>
      </c>
      <c r="F1292">
        <v>3</v>
      </c>
      <c r="G1292">
        <v>8.7799999999999994</v>
      </c>
      <c r="H1292">
        <v>26.34</v>
      </c>
      <c r="I1292" t="str">
        <f t="shared" si="140"/>
        <v>Low</v>
      </c>
      <c r="J1292">
        <v>2.23</v>
      </c>
      <c r="K1292">
        <f t="shared" si="145"/>
        <v>24.11</v>
      </c>
      <c r="L1292" t="str">
        <f t="shared" si="146"/>
        <v>May</v>
      </c>
      <c r="M1292">
        <f>YEAR(C1292)</f>
        <v>2025</v>
      </c>
      <c r="N1292">
        <v>128</v>
      </c>
      <c r="O1292" t="str">
        <f>IF(N1292&gt;=200,"Platinum",IF(N1292&gt;=100,"Gold",IF(N1292&gt;=50,"Silver","Regular")))</f>
        <v>Gold</v>
      </c>
      <c r="P1292" s="4" t="str">
        <f t="shared" si="141"/>
        <v>Saturday</v>
      </c>
      <c r="Q1292" s="4" t="str">
        <f t="shared" si="142"/>
        <v>Medium Order</v>
      </c>
      <c r="R1292" s="4" t="str">
        <f t="shared" si="143"/>
        <v>Weekend</v>
      </c>
      <c r="S1292" s="4" t="str">
        <f t="shared" si="144"/>
        <v>Regular</v>
      </c>
    </row>
    <row r="1293" spans="1:19" x14ac:dyDescent="0.3">
      <c r="A1293">
        <v>2899</v>
      </c>
      <c r="B1293" t="s">
        <v>15</v>
      </c>
      <c r="C1293" s="1">
        <v>45745</v>
      </c>
      <c r="D1293" t="s">
        <v>27</v>
      </c>
      <c r="E1293" t="s">
        <v>18</v>
      </c>
      <c r="F1293">
        <v>5</v>
      </c>
      <c r="G1293">
        <v>6.03</v>
      </c>
      <c r="H1293">
        <v>30.15</v>
      </c>
      <c r="I1293" t="str">
        <f t="shared" si="140"/>
        <v>Low</v>
      </c>
      <c r="J1293">
        <v>2.5499999999999998</v>
      </c>
      <c r="K1293">
        <f t="shared" si="145"/>
        <v>27.599999999999998</v>
      </c>
      <c r="L1293" t="str">
        <f t="shared" si="146"/>
        <v>March</v>
      </c>
      <c r="M1293">
        <f>YEAR(C1293)</f>
        <v>2025</v>
      </c>
      <c r="N1293">
        <v>417</v>
      </c>
      <c r="O1293" t="str">
        <f>IF(N1293&gt;=200,"Platinum",IF(N1293&gt;=100,"Gold",IF(N1293&gt;=50,"Silver","Regular")))</f>
        <v>Platinum</v>
      </c>
      <c r="P1293" s="4" t="str">
        <f t="shared" si="141"/>
        <v>Saturday</v>
      </c>
      <c r="Q1293" s="4" t="str">
        <f t="shared" si="142"/>
        <v>Medium Order</v>
      </c>
      <c r="R1293" s="4" t="str">
        <f t="shared" si="143"/>
        <v>Weekend</v>
      </c>
      <c r="S1293" s="4" t="str">
        <f t="shared" si="144"/>
        <v>Regular</v>
      </c>
    </row>
    <row r="1294" spans="1:19" x14ac:dyDescent="0.3">
      <c r="A1294">
        <v>2680</v>
      </c>
      <c r="B1294" t="s">
        <v>20</v>
      </c>
      <c r="C1294" s="1">
        <v>45697</v>
      </c>
      <c r="D1294" t="s">
        <v>34</v>
      </c>
      <c r="E1294" t="s">
        <v>28</v>
      </c>
      <c r="F1294">
        <v>1</v>
      </c>
      <c r="G1294">
        <v>25.92</v>
      </c>
      <c r="H1294">
        <v>25.92</v>
      </c>
      <c r="I1294" t="str">
        <f t="shared" si="140"/>
        <v>Low</v>
      </c>
      <c r="J1294">
        <v>2.19</v>
      </c>
      <c r="K1294">
        <f t="shared" si="145"/>
        <v>23.73</v>
      </c>
      <c r="L1294" t="str">
        <f t="shared" si="146"/>
        <v>February</v>
      </c>
      <c r="M1294">
        <f>YEAR(C1294)</f>
        <v>2025</v>
      </c>
      <c r="N1294">
        <v>42</v>
      </c>
      <c r="O1294" t="str">
        <f>IF(N1294&gt;=200,"Platinum",IF(N1294&gt;=100,"Gold",IF(N1294&gt;=50,"Silver","Regular")))</f>
        <v>Regular</v>
      </c>
      <c r="P1294" s="4" t="str">
        <f t="shared" si="141"/>
        <v>Sunday</v>
      </c>
      <c r="Q1294" s="4" t="str">
        <f t="shared" si="142"/>
        <v>Small Order</v>
      </c>
      <c r="R1294" s="4" t="str">
        <f t="shared" si="143"/>
        <v>Weekend</v>
      </c>
      <c r="S1294" s="4" t="str">
        <f t="shared" si="144"/>
        <v>Regular</v>
      </c>
    </row>
    <row r="1295" spans="1:19" x14ac:dyDescent="0.3">
      <c r="A1295">
        <v>6553</v>
      </c>
      <c r="B1295" t="s">
        <v>15</v>
      </c>
      <c r="C1295" s="1">
        <v>45787</v>
      </c>
      <c r="D1295" t="s">
        <v>24</v>
      </c>
      <c r="E1295" t="s">
        <v>33</v>
      </c>
      <c r="F1295">
        <v>5</v>
      </c>
      <c r="G1295">
        <v>9.76</v>
      </c>
      <c r="H1295">
        <v>48.8</v>
      </c>
      <c r="I1295" t="str">
        <f t="shared" si="140"/>
        <v>Low</v>
      </c>
      <c r="J1295">
        <v>4.1100000000000003</v>
      </c>
      <c r="K1295">
        <f t="shared" si="145"/>
        <v>44.69</v>
      </c>
      <c r="L1295" t="str">
        <f t="shared" si="146"/>
        <v>May</v>
      </c>
      <c r="M1295">
        <f>YEAR(C1295)</f>
        <v>2025</v>
      </c>
      <c r="N1295">
        <v>57</v>
      </c>
      <c r="O1295" t="str">
        <f>IF(N1295&gt;=200,"Platinum",IF(N1295&gt;=100,"Gold",IF(N1295&gt;=50,"Silver","Regular")))</f>
        <v>Silver</v>
      </c>
      <c r="P1295" s="4" t="str">
        <f t="shared" si="141"/>
        <v>Saturday</v>
      </c>
      <c r="Q1295" s="4" t="str">
        <f t="shared" si="142"/>
        <v>Medium Order</v>
      </c>
      <c r="R1295" s="4" t="str">
        <f t="shared" si="143"/>
        <v>Weekend</v>
      </c>
      <c r="S1295" s="4" t="str">
        <f t="shared" si="144"/>
        <v>Regular</v>
      </c>
    </row>
    <row r="1296" spans="1:19" x14ac:dyDescent="0.3">
      <c r="A1296">
        <v>1842</v>
      </c>
      <c r="B1296" t="s">
        <v>25</v>
      </c>
      <c r="C1296" s="1">
        <v>45368</v>
      </c>
      <c r="D1296" t="s">
        <v>27</v>
      </c>
      <c r="E1296" t="s">
        <v>14</v>
      </c>
      <c r="F1296">
        <v>2</v>
      </c>
      <c r="G1296">
        <v>20.21</v>
      </c>
      <c r="H1296">
        <v>40.42</v>
      </c>
      <c r="I1296" t="str">
        <f t="shared" si="140"/>
        <v>Low</v>
      </c>
      <c r="J1296">
        <v>3.37</v>
      </c>
      <c r="K1296">
        <f t="shared" si="145"/>
        <v>37.050000000000004</v>
      </c>
      <c r="L1296" t="str">
        <f t="shared" si="146"/>
        <v>March</v>
      </c>
      <c r="M1296">
        <f>YEAR(C1296)</f>
        <v>2024</v>
      </c>
      <c r="N1296">
        <v>39</v>
      </c>
      <c r="O1296" t="str">
        <f>IF(N1296&gt;=200,"Platinum",IF(N1296&gt;=100,"Gold",IF(N1296&gt;=50,"Silver","Regular")))</f>
        <v>Regular</v>
      </c>
      <c r="P1296" s="4" t="str">
        <f t="shared" si="141"/>
        <v>Sunday</v>
      </c>
      <c r="Q1296" s="4" t="str">
        <f t="shared" si="142"/>
        <v>Small Order</v>
      </c>
      <c r="R1296" s="4" t="str">
        <f t="shared" si="143"/>
        <v>Weekend</v>
      </c>
      <c r="S1296" s="4" t="str">
        <f t="shared" si="144"/>
        <v>Regular</v>
      </c>
    </row>
    <row r="1297" spans="1:19" x14ac:dyDescent="0.3">
      <c r="A1297">
        <v>9401</v>
      </c>
      <c r="B1297" t="s">
        <v>13</v>
      </c>
      <c r="C1297" s="1">
        <v>45830</v>
      </c>
      <c r="D1297" t="s">
        <v>9</v>
      </c>
      <c r="E1297" t="s">
        <v>21</v>
      </c>
      <c r="F1297">
        <v>1</v>
      </c>
      <c r="G1297">
        <v>26.89</v>
      </c>
      <c r="H1297">
        <v>26.89</v>
      </c>
      <c r="I1297" t="str">
        <f t="shared" si="140"/>
        <v>Low</v>
      </c>
      <c r="J1297">
        <v>2.2400000000000002</v>
      </c>
      <c r="K1297">
        <f t="shared" si="145"/>
        <v>24.65</v>
      </c>
      <c r="L1297" t="str">
        <f t="shared" si="146"/>
        <v>June</v>
      </c>
      <c r="M1297">
        <f>YEAR(C1297)</f>
        <v>2025</v>
      </c>
      <c r="N1297">
        <v>471</v>
      </c>
      <c r="O1297" t="str">
        <f>IF(N1297&gt;=200,"Platinum",IF(N1297&gt;=100,"Gold",IF(N1297&gt;=50,"Silver","Regular")))</f>
        <v>Platinum</v>
      </c>
      <c r="P1297" s="4" t="str">
        <f t="shared" si="141"/>
        <v>Sunday</v>
      </c>
      <c r="Q1297" s="4" t="str">
        <f t="shared" si="142"/>
        <v>Small Order</v>
      </c>
      <c r="R1297" s="4" t="str">
        <f t="shared" si="143"/>
        <v>Weekend</v>
      </c>
      <c r="S1297" s="4" t="str">
        <f t="shared" si="144"/>
        <v>Regular</v>
      </c>
    </row>
    <row r="1298" spans="1:19" x14ac:dyDescent="0.3">
      <c r="A1298">
        <v>3621</v>
      </c>
      <c r="B1298" t="s">
        <v>15</v>
      </c>
      <c r="C1298" s="1">
        <v>45169</v>
      </c>
      <c r="D1298" t="s">
        <v>24</v>
      </c>
      <c r="E1298" t="s">
        <v>32</v>
      </c>
      <c r="F1298">
        <v>2</v>
      </c>
      <c r="G1298">
        <v>21.5</v>
      </c>
      <c r="H1298">
        <v>43</v>
      </c>
      <c r="I1298" t="str">
        <f t="shared" si="140"/>
        <v>Low</v>
      </c>
      <c r="J1298">
        <v>3.58</v>
      </c>
      <c r="K1298">
        <f t="shared" si="145"/>
        <v>39.42</v>
      </c>
      <c r="L1298" t="str">
        <f t="shared" si="146"/>
        <v>August</v>
      </c>
      <c r="M1298">
        <f>YEAR(C1298)</f>
        <v>2023</v>
      </c>
      <c r="N1298">
        <v>292</v>
      </c>
      <c r="O1298" t="str">
        <f>IF(N1298&gt;=200,"Platinum",IF(N1298&gt;=100,"Gold",IF(N1298&gt;=50,"Silver","Regular")))</f>
        <v>Platinum</v>
      </c>
      <c r="P1298" s="4" t="str">
        <f t="shared" si="141"/>
        <v>Thursday</v>
      </c>
      <c r="Q1298" s="4" t="str">
        <f t="shared" si="142"/>
        <v>Small Order</v>
      </c>
      <c r="R1298" s="4" t="str">
        <f t="shared" si="143"/>
        <v>Weekday</v>
      </c>
      <c r="S1298" s="4" t="str">
        <f t="shared" si="144"/>
        <v>Regular</v>
      </c>
    </row>
    <row r="1299" spans="1:19" x14ac:dyDescent="0.3">
      <c r="A1299">
        <v>2679</v>
      </c>
      <c r="B1299" t="s">
        <v>8</v>
      </c>
      <c r="C1299" s="1">
        <v>45670</v>
      </c>
      <c r="D1299" t="s">
        <v>9</v>
      </c>
      <c r="E1299" t="s">
        <v>10</v>
      </c>
      <c r="F1299">
        <v>3</v>
      </c>
      <c r="G1299">
        <v>5.5</v>
      </c>
      <c r="H1299">
        <v>16.5</v>
      </c>
      <c r="I1299" t="str">
        <f t="shared" si="140"/>
        <v>Low</v>
      </c>
      <c r="J1299">
        <v>1.37</v>
      </c>
      <c r="K1299">
        <f t="shared" si="145"/>
        <v>15.129999999999999</v>
      </c>
      <c r="L1299" t="str">
        <f t="shared" si="146"/>
        <v>January</v>
      </c>
      <c r="M1299">
        <f>YEAR(C1299)</f>
        <v>2025</v>
      </c>
      <c r="N1299">
        <v>490</v>
      </c>
      <c r="O1299" t="str">
        <f>IF(N1299&gt;=200,"Platinum",IF(N1299&gt;=100,"Gold",IF(N1299&gt;=50,"Silver","Regular")))</f>
        <v>Platinum</v>
      </c>
      <c r="P1299" s="4" t="str">
        <f t="shared" si="141"/>
        <v>Monday</v>
      </c>
      <c r="Q1299" s="4" t="str">
        <f t="shared" si="142"/>
        <v>Medium Order</v>
      </c>
      <c r="R1299" s="4" t="str">
        <f t="shared" si="143"/>
        <v>Weekday</v>
      </c>
      <c r="S1299" s="4" t="str">
        <f t="shared" si="144"/>
        <v>Regular</v>
      </c>
    </row>
    <row r="1300" spans="1:19" x14ac:dyDescent="0.3">
      <c r="A1300">
        <v>3344</v>
      </c>
      <c r="B1300" t="s">
        <v>31</v>
      </c>
      <c r="C1300" s="1">
        <v>45325</v>
      </c>
      <c r="D1300" t="s">
        <v>6</v>
      </c>
      <c r="E1300" t="s">
        <v>14</v>
      </c>
      <c r="F1300">
        <v>5</v>
      </c>
      <c r="G1300">
        <v>11.31</v>
      </c>
      <c r="H1300">
        <v>56.55</v>
      </c>
      <c r="I1300" t="str">
        <f t="shared" si="140"/>
        <v>Low</v>
      </c>
      <c r="J1300">
        <v>4.68</v>
      </c>
      <c r="K1300">
        <f t="shared" si="145"/>
        <v>51.87</v>
      </c>
      <c r="L1300" t="str">
        <f t="shared" si="146"/>
        <v>February</v>
      </c>
      <c r="M1300">
        <f>YEAR(C1300)</f>
        <v>2024</v>
      </c>
      <c r="N1300">
        <v>398</v>
      </c>
      <c r="O1300" t="str">
        <f>IF(N1300&gt;=200,"Platinum",IF(N1300&gt;=100,"Gold",IF(N1300&gt;=50,"Silver","Regular")))</f>
        <v>Platinum</v>
      </c>
      <c r="P1300" s="4" t="str">
        <f t="shared" si="141"/>
        <v>Saturday</v>
      </c>
      <c r="Q1300" s="4" t="str">
        <f t="shared" si="142"/>
        <v>Medium Order</v>
      </c>
      <c r="R1300" s="4" t="str">
        <f t="shared" si="143"/>
        <v>Weekend</v>
      </c>
      <c r="S1300" s="4" t="str">
        <f t="shared" si="144"/>
        <v>Regular</v>
      </c>
    </row>
    <row r="1301" spans="1:19" x14ac:dyDescent="0.3">
      <c r="A1301">
        <v>2315</v>
      </c>
      <c r="B1301" t="s">
        <v>8</v>
      </c>
      <c r="C1301" s="1">
        <v>45806</v>
      </c>
      <c r="D1301" t="s">
        <v>24</v>
      </c>
      <c r="E1301" t="s">
        <v>36</v>
      </c>
      <c r="F1301">
        <v>2</v>
      </c>
      <c r="G1301">
        <v>27.38</v>
      </c>
      <c r="H1301">
        <v>54.76</v>
      </c>
      <c r="I1301" t="str">
        <f t="shared" si="140"/>
        <v>Low</v>
      </c>
      <c r="J1301">
        <v>4.51</v>
      </c>
      <c r="K1301">
        <f t="shared" si="145"/>
        <v>50.25</v>
      </c>
      <c r="L1301" t="str">
        <f t="shared" si="146"/>
        <v>May</v>
      </c>
      <c r="M1301">
        <f>YEAR(C1301)</f>
        <v>2025</v>
      </c>
      <c r="N1301">
        <v>42</v>
      </c>
      <c r="O1301" t="str">
        <f>IF(N1301&gt;=200,"Platinum",IF(N1301&gt;=100,"Gold",IF(N1301&gt;=50,"Silver","Regular")))</f>
        <v>Regular</v>
      </c>
      <c r="P1301" s="4" t="str">
        <f t="shared" si="141"/>
        <v>Thursday</v>
      </c>
      <c r="Q1301" s="4" t="str">
        <f t="shared" si="142"/>
        <v>Small Order</v>
      </c>
      <c r="R1301" s="4" t="str">
        <f t="shared" si="143"/>
        <v>Weekday</v>
      </c>
      <c r="S1301" s="4" t="str">
        <f t="shared" si="144"/>
        <v>Regular</v>
      </c>
    </row>
    <row r="1302" spans="1:19" x14ac:dyDescent="0.3">
      <c r="A1302">
        <v>4376</v>
      </c>
      <c r="B1302" t="s">
        <v>49</v>
      </c>
      <c r="C1302" s="1">
        <v>45197</v>
      </c>
      <c r="D1302" t="s">
        <v>24</v>
      </c>
      <c r="E1302" t="s">
        <v>37</v>
      </c>
      <c r="F1302">
        <v>2</v>
      </c>
      <c r="G1302">
        <v>18.57</v>
      </c>
      <c r="H1302">
        <v>37.14</v>
      </c>
      <c r="I1302" t="str">
        <f t="shared" si="140"/>
        <v>Low</v>
      </c>
      <c r="J1302">
        <v>3.05</v>
      </c>
      <c r="K1302">
        <f t="shared" si="145"/>
        <v>34.090000000000003</v>
      </c>
      <c r="L1302" t="str">
        <f t="shared" si="146"/>
        <v>September</v>
      </c>
      <c r="M1302">
        <f>YEAR(C1302)</f>
        <v>2023</v>
      </c>
      <c r="N1302">
        <v>274</v>
      </c>
      <c r="O1302" t="str">
        <f>IF(N1302&gt;=200,"Platinum",IF(N1302&gt;=100,"Gold",IF(N1302&gt;=50,"Silver","Regular")))</f>
        <v>Platinum</v>
      </c>
      <c r="P1302" s="4" t="str">
        <f t="shared" si="141"/>
        <v>Thursday</v>
      </c>
      <c r="Q1302" s="4" t="str">
        <f t="shared" si="142"/>
        <v>Small Order</v>
      </c>
      <c r="R1302" s="4" t="str">
        <f t="shared" si="143"/>
        <v>Weekday</v>
      </c>
      <c r="S1302" s="4" t="str">
        <f t="shared" si="144"/>
        <v>Regular</v>
      </c>
    </row>
    <row r="1303" spans="1:19" x14ac:dyDescent="0.3">
      <c r="A1303">
        <v>5135</v>
      </c>
      <c r="B1303" t="s">
        <v>15</v>
      </c>
      <c r="C1303" s="1">
        <v>45396</v>
      </c>
      <c r="D1303" t="s">
        <v>16</v>
      </c>
      <c r="E1303" t="s">
        <v>35</v>
      </c>
      <c r="F1303">
        <v>2</v>
      </c>
      <c r="G1303">
        <v>28.94</v>
      </c>
      <c r="H1303">
        <v>57.88</v>
      </c>
      <c r="I1303" t="str">
        <f t="shared" si="140"/>
        <v>Low</v>
      </c>
      <c r="J1303">
        <v>4.74</v>
      </c>
      <c r="K1303">
        <f t="shared" si="145"/>
        <v>53.14</v>
      </c>
      <c r="L1303" t="str">
        <f t="shared" si="146"/>
        <v>April</v>
      </c>
      <c r="M1303">
        <f>YEAR(C1303)</f>
        <v>2024</v>
      </c>
      <c r="N1303">
        <v>2</v>
      </c>
      <c r="O1303" t="str">
        <f>IF(N1303&gt;=200,"Platinum",IF(N1303&gt;=100,"Gold",IF(N1303&gt;=50,"Silver","Regular")))</f>
        <v>Regular</v>
      </c>
      <c r="P1303" s="4" t="str">
        <f t="shared" si="141"/>
        <v>Sunday</v>
      </c>
      <c r="Q1303" s="4" t="str">
        <f t="shared" si="142"/>
        <v>Small Order</v>
      </c>
      <c r="R1303" s="4" t="str">
        <f t="shared" si="143"/>
        <v>Weekend</v>
      </c>
      <c r="S1303" s="4" t="str">
        <f t="shared" si="144"/>
        <v>Regular</v>
      </c>
    </row>
    <row r="1304" spans="1:19" x14ac:dyDescent="0.3">
      <c r="A1304">
        <v>4803</v>
      </c>
      <c r="B1304" t="s">
        <v>20</v>
      </c>
      <c r="C1304" s="1">
        <v>45796</v>
      </c>
      <c r="D1304" t="s">
        <v>17</v>
      </c>
      <c r="E1304" t="s">
        <v>12</v>
      </c>
      <c r="F1304">
        <v>4</v>
      </c>
      <c r="G1304">
        <v>11.99</v>
      </c>
      <c r="H1304">
        <v>47.96</v>
      </c>
      <c r="I1304" t="str">
        <f t="shared" si="140"/>
        <v>Low</v>
      </c>
      <c r="J1304">
        <v>3.89</v>
      </c>
      <c r="K1304">
        <f t="shared" si="145"/>
        <v>44.07</v>
      </c>
      <c r="L1304" t="str">
        <f t="shared" si="146"/>
        <v>May</v>
      </c>
      <c r="M1304">
        <f>YEAR(C1304)</f>
        <v>2025</v>
      </c>
      <c r="N1304">
        <v>224</v>
      </c>
      <c r="O1304" t="str">
        <f>IF(N1304&gt;=200,"Platinum",IF(N1304&gt;=100,"Gold",IF(N1304&gt;=50,"Silver","Regular")))</f>
        <v>Platinum</v>
      </c>
      <c r="P1304" s="4" t="str">
        <f t="shared" si="141"/>
        <v>Monday</v>
      </c>
      <c r="Q1304" s="4" t="str">
        <f t="shared" si="142"/>
        <v>Medium Order</v>
      </c>
      <c r="R1304" s="4" t="str">
        <f t="shared" si="143"/>
        <v>Weekday</v>
      </c>
      <c r="S1304" s="4" t="str">
        <f t="shared" si="144"/>
        <v>Regular</v>
      </c>
    </row>
    <row r="1305" spans="1:19" x14ac:dyDescent="0.3">
      <c r="A1305">
        <v>1372</v>
      </c>
      <c r="B1305" t="s">
        <v>13</v>
      </c>
      <c r="C1305" s="1">
        <v>45376</v>
      </c>
      <c r="D1305" t="s">
        <v>23</v>
      </c>
      <c r="E1305" t="s">
        <v>21</v>
      </c>
      <c r="F1305">
        <v>3</v>
      </c>
      <c r="G1305">
        <v>15.99</v>
      </c>
      <c r="H1305">
        <v>47.97</v>
      </c>
      <c r="I1305" t="str">
        <f t="shared" si="140"/>
        <v>Low</v>
      </c>
      <c r="J1305">
        <v>3.84</v>
      </c>
      <c r="K1305">
        <f t="shared" si="145"/>
        <v>44.129999999999995</v>
      </c>
      <c r="L1305" t="str">
        <f t="shared" si="146"/>
        <v>March</v>
      </c>
      <c r="M1305">
        <f>YEAR(C1305)</f>
        <v>2024</v>
      </c>
      <c r="N1305">
        <v>223</v>
      </c>
      <c r="O1305" t="str">
        <f>IF(N1305&gt;=200,"Platinum",IF(N1305&gt;=100,"Gold",IF(N1305&gt;=50,"Silver","Regular")))</f>
        <v>Platinum</v>
      </c>
      <c r="P1305" s="4" t="str">
        <f t="shared" si="141"/>
        <v>Monday</v>
      </c>
      <c r="Q1305" s="4" t="str">
        <f t="shared" si="142"/>
        <v>Medium Order</v>
      </c>
      <c r="R1305" s="4" t="str">
        <f t="shared" si="143"/>
        <v>Weekday</v>
      </c>
      <c r="S1305" s="4" t="str">
        <f t="shared" si="144"/>
        <v>Regular</v>
      </c>
    </row>
    <row r="1306" spans="1:19" x14ac:dyDescent="0.3">
      <c r="A1306">
        <v>1272</v>
      </c>
      <c r="B1306" t="s">
        <v>3</v>
      </c>
      <c r="C1306" s="1">
        <v>45431</v>
      </c>
      <c r="D1306" t="s">
        <v>9</v>
      </c>
      <c r="E1306" t="s">
        <v>14</v>
      </c>
      <c r="F1306">
        <v>2</v>
      </c>
      <c r="G1306">
        <v>8.5</v>
      </c>
      <c r="H1306">
        <v>17</v>
      </c>
      <c r="I1306" t="str">
        <f t="shared" si="140"/>
        <v>Low</v>
      </c>
      <c r="J1306">
        <v>1.36</v>
      </c>
      <c r="K1306">
        <f t="shared" si="145"/>
        <v>15.64</v>
      </c>
      <c r="L1306" t="str">
        <f t="shared" si="146"/>
        <v>May</v>
      </c>
      <c r="M1306">
        <f>YEAR(C1306)</f>
        <v>2024</v>
      </c>
      <c r="N1306">
        <v>148</v>
      </c>
      <c r="O1306" t="str">
        <f>IF(N1306&gt;=200,"Platinum",IF(N1306&gt;=100,"Gold",IF(N1306&gt;=50,"Silver","Regular")))</f>
        <v>Gold</v>
      </c>
      <c r="P1306" s="4" t="str">
        <f t="shared" si="141"/>
        <v>Sunday</v>
      </c>
      <c r="Q1306" s="4" t="str">
        <f t="shared" si="142"/>
        <v>Small Order</v>
      </c>
      <c r="R1306" s="4" t="str">
        <f t="shared" si="143"/>
        <v>Weekend</v>
      </c>
      <c r="S1306" s="4" t="str">
        <f t="shared" si="144"/>
        <v>Regular</v>
      </c>
    </row>
    <row r="1307" spans="1:19" x14ac:dyDescent="0.3">
      <c r="A1307">
        <v>9525</v>
      </c>
      <c r="B1307" t="s">
        <v>8</v>
      </c>
      <c r="C1307" s="1">
        <v>45488</v>
      </c>
      <c r="D1307" t="s">
        <v>11</v>
      </c>
      <c r="E1307" t="s">
        <v>26</v>
      </c>
      <c r="F1307">
        <v>3</v>
      </c>
      <c r="G1307">
        <v>19.07</v>
      </c>
      <c r="H1307">
        <v>57.21</v>
      </c>
      <c r="I1307" t="str">
        <f t="shared" si="140"/>
        <v>Low</v>
      </c>
      <c r="J1307">
        <v>4.5599999999999996</v>
      </c>
      <c r="K1307">
        <f t="shared" si="145"/>
        <v>52.65</v>
      </c>
      <c r="L1307" t="str">
        <f t="shared" si="146"/>
        <v>July</v>
      </c>
      <c r="M1307">
        <f>YEAR(C1307)</f>
        <v>2024</v>
      </c>
      <c r="N1307">
        <v>481</v>
      </c>
      <c r="O1307" t="str">
        <f>IF(N1307&gt;=200,"Platinum",IF(N1307&gt;=100,"Gold",IF(N1307&gt;=50,"Silver","Regular")))</f>
        <v>Platinum</v>
      </c>
      <c r="P1307" s="4" t="str">
        <f t="shared" si="141"/>
        <v>Monday</v>
      </c>
      <c r="Q1307" s="4" t="str">
        <f t="shared" si="142"/>
        <v>Medium Order</v>
      </c>
      <c r="R1307" s="4" t="str">
        <f t="shared" si="143"/>
        <v>Weekday</v>
      </c>
      <c r="S1307" s="4" t="str">
        <f t="shared" si="144"/>
        <v>Regular</v>
      </c>
    </row>
    <row r="1308" spans="1:19" x14ac:dyDescent="0.3">
      <c r="A1308">
        <v>6111</v>
      </c>
      <c r="B1308" t="s">
        <v>19</v>
      </c>
      <c r="C1308" s="1">
        <v>45592</v>
      </c>
      <c r="D1308" t="s">
        <v>23</v>
      </c>
      <c r="E1308" t="s">
        <v>21</v>
      </c>
      <c r="F1308">
        <v>2</v>
      </c>
      <c r="G1308">
        <v>19.600000000000001</v>
      </c>
      <c r="H1308">
        <v>39.200000000000003</v>
      </c>
      <c r="I1308" t="str">
        <f t="shared" si="140"/>
        <v>Low</v>
      </c>
      <c r="J1308">
        <v>3.12</v>
      </c>
      <c r="K1308">
        <f t="shared" si="145"/>
        <v>36.080000000000005</v>
      </c>
      <c r="L1308" t="str">
        <f t="shared" si="146"/>
        <v>October</v>
      </c>
      <c r="M1308">
        <f>YEAR(C1308)</f>
        <v>2024</v>
      </c>
      <c r="N1308">
        <v>346</v>
      </c>
      <c r="O1308" t="str">
        <f>IF(N1308&gt;=200,"Platinum",IF(N1308&gt;=100,"Gold",IF(N1308&gt;=50,"Silver","Regular")))</f>
        <v>Platinum</v>
      </c>
      <c r="P1308" s="4" t="str">
        <f t="shared" si="141"/>
        <v>Sunday</v>
      </c>
      <c r="Q1308" s="4" t="str">
        <f t="shared" si="142"/>
        <v>Small Order</v>
      </c>
      <c r="R1308" s="4" t="str">
        <f t="shared" si="143"/>
        <v>Weekend</v>
      </c>
      <c r="S1308" s="4" t="str">
        <f t="shared" si="144"/>
        <v>Regular</v>
      </c>
    </row>
    <row r="1309" spans="1:19" x14ac:dyDescent="0.3">
      <c r="A1309">
        <v>2106</v>
      </c>
      <c r="B1309" t="s">
        <v>20</v>
      </c>
      <c r="C1309" s="1">
        <v>45155</v>
      </c>
      <c r="D1309" t="s">
        <v>9</v>
      </c>
      <c r="E1309" t="s">
        <v>37</v>
      </c>
      <c r="F1309">
        <v>2</v>
      </c>
      <c r="G1309">
        <v>23.09</v>
      </c>
      <c r="H1309">
        <v>46.18</v>
      </c>
      <c r="I1309" t="str">
        <f t="shared" si="140"/>
        <v>Low</v>
      </c>
      <c r="J1309">
        <v>3.6</v>
      </c>
      <c r="K1309">
        <f t="shared" si="145"/>
        <v>42.58</v>
      </c>
      <c r="L1309" t="str">
        <f t="shared" si="146"/>
        <v>August</v>
      </c>
      <c r="M1309">
        <f>YEAR(C1309)</f>
        <v>2023</v>
      </c>
      <c r="N1309">
        <v>18</v>
      </c>
      <c r="O1309" t="str">
        <f>IF(N1309&gt;=200,"Platinum",IF(N1309&gt;=100,"Gold",IF(N1309&gt;=50,"Silver","Regular")))</f>
        <v>Regular</v>
      </c>
      <c r="P1309" s="4" t="str">
        <f t="shared" si="141"/>
        <v>Thursday</v>
      </c>
      <c r="Q1309" s="4" t="str">
        <f t="shared" si="142"/>
        <v>Small Order</v>
      </c>
      <c r="R1309" s="4" t="str">
        <f t="shared" si="143"/>
        <v>Weekday</v>
      </c>
      <c r="S1309" s="4" t="str">
        <f t="shared" si="144"/>
        <v>Regular</v>
      </c>
    </row>
    <row r="1310" spans="1:19" x14ac:dyDescent="0.3">
      <c r="A1310">
        <v>7071</v>
      </c>
      <c r="B1310" t="s">
        <v>20</v>
      </c>
      <c r="C1310" s="1">
        <v>45198</v>
      </c>
      <c r="D1310" t="s">
        <v>24</v>
      </c>
      <c r="E1310" t="s">
        <v>33</v>
      </c>
      <c r="F1310">
        <v>1</v>
      </c>
      <c r="G1310">
        <v>27.74</v>
      </c>
      <c r="H1310">
        <v>27.74</v>
      </c>
      <c r="I1310" t="str">
        <f t="shared" si="140"/>
        <v>Low</v>
      </c>
      <c r="J1310">
        <v>2.15</v>
      </c>
      <c r="K1310">
        <f t="shared" si="145"/>
        <v>25.59</v>
      </c>
      <c r="L1310" t="str">
        <f t="shared" si="146"/>
        <v>September</v>
      </c>
      <c r="M1310">
        <f>YEAR(C1310)</f>
        <v>2023</v>
      </c>
      <c r="N1310">
        <v>485</v>
      </c>
      <c r="O1310" t="str">
        <f>IF(N1310&gt;=200,"Platinum",IF(N1310&gt;=100,"Gold",IF(N1310&gt;=50,"Silver","Regular")))</f>
        <v>Platinum</v>
      </c>
      <c r="P1310" s="4" t="str">
        <f t="shared" si="141"/>
        <v>Friday</v>
      </c>
      <c r="Q1310" s="4" t="str">
        <f t="shared" si="142"/>
        <v>Small Order</v>
      </c>
      <c r="R1310" s="4" t="str">
        <f t="shared" si="143"/>
        <v>Weekday</v>
      </c>
      <c r="S1310" s="4" t="str">
        <f t="shared" si="144"/>
        <v>Regular</v>
      </c>
    </row>
    <row r="1311" spans="1:19" x14ac:dyDescent="0.3">
      <c r="A1311">
        <v>7625</v>
      </c>
      <c r="B1311" t="s">
        <v>19</v>
      </c>
      <c r="C1311" s="1">
        <v>45682</v>
      </c>
      <c r="D1311" t="s">
        <v>23</v>
      </c>
      <c r="E1311" t="s">
        <v>28</v>
      </c>
      <c r="F1311">
        <v>3</v>
      </c>
      <c r="G1311">
        <v>18.309999999999999</v>
      </c>
      <c r="H1311">
        <v>54.93</v>
      </c>
      <c r="I1311" t="str">
        <f t="shared" si="140"/>
        <v>Low</v>
      </c>
      <c r="J1311">
        <v>4.2300000000000004</v>
      </c>
      <c r="K1311">
        <f t="shared" si="145"/>
        <v>50.7</v>
      </c>
      <c r="L1311" t="str">
        <f t="shared" si="146"/>
        <v>January</v>
      </c>
      <c r="M1311">
        <f>YEAR(C1311)</f>
        <v>2025</v>
      </c>
      <c r="N1311">
        <v>15</v>
      </c>
      <c r="O1311" t="str">
        <f>IF(N1311&gt;=200,"Platinum",IF(N1311&gt;=100,"Gold",IF(N1311&gt;=50,"Silver","Regular")))</f>
        <v>Regular</v>
      </c>
      <c r="P1311" s="4" t="str">
        <f t="shared" si="141"/>
        <v>Saturday</v>
      </c>
      <c r="Q1311" s="4" t="str">
        <f t="shared" si="142"/>
        <v>Medium Order</v>
      </c>
      <c r="R1311" s="4" t="str">
        <f t="shared" si="143"/>
        <v>Weekend</v>
      </c>
      <c r="S1311" s="4" t="str">
        <f t="shared" si="144"/>
        <v>Regular</v>
      </c>
    </row>
    <row r="1312" spans="1:19" x14ac:dyDescent="0.3">
      <c r="A1312">
        <v>4273</v>
      </c>
      <c r="B1312" t="s">
        <v>25</v>
      </c>
      <c r="C1312" s="1">
        <v>45604</v>
      </c>
      <c r="D1312" t="s">
        <v>4</v>
      </c>
      <c r="E1312" t="s">
        <v>12</v>
      </c>
      <c r="F1312">
        <v>3</v>
      </c>
      <c r="G1312">
        <v>15.57</v>
      </c>
      <c r="H1312">
        <v>46.71</v>
      </c>
      <c r="I1312" t="str">
        <f t="shared" si="140"/>
        <v>Low</v>
      </c>
      <c r="J1312">
        <v>3.59</v>
      </c>
      <c r="K1312">
        <f t="shared" si="145"/>
        <v>43.120000000000005</v>
      </c>
      <c r="L1312" t="str">
        <f t="shared" si="146"/>
        <v>November</v>
      </c>
      <c r="M1312">
        <f>YEAR(C1312)</f>
        <v>2024</v>
      </c>
      <c r="N1312">
        <v>6</v>
      </c>
      <c r="O1312" t="str">
        <f>IF(N1312&gt;=200,"Platinum",IF(N1312&gt;=100,"Gold",IF(N1312&gt;=50,"Silver","Regular")))</f>
        <v>Regular</v>
      </c>
      <c r="P1312" s="4" t="str">
        <f t="shared" si="141"/>
        <v>Friday</v>
      </c>
      <c r="Q1312" s="4" t="str">
        <f t="shared" si="142"/>
        <v>Medium Order</v>
      </c>
      <c r="R1312" s="4" t="str">
        <f t="shared" si="143"/>
        <v>Weekday</v>
      </c>
      <c r="S1312" s="4" t="str">
        <f t="shared" si="144"/>
        <v>Regular</v>
      </c>
    </row>
    <row r="1313" spans="1:19" x14ac:dyDescent="0.3">
      <c r="A1313">
        <v>6427</v>
      </c>
      <c r="B1313" t="s">
        <v>31</v>
      </c>
      <c r="C1313" s="1">
        <v>45668</v>
      </c>
      <c r="D1313" t="s">
        <v>4</v>
      </c>
      <c r="E1313" t="s">
        <v>12</v>
      </c>
      <c r="F1313">
        <v>2</v>
      </c>
      <c r="G1313">
        <v>25.74</v>
      </c>
      <c r="H1313">
        <v>51.48</v>
      </c>
      <c r="I1313" t="str">
        <f t="shared" si="140"/>
        <v>Low</v>
      </c>
      <c r="J1313">
        <v>3.95</v>
      </c>
      <c r="K1313">
        <f t="shared" si="145"/>
        <v>47.529999999999994</v>
      </c>
      <c r="L1313" t="str">
        <f t="shared" si="146"/>
        <v>January</v>
      </c>
      <c r="M1313">
        <f>YEAR(C1313)</f>
        <v>2025</v>
      </c>
      <c r="N1313">
        <v>488</v>
      </c>
      <c r="O1313" t="str">
        <f>IF(N1313&gt;=200,"Platinum",IF(N1313&gt;=100,"Gold",IF(N1313&gt;=50,"Silver","Regular")))</f>
        <v>Platinum</v>
      </c>
      <c r="P1313" s="4" t="str">
        <f t="shared" si="141"/>
        <v>Saturday</v>
      </c>
      <c r="Q1313" s="4" t="str">
        <f t="shared" si="142"/>
        <v>Small Order</v>
      </c>
      <c r="R1313" s="4" t="str">
        <f t="shared" si="143"/>
        <v>Weekend</v>
      </c>
      <c r="S1313" s="4" t="str">
        <f t="shared" si="144"/>
        <v>Regular</v>
      </c>
    </row>
    <row r="1314" spans="1:19" x14ac:dyDescent="0.3">
      <c r="A1314">
        <v>6062</v>
      </c>
      <c r="B1314" t="s">
        <v>20</v>
      </c>
      <c r="C1314" s="1">
        <v>45860</v>
      </c>
      <c r="D1314" t="s">
        <v>17</v>
      </c>
      <c r="E1314" t="s">
        <v>36</v>
      </c>
      <c r="F1314">
        <v>2</v>
      </c>
      <c r="G1314">
        <v>21.64</v>
      </c>
      <c r="H1314">
        <v>43.28</v>
      </c>
      <c r="I1314" t="str">
        <f t="shared" si="140"/>
        <v>Low</v>
      </c>
      <c r="J1314">
        <v>3.31</v>
      </c>
      <c r="K1314">
        <f t="shared" si="145"/>
        <v>39.97</v>
      </c>
      <c r="L1314" t="str">
        <f t="shared" si="146"/>
        <v>July</v>
      </c>
      <c r="M1314">
        <f>YEAR(C1314)</f>
        <v>2025</v>
      </c>
      <c r="N1314">
        <v>137</v>
      </c>
      <c r="O1314" t="str">
        <f>IF(N1314&gt;=200,"Platinum",IF(N1314&gt;=100,"Gold",IF(N1314&gt;=50,"Silver","Regular")))</f>
        <v>Gold</v>
      </c>
      <c r="P1314" s="4" t="str">
        <f t="shared" si="141"/>
        <v>Tuesday</v>
      </c>
      <c r="Q1314" s="4" t="str">
        <f t="shared" si="142"/>
        <v>Small Order</v>
      </c>
      <c r="R1314" s="4" t="str">
        <f t="shared" si="143"/>
        <v>Weekday</v>
      </c>
      <c r="S1314" s="4" t="str">
        <f t="shared" si="144"/>
        <v>Regular</v>
      </c>
    </row>
    <row r="1315" spans="1:19" x14ac:dyDescent="0.3">
      <c r="A1315">
        <v>6364</v>
      </c>
      <c r="B1315" t="s">
        <v>15</v>
      </c>
      <c r="C1315" s="1">
        <v>45870</v>
      </c>
      <c r="D1315" t="s">
        <v>6</v>
      </c>
      <c r="E1315" t="s">
        <v>32</v>
      </c>
      <c r="F1315">
        <v>3</v>
      </c>
      <c r="G1315">
        <v>19.84</v>
      </c>
      <c r="H1315">
        <v>59.52</v>
      </c>
      <c r="I1315" t="str">
        <f t="shared" si="140"/>
        <v>Low</v>
      </c>
      <c r="J1315">
        <v>4.54</v>
      </c>
      <c r="K1315">
        <f t="shared" si="145"/>
        <v>54.980000000000004</v>
      </c>
      <c r="L1315" t="str">
        <f t="shared" si="146"/>
        <v>August</v>
      </c>
      <c r="M1315">
        <f>YEAR(C1315)</f>
        <v>2025</v>
      </c>
      <c r="N1315">
        <v>188</v>
      </c>
      <c r="O1315" t="str">
        <f>IF(N1315&gt;=200,"Platinum",IF(N1315&gt;=100,"Gold",IF(N1315&gt;=50,"Silver","Regular")))</f>
        <v>Gold</v>
      </c>
      <c r="P1315" s="4" t="str">
        <f t="shared" si="141"/>
        <v>Friday</v>
      </c>
      <c r="Q1315" s="4" t="str">
        <f t="shared" si="142"/>
        <v>Medium Order</v>
      </c>
      <c r="R1315" s="4" t="str">
        <f t="shared" si="143"/>
        <v>Weekday</v>
      </c>
      <c r="S1315" s="4" t="str">
        <f t="shared" si="144"/>
        <v>Regular</v>
      </c>
    </row>
    <row r="1316" spans="1:19" x14ac:dyDescent="0.3">
      <c r="A1316">
        <v>5581</v>
      </c>
      <c r="B1316" t="s">
        <v>19</v>
      </c>
      <c r="C1316" s="1">
        <v>45828</v>
      </c>
      <c r="D1316" t="s">
        <v>17</v>
      </c>
      <c r="E1316" t="s">
        <v>29</v>
      </c>
      <c r="F1316">
        <v>2</v>
      </c>
      <c r="G1316">
        <v>25.23</v>
      </c>
      <c r="H1316">
        <v>50.46</v>
      </c>
      <c r="I1316" t="str">
        <f t="shared" si="140"/>
        <v>Low</v>
      </c>
      <c r="J1316">
        <v>3.84</v>
      </c>
      <c r="K1316">
        <f t="shared" si="145"/>
        <v>46.620000000000005</v>
      </c>
      <c r="L1316" t="str">
        <f t="shared" si="146"/>
        <v>June</v>
      </c>
      <c r="M1316">
        <f>YEAR(C1316)</f>
        <v>2025</v>
      </c>
      <c r="N1316">
        <v>167</v>
      </c>
      <c r="O1316" t="str">
        <f>IF(N1316&gt;=200,"Platinum",IF(N1316&gt;=100,"Gold",IF(N1316&gt;=50,"Silver","Regular")))</f>
        <v>Gold</v>
      </c>
      <c r="P1316" s="4" t="str">
        <f t="shared" si="141"/>
        <v>Friday</v>
      </c>
      <c r="Q1316" s="4" t="str">
        <f t="shared" si="142"/>
        <v>Small Order</v>
      </c>
      <c r="R1316" s="4" t="str">
        <f t="shared" si="143"/>
        <v>Weekday</v>
      </c>
      <c r="S1316" s="4" t="str">
        <f t="shared" si="144"/>
        <v>Regular</v>
      </c>
    </row>
    <row r="1317" spans="1:19" x14ac:dyDescent="0.3">
      <c r="A1317">
        <v>3361</v>
      </c>
      <c r="B1317" t="s">
        <v>25</v>
      </c>
      <c r="C1317" s="1">
        <v>45463</v>
      </c>
      <c r="D1317" t="s">
        <v>34</v>
      </c>
      <c r="E1317" t="s">
        <v>32</v>
      </c>
      <c r="F1317">
        <v>2</v>
      </c>
      <c r="G1317">
        <v>11.96</v>
      </c>
      <c r="H1317">
        <v>23.92</v>
      </c>
      <c r="I1317" t="str">
        <f t="shared" si="140"/>
        <v>Low</v>
      </c>
      <c r="J1317">
        <v>1.81</v>
      </c>
      <c r="K1317">
        <f t="shared" si="145"/>
        <v>22.110000000000003</v>
      </c>
      <c r="L1317" t="str">
        <f t="shared" si="146"/>
        <v>June</v>
      </c>
      <c r="M1317">
        <f>YEAR(C1317)</f>
        <v>2024</v>
      </c>
      <c r="N1317">
        <v>67</v>
      </c>
      <c r="O1317" t="str">
        <f>IF(N1317&gt;=200,"Platinum",IF(N1317&gt;=100,"Gold",IF(N1317&gt;=50,"Silver","Regular")))</f>
        <v>Silver</v>
      </c>
      <c r="P1317" s="4" t="str">
        <f t="shared" si="141"/>
        <v>Thursday</v>
      </c>
      <c r="Q1317" s="4" t="str">
        <f t="shared" si="142"/>
        <v>Small Order</v>
      </c>
      <c r="R1317" s="4" t="str">
        <f t="shared" si="143"/>
        <v>Weekday</v>
      </c>
      <c r="S1317" s="4" t="str">
        <f t="shared" si="144"/>
        <v>Regular</v>
      </c>
    </row>
    <row r="1318" spans="1:19" x14ac:dyDescent="0.3">
      <c r="A1318">
        <v>6272</v>
      </c>
      <c r="B1318" t="s">
        <v>20</v>
      </c>
      <c r="C1318" s="1">
        <v>45337</v>
      </c>
      <c r="D1318" t="s">
        <v>11</v>
      </c>
      <c r="E1318" t="s">
        <v>37</v>
      </c>
      <c r="F1318">
        <v>1</v>
      </c>
      <c r="G1318">
        <v>28.63</v>
      </c>
      <c r="H1318">
        <v>28.63</v>
      </c>
      <c r="I1318" t="str">
        <f t="shared" si="140"/>
        <v>Low</v>
      </c>
      <c r="J1318">
        <v>2.16</v>
      </c>
      <c r="K1318">
        <f t="shared" si="145"/>
        <v>26.47</v>
      </c>
      <c r="L1318" t="str">
        <f t="shared" si="146"/>
        <v>February</v>
      </c>
      <c r="M1318">
        <f>YEAR(C1318)</f>
        <v>2024</v>
      </c>
      <c r="N1318">
        <v>361</v>
      </c>
      <c r="O1318" t="str">
        <f>IF(N1318&gt;=200,"Platinum",IF(N1318&gt;=100,"Gold",IF(N1318&gt;=50,"Silver","Regular")))</f>
        <v>Platinum</v>
      </c>
      <c r="P1318" s="4" t="str">
        <f t="shared" si="141"/>
        <v>Thursday</v>
      </c>
      <c r="Q1318" s="4" t="str">
        <f t="shared" si="142"/>
        <v>Small Order</v>
      </c>
      <c r="R1318" s="4" t="str">
        <f t="shared" si="143"/>
        <v>Weekday</v>
      </c>
      <c r="S1318" s="4" t="str">
        <f t="shared" si="144"/>
        <v>Regular</v>
      </c>
    </row>
    <row r="1319" spans="1:19" x14ac:dyDescent="0.3">
      <c r="A1319">
        <v>7439</v>
      </c>
      <c r="B1319" t="s">
        <v>15</v>
      </c>
      <c r="C1319" s="1">
        <v>45555</v>
      </c>
      <c r="D1319" t="s">
        <v>9</v>
      </c>
      <c r="E1319" t="s">
        <v>21</v>
      </c>
      <c r="F1319">
        <v>1</v>
      </c>
      <c r="G1319">
        <v>28.24</v>
      </c>
      <c r="H1319">
        <v>28.24</v>
      </c>
      <c r="I1319" t="str">
        <f t="shared" si="140"/>
        <v>Low</v>
      </c>
      <c r="J1319">
        <v>2.13</v>
      </c>
      <c r="K1319">
        <f t="shared" si="145"/>
        <v>26.11</v>
      </c>
      <c r="L1319" t="str">
        <f t="shared" si="146"/>
        <v>September</v>
      </c>
      <c r="M1319">
        <f>YEAR(C1319)</f>
        <v>2024</v>
      </c>
      <c r="N1319">
        <v>400</v>
      </c>
      <c r="O1319" t="str">
        <f>IF(N1319&gt;=200,"Platinum",IF(N1319&gt;=100,"Gold",IF(N1319&gt;=50,"Silver","Regular")))</f>
        <v>Platinum</v>
      </c>
      <c r="P1319" s="4" t="str">
        <f t="shared" si="141"/>
        <v>Friday</v>
      </c>
      <c r="Q1319" s="4" t="str">
        <f t="shared" si="142"/>
        <v>Small Order</v>
      </c>
      <c r="R1319" s="4" t="str">
        <f t="shared" si="143"/>
        <v>Weekday</v>
      </c>
      <c r="S1319" s="4" t="str">
        <f t="shared" si="144"/>
        <v>Regular</v>
      </c>
    </row>
    <row r="1320" spans="1:19" x14ac:dyDescent="0.3">
      <c r="A1320">
        <v>9903</v>
      </c>
      <c r="B1320" t="s">
        <v>0</v>
      </c>
      <c r="C1320" s="1">
        <v>45437</v>
      </c>
      <c r="D1320" t="s">
        <v>1</v>
      </c>
      <c r="E1320" t="s">
        <v>35</v>
      </c>
      <c r="F1320">
        <v>1</v>
      </c>
      <c r="G1320">
        <v>24.56</v>
      </c>
      <c r="H1320">
        <v>24.56</v>
      </c>
      <c r="I1320" t="str">
        <f t="shared" si="140"/>
        <v>Low</v>
      </c>
      <c r="J1320">
        <v>1.85</v>
      </c>
      <c r="K1320">
        <f t="shared" si="145"/>
        <v>22.709999999999997</v>
      </c>
      <c r="L1320" t="str">
        <f t="shared" si="146"/>
        <v>May</v>
      </c>
      <c r="M1320">
        <f>YEAR(C1320)</f>
        <v>2024</v>
      </c>
      <c r="N1320">
        <v>296</v>
      </c>
      <c r="O1320" t="str">
        <f>IF(N1320&gt;=200,"Platinum",IF(N1320&gt;=100,"Gold",IF(N1320&gt;=50,"Silver","Regular")))</f>
        <v>Platinum</v>
      </c>
      <c r="P1320" s="4" t="str">
        <f t="shared" si="141"/>
        <v>Saturday</v>
      </c>
      <c r="Q1320" s="4" t="str">
        <f t="shared" si="142"/>
        <v>Small Order</v>
      </c>
      <c r="R1320" s="4" t="str">
        <f t="shared" si="143"/>
        <v>Weekend</v>
      </c>
      <c r="S1320" s="4" t="str">
        <f t="shared" si="144"/>
        <v>Regular</v>
      </c>
    </row>
    <row r="1321" spans="1:19" x14ac:dyDescent="0.3">
      <c r="A1321">
        <v>5478</v>
      </c>
      <c r="B1321" t="s">
        <v>19</v>
      </c>
      <c r="C1321" s="1">
        <v>45753</v>
      </c>
      <c r="D1321" t="s">
        <v>34</v>
      </c>
      <c r="E1321" t="s">
        <v>22</v>
      </c>
      <c r="F1321">
        <v>2</v>
      </c>
      <c r="G1321">
        <v>26.67</v>
      </c>
      <c r="H1321">
        <v>53.34</v>
      </c>
      <c r="I1321" t="str">
        <f t="shared" si="140"/>
        <v>Low</v>
      </c>
      <c r="J1321">
        <v>4.01</v>
      </c>
      <c r="K1321">
        <f t="shared" si="145"/>
        <v>49.330000000000005</v>
      </c>
      <c r="L1321" t="str">
        <f t="shared" si="146"/>
        <v>April</v>
      </c>
      <c r="M1321">
        <f>YEAR(C1321)</f>
        <v>2025</v>
      </c>
      <c r="N1321">
        <v>147</v>
      </c>
      <c r="O1321" t="str">
        <f>IF(N1321&gt;=200,"Platinum",IF(N1321&gt;=100,"Gold",IF(N1321&gt;=50,"Silver","Regular")))</f>
        <v>Gold</v>
      </c>
      <c r="P1321" s="4" t="str">
        <f t="shared" si="141"/>
        <v>Sunday</v>
      </c>
      <c r="Q1321" s="4" t="str">
        <f t="shared" si="142"/>
        <v>Small Order</v>
      </c>
      <c r="R1321" s="4" t="str">
        <f t="shared" si="143"/>
        <v>Weekend</v>
      </c>
      <c r="S1321" s="4" t="str">
        <f t="shared" si="144"/>
        <v>Regular</v>
      </c>
    </row>
    <row r="1322" spans="1:19" x14ac:dyDescent="0.3">
      <c r="A1322">
        <v>4984</v>
      </c>
      <c r="B1322" t="s">
        <v>3</v>
      </c>
      <c r="C1322" s="1">
        <v>45686</v>
      </c>
      <c r="D1322" t="s">
        <v>6</v>
      </c>
      <c r="E1322" t="s">
        <v>37</v>
      </c>
      <c r="F1322">
        <v>3</v>
      </c>
      <c r="G1322">
        <v>22.01</v>
      </c>
      <c r="H1322">
        <v>66.03</v>
      </c>
      <c r="I1322" t="str">
        <f t="shared" si="140"/>
        <v>Low</v>
      </c>
      <c r="J1322">
        <v>4.91</v>
      </c>
      <c r="K1322">
        <f t="shared" si="145"/>
        <v>61.120000000000005</v>
      </c>
      <c r="L1322" t="str">
        <f t="shared" si="146"/>
        <v>January</v>
      </c>
      <c r="M1322">
        <f>YEAR(C1322)</f>
        <v>2025</v>
      </c>
      <c r="N1322">
        <v>403</v>
      </c>
      <c r="O1322" t="str">
        <f>IF(N1322&gt;=200,"Platinum",IF(N1322&gt;=100,"Gold",IF(N1322&gt;=50,"Silver","Regular")))</f>
        <v>Platinum</v>
      </c>
      <c r="P1322" s="4" t="str">
        <f t="shared" si="141"/>
        <v>Wednesday</v>
      </c>
      <c r="Q1322" s="4" t="str">
        <f t="shared" si="142"/>
        <v>Medium Order</v>
      </c>
      <c r="R1322" s="4" t="str">
        <f t="shared" si="143"/>
        <v>Weekday</v>
      </c>
      <c r="S1322" s="4" t="str">
        <f t="shared" si="144"/>
        <v>Regular</v>
      </c>
    </row>
    <row r="1323" spans="1:19" x14ac:dyDescent="0.3">
      <c r="A1323">
        <v>4527</v>
      </c>
      <c r="B1323" t="s">
        <v>19</v>
      </c>
      <c r="C1323" s="1">
        <v>45738</v>
      </c>
      <c r="D1323" t="s">
        <v>6</v>
      </c>
      <c r="E1323" t="s">
        <v>29</v>
      </c>
      <c r="F1323">
        <v>2</v>
      </c>
      <c r="G1323">
        <v>26.45</v>
      </c>
      <c r="H1323">
        <v>52.9</v>
      </c>
      <c r="I1323" t="str">
        <f t="shared" si="140"/>
        <v>Low</v>
      </c>
      <c r="J1323">
        <v>3.93</v>
      </c>
      <c r="K1323">
        <f t="shared" si="145"/>
        <v>48.97</v>
      </c>
      <c r="L1323" t="str">
        <f t="shared" si="146"/>
        <v>March</v>
      </c>
      <c r="M1323">
        <f>YEAR(C1323)</f>
        <v>2025</v>
      </c>
      <c r="N1323">
        <v>484</v>
      </c>
      <c r="O1323" t="str">
        <f>IF(N1323&gt;=200,"Platinum",IF(N1323&gt;=100,"Gold",IF(N1323&gt;=50,"Silver","Regular")))</f>
        <v>Platinum</v>
      </c>
      <c r="P1323" s="4" t="str">
        <f t="shared" si="141"/>
        <v>Saturday</v>
      </c>
      <c r="Q1323" s="4" t="str">
        <f t="shared" si="142"/>
        <v>Small Order</v>
      </c>
      <c r="R1323" s="4" t="str">
        <f t="shared" si="143"/>
        <v>Weekend</v>
      </c>
      <c r="S1323" s="4" t="str">
        <f t="shared" si="144"/>
        <v>Regular</v>
      </c>
    </row>
    <row r="1324" spans="1:19" x14ac:dyDescent="0.3">
      <c r="A1324">
        <v>7209</v>
      </c>
      <c r="B1324" t="s">
        <v>31</v>
      </c>
      <c r="C1324" s="1">
        <v>45146</v>
      </c>
      <c r="D1324" t="s">
        <v>23</v>
      </c>
      <c r="E1324" t="s">
        <v>33</v>
      </c>
      <c r="F1324">
        <v>1</v>
      </c>
      <c r="G1324">
        <v>25.05</v>
      </c>
      <c r="H1324">
        <v>25.05</v>
      </c>
      <c r="I1324" t="str">
        <f t="shared" si="140"/>
        <v>Low</v>
      </c>
      <c r="J1324">
        <v>1.86</v>
      </c>
      <c r="K1324">
        <f t="shared" si="145"/>
        <v>23.19</v>
      </c>
      <c r="L1324" t="str">
        <f t="shared" si="146"/>
        <v>August</v>
      </c>
      <c r="M1324">
        <f>YEAR(C1324)</f>
        <v>2023</v>
      </c>
      <c r="N1324">
        <v>283</v>
      </c>
      <c r="O1324" t="str">
        <f>IF(N1324&gt;=200,"Platinum",IF(N1324&gt;=100,"Gold",IF(N1324&gt;=50,"Silver","Regular")))</f>
        <v>Platinum</v>
      </c>
      <c r="P1324" s="4" t="str">
        <f t="shared" si="141"/>
        <v>Tuesday</v>
      </c>
      <c r="Q1324" s="4" t="str">
        <f t="shared" si="142"/>
        <v>Small Order</v>
      </c>
      <c r="R1324" s="4" t="str">
        <f t="shared" si="143"/>
        <v>Weekday</v>
      </c>
      <c r="S1324" s="4" t="str">
        <f t="shared" si="144"/>
        <v>Regular</v>
      </c>
    </row>
    <row r="1325" spans="1:19" x14ac:dyDescent="0.3">
      <c r="A1325">
        <v>9019</v>
      </c>
      <c r="B1325" t="s">
        <v>31</v>
      </c>
      <c r="C1325" s="1">
        <v>45554</v>
      </c>
      <c r="D1325" t="s">
        <v>16</v>
      </c>
      <c r="E1325" t="s">
        <v>22</v>
      </c>
      <c r="F1325">
        <v>2</v>
      </c>
      <c r="G1325">
        <v>24.1</v>
      </c>
      <c r="H1325">
        <v>48.2</v>
      </c>
      <c r="I1325" t="str">
        <f t="shared" si="140"/>
        <v>Low</v>
      </c>
      <c r="J1325">
        <v>3.57</v>
      </c>
      <c r="K1325">
        <f t="shared" si="145"/>
        <v>44.63</v>
      </c>
      <c r="L1325" t="str">
        <f t="shared" si="146"/>
        <v>September</v>
      </c>
      <c r="M1325">
        <f>YEAR(C1325)</f>
        <v>2024</v>
      </c>
      <c r="N1325">
        <v>498</v>
      </c>
      <c r="O1325" t="str">
        <f>IF(N1325&gt;=200,"Platinum",IF(N1325&gt;=100,"Gold",IF(N1325&gt;=50,"Silver","Regular")))</f>
        <v>Platinum</v>
      </c>
      <c r="P1325" s="4" t="str">
        <f t="shared" si="141"/>
        <v>Thursday</v>
      </c>
      <c r="Q1325" s="4" t="str">
        <f t="shared" si="142"/>
        <v>Small Order</v>
      </c>
      <c r="R1325" s="4" t="str">
        <f t="shared" si="143"/>
        <v>Weekday</v>
      </c>
      <c r="S1325" s="4" t="str">
        <f t="shared" si="144"/>
        <v>Regular</v>
      </c>
    </row>
    <row r="1326" spans="1:19" x14ac:dyDescent="0.3">
      <c r="A1326">
        <v>2133</v>
      </c>
      <c r="B1326" t="s">
        <v>15</v>
      </c>
      <c r="C1326" s="1">
        <v>45735</v>
      </c>
      <c r="D1326" t="s">
        <v>34</v>
      </c>
      <c r="E1326" t="s">
        <v>10</v>
      </c>
      <c r="F1326">
        <v>2</v>
      </c>
      <c r="G1326">
        <v>28.99</v>
      </c>
      <c r="H1326">
        <v>57.98</v>
      </c>
      <c r="I1326" t="str">
        <f t="shared" si="140"/>
        <v>Low</v>
      </c>
      <c r="J1326">
        <v>4.29</v>
      </c>
      <c r="K1326">
        <f t="shared" si="145"/>
        <v>53.69</v>
      </c>
      <c r="L1326" t="str">
        <f t="shared" si="146"/>
        <v>March</v>
      </c>
      <c r="M1326">
        <f>YEAR(C1326)</f>
        <v>2025</v>
      </c>
      <c r="N1326">
        <v>129</v>
      </c>
      <c r="O1326" t="str">
        <f>IF(N1326&gt;=200,"Platinum",IF(N1326&gt;=100,"Gold",IF(N1326&gt;=50,"Silver","Regular")))</f>
        <v>Gold</v>
      </c>
      <c r="P1326" s="4" t="str">
        <f t="shared" si="141"/>
        <v>Wednesday</v>
      </c>
      <c r="Q1326" s="4" t="str">
        <f t="shared" si="142"/>
        <v>Small Order</v>
      </c>
      <c r="R1326" s="4" t="str">
        <f t="shared" si="143"/>
        <v>Weekday</v>
      </c>
      <c r="S1326" s="4" t="str">
        <f t="shared" si="144"/>
        <v>Regular</v>
      </c>
    </row>
    <row r="1327" spans="1:19" x14ac:dyDescent="0.3">
      <c r="A1327">
        <v>1878</v>
      </c>
      <c r="B1327" t="s">
        <v>31</v>
      </c>
      <c r="C1327" s="1">
        <v>45817</v>
      </c>
      <c r="D1327" t="s">
        <v>17</v>
      </c>
      <c r="E1327" t="s">
        <v>36</v>
      </c>
      <c r="F1327">
        <v>3</v>
      </c>
      <c r="G1327">
        <v>17.5</v>
      </c>
      <c r="H1327">
        <v>52.5</v>
      </c>
      <c r="I1327" t="str">
        <f t="shared" si="140"/>
        <v>Low</v>
      </c>
      <c r="J1327">
        <v>3.88</v>
      </c>
      <c r="K1327">
        <f t="shared" si="145"/>
        <v>48.62</v>
      </c>
      <c r="L1327" t="str">
        <f t="shared" si="146"/>
        <v>June</v>
      </c>
      <c r="M1327">
        <f>YEAR(C1327)</f>
        <v>2025</v>
      </c>
      <c r="N1327">
        <v>297</v>
      </c>
      <c r="O1327" t="str">
        <f>IF(N1327&gt;=200,"Platinum",IF(N1327&gt;=100,"Gold",IF(N1327&gt;=50,"Silver","Regular")))</f>
        <v>Platinum</v>
      </c>
      <c r="P1327" s="4" t="str">
        <f t="shared" si="141"/>
        <v>Monday</v>
      </c>
      <c r="Q1327" s="4" t="str">
        <f t="shared" si="142"/>
        <v>Medium Order</v>
      </c>
      <c r="R1327" s="4" t="str">
        <f t="shared" si="143"/>
        <v>Weekday</v>
      </c>
      <c r="S1327" s="4" t="str">
        <f t="shared" si="144"/>
        <v>Regular</v>
      </c>
    </row>
    <row r="1328" spans="1:19" x14ac:dyDescent="0.3">
      <c r="A1328">
        <v>6977</v>
      </c>
      <c r="B1328" t="s">
        <v>25</v>
      </c>
      <c r="C1328" s="1">
        <v>45713</v>
      </c>
      <c r="D1328" t="s">
        <v>1</v>
      </c>
      <c r="E1328" t="s">
        <v>30</v>
      </c>
      <c r="F1328">
        <v>1</v>
      </c>
      <c r="G1328">
        <v>29.11</v>
      </c>
      <c r="H1328">
        <v>29.11</v>
      </c>
      <c r="I1328" t="str">
        <f t="shared" si="140"/>
        <v>Low</v>
      </c>
      <c r="J1328">
        <v>2.13</v>
      </c>
      <c r="K1328">
        <f t="shared" si="145"/>
        <v>26.98</v>
      </c>
      <c r="L1328" t="str">
        <f t="shared" si="146"/>
        <v>February</v>
      </c>
      <c r="M1328">
        <f>YEAR(C1328)</f>
        <v>2025</v>
      </c>
      <c r="N1328">
        <v>11</v>
      </c>
      <c r="O1328" t="str">
        <f>IF(N1328&gt;=200,"Platinum",IF(N1328&gt;=100,"Gold",IF(N1328&gt;=50,"Silver","Regular")))</f>
        <v>Regular</v>
      </c>
      <c r="P1328" s="4" t="str">
        <f t="shared" si="141"/>
        <v>Tuesday</v>
      </c>
      <c r="Q1328" s="4" t="str">
        <f t="shared" si="142"/>
        <v>Small Order</v>
      </c>
      <c r="R1328" s="4" t="str">
        <f t="shared" si="143"/>
        <v>Weekday</v>
      </c>
      <c r="S1328" s="4" t="str">
        <f t="shared" si="144"/>
        <v>Regular</v>
      </c>
    </row>
    <row r="1329" spans="1:19" x14ac:dyDescent="0.3">
      <c r="A1329">
        <v>9518</v>
      </c>
      <c r="B1329" t="s">
        <v>20</v>
      </c>
      <c r="C1329" s="1">
        <v>45863</v>
      </c>
      <c r="D1329" t="s">
        <v>23</v>
      </c>
      <c r="E1329" t="s">
        <v>35</v>
      </c>
      <c r="F1329">
        <v>2</v>
      </c>
      <c r="G1329">
        <v>17.260000000000002</v>
      </c>
      <c r="H1329">
        <v>34.520000000000003</v>
      </c>
      <c r="I1329" t="str">
        <f t="shared" si="140"/>
        <v>Low</v>
      </c>
      <c r="J1329">
        <v>2.5099999999999998</v>
      </c>
      <c r="K1329">
        <f t="shared" si="145"/>
        <v>32.010000000000005</v>
      </c>
      <c r="L1329" t="str">
        <f t="shared" si="146"/>
        <v>July</v>
      </c>
      <c r="M1329">
        <f>YEAR(C1329)</f>
        <v>2025</v>
      </c>
      <c r="N1329">
        <v>339</v>
      </c>
      <c r="O1329" t="str">
        <f>IF(N1329&gt;=200,"Platinum",IF(N1329&gt;=100,"Gold",IF(N1329&gt;=50,"Silver","Regular")))</f>
        <v>Platinum</v>
      </c>
      <c r="P1329" s="4" t="str">
        <f t="shared" si="141"/>
        <v>Friday</v>
      </c>
      <c r="Q1329" s="4" t="str">
        <f t="shared" si="142"/>
        <v>Small Order</v>
      </c>
      <c r="R1329" s="4" t="str">
        <f t="shared" si="143"/>
        <v>Weekday</v>
      </c>
      <c r="S1329" s="4" t="str">
        <f t="shared" si="144"/>
        <v>Regular</v>
      </c>
    </row>
    <row r="1330" spans="1:19" x14ac:dyDescent="0.3">
      <c r="A1330">
        <v>9756</v>
      </c>
      <c r="B1330" t="s">
        <v>3</v>
      </c>
      <c r="C1330" s="1">
        <v>45453</v>
      </c>
      <c r="D1330" t="s">
        <v>16</v>
      </c>
      <c r="E1330" t="s">
        <v>26</v>
      </c>
      <c r="F1330">
        <v>2</v>
      </c>
      <c r="G1330">
        <v>27.76</v>
      </c>
      <c r="H1330">
        <v>55.52</v>
      </c>
      <c r="I1330" t="str">
        <f t="shared" si="140"/>
        <v>Low</v>
      </c>
      <c r="J1330">
        <v>4.0199999999999996</v>
      </c>
      <c r="K1330">
        <f t="shared" si="145"/>
        <v>51.5</v>
      </c>
      <c r="L1330" t="str">
        <f t="shared" si="146"/>
        <v>June</v>
      </c>
      <c r="M1330">
        <f>YEAR(C1330)</f>
        <v>2024</v>
      </c>
      <c r="N1330">
        <v>313</v>
      </c>
      <c r="O1330" t="str">
        <f>IF(N1330&gt;=200,"Platinum",IF(N1330&gt;=100,"Gold",IF(N1330&gt;=50,"Silver","Regular")))</f>
        <v>Platinum</v>
      </c>
      <c r="P1330" s="4" t="str">
        <f t="shared" si="141"/>
        <v>Monday</v>
      </c>
      <c r="Q1330" s="4" t="str">
        <f t="shared" si="142"/>
        <v>Small Order</v>
      </c>
      <c r="R1330" s="4" t="str">
        <f t="shared" si="143"/>
        <v>Weekday</v>
      </c>
      <c r="S1330" s="4" t="str">
        <f t="shared" si="144"/>
        <v>Regular</v>
      </c>
    </row>
    <row r="1331" spans="1:19" x14ac:dyDescent="0.3">
      <c r="A1331">
        <v>1040</v>
      </c>
      <c r="B1331" t="s">
        <v>3</v>
      </c>
      <c r="C1331" s="1">
        <v>45819</v>
      </c>
      <c r="D1331" t="s">
        <v>6</v>
      </c>
      <c r="E1331" t="s">
        <v>30</v>
      </c>
      <c r="F1331">
        <v>2</v>
      </c>
      <c r="G1331">
        <v>23.49</v>
      </c>
      <c r="H1331">
        <v>46.98</v>
      </c>
      <c r="I1331" t="str">
        <f t="shared" si="140"/>
        <v>Low</v>
      </c>
      <c r="J1331">
        <v>3.4</v>
      </c>
      <c r="K1331">
        <f t="shared" si="145"/>
        <v>43.58</v>
      </c>
      <c r="L1331" t="str">
        <f t="shared" si="146"/>
        <v>June</v>
      </c>
      <c r="M1331">
        <f>YEAR(C1331)</f>
        <v>2025</v>
      </c>
      <c r="N1331">
        <v>101</v>
      </c>
      <c r="O1331" t="str">
        <f>IF(N1331&gt;=200,"Platinum",IF(N1331&gt;=100,"Gold",IF(N1331&gt;=50,"Silver","Regular")))</f>
        <v>Gold</v>
      </c>
      <c r="P1331" s="4" t="str">
        <f t="shared" si="141"/>
        <v>Wednesday</v>
      </c>
      <c r="Q1331" s="4" t="str">
        <f t="shared" si="142"/>
        <v>Small Order</v>
      </c>
      <c r="R1331" s="4" t="str">
        <f t="shared" si="143"/>
        <v>Weekday</v>
      </c>
      <c r="S1331" s="4" t="str">
        <f t="shared" si="144"/>
        <v>Regular</v>
      </c>
    </row>
    <row r="1332" spans="1:19" x14ac:dyDescent="0.3">
      <c r="A1332">
        <v>6493</v>
      </c>
      <c r="B1332" t="s">
        <v>8</v>
      </c>
      <c r="C1332" s="1">
        <v>45759</v>
      </c>
      <c r="D1332" t="s">
        <v>1</v>
      </c>
      <c r="E1332" t="s">
        <v>21</v>
      </c>
      <c r="F1332">
        <v>5</v>
      </c>
      <c r="G1332">
        <v>13.43</v>
      </c>
      <c r="H1332">
        <v>67.150000000000006</v>
      </c>
      <c r="I1332" t="str">
        <f t="shared" si="140"/>
        <v>Low</v>
      </c>
      <c r="J1332">
        <v>4.83</v>
      </c>
      <c r="K1332">
        <f t="shared" si="145"/>
        <v>62.320000000000007</v>
      </c>
      <c r="L1332" t="str">
        <f t="shared" si="146"/>
        <v>April</v>
      </c>
      <c r="M1332">
        <f>YEAR(C1332)</f>
        <v>2025</v>
      </c>
      <c r="N1332">
        <v>133</v>
      </c>
      <c r="O1332" t="str">
        <f>IF(N1332&gt;=200,"Platinum",IF(N1332&gt;=100,"Gold",IF(N1332&gt;=50,"Silver","Regular")))</f>
        <v>Gold</v>
      </c>
      <c r="P1332" s="4" t="str">
        <f t="shared" si="141"/>
        <v>Saturday</v>
      </c>
      <c r="Q1332" s="4" t="str">
        <f t="shared" si="142"/>
        <v>Medium Order</v>
      </c>
      <c r="R1332" s="4" t="str">
        <f t="shared" si="143"/>
        <v>Weekend</v>
      </c>
      <c r="S1332" s="4" t="str">
        <f t="shared" si="144"/>
        <v>Regular</v>
      </c>
    </row>
    <row r="1333" spans="1:19" x14ac:dyDescent="0.3">
      <c r="A1333">
        <v>9595</v>
      </c>
      <c r="B1333" t="s">
        <v>13</v>
      </c>
      <c r="C1333" s="1">
        <v>45608</v>
      </c>
      <c r="D1333" t="s">
        <v>34</v>
      </c>
      <c r="E1333" t="s">
        <v>21</v>
      </c>
      <c r="F1333">
        <v>3</v>
      </c>
      <c r="G1333">
        <v>16.82</v>
      </c>
      <c r="H1333">
        <v>50.46</v>
      </c>
      <c r="I1333" t="str">
        <f t="shared" si="140"/>
        <v>Low</v>
      </c>
      <c r="J1333">
        <v>3.6</v>
      </c>
      <c r="K1333">
        <f t="shared" si="145"/>
        <v>46.86</v>
      </c>
      <c r="L1333" t="str">
        <f t="shared" si="146"/>
        <v>November</v>
      </c>
      <c r="M1333">
        <f>YEAR(C1333)</f>
        <v>2024</v>
      </c>
      <c r="N1333">
        <v>51</v>
      </c>
      <c r="O1333" t="str">
        <f>IF(N1333&gt;=200,"Platinum",IF(N1333&gt;=100,"Gold",IF(N1333&gt;=50,"Silver","Regular")))</f>
        <v>Silver</v>
      </c>
      <c r="P1333" s="4" t="str">
        <f t="shared" si="141"/>
        <v>Tuesday</v>
      </c>
      <c r="Q1333" s="4" t="str">
        <f t="shared" si="142"/>
        <v>Medium Order</v>
      </c>
      <c r="R1333" s="4" t="str">
        <f t="shared" si="143"/>
        <v>Weekday</v>
      </c>
      <c r="S1333" s="4" t="str">
        <f t="shared" si="144"/>
        <v>Regular</v>
      </c>
    </row>
    <row r="1334" spans="1:19" x14ac:dyDescent="0.3">
      <c r="A1334">
        <v>1251</v>
      </c>
      <c r="B1334" t="s">
        <v>25</v>
      </c>
      <c r="C1334" s="1">
        <v>45309</v>
      </c>
      <c r="D1334" t="s">
        <v>34</v>
      </c>
      <c r="E1334" t="s">
        <v>28</v>
      </c>
      <c r="F1334">
        <v>3</v>
      </c>
      <c r="G1334">
        <v>9.7200000000000006</v>
      </c>
      <c r="H1334">
        <v>29.16</v>
      </c>
      <c r="I1334" t="str">
        <f t="shared" si="140"/>
        <v>Low</v>
      </c>
      <c r="J1334">
        <v>2.08</v>
      </c>
      <c r="K1334">
        <f t="shared" si="145"/>
        <v>27.08</v>
      </c>
      <c r="L1334" t="str">
        <f t="shared" si="146"/>
        <v>January</v>
      </c>
      <c r="M1334">
        <f>YEAR(C1334)</f>
        <v>2024</v>
      </c>
      <c r="N1334">
        <v>170</v>
      </c>
      <c r="O1334" t="str">
        <f>IF(N1334&gt;=200,"Platinum",IF(N1334&gt;=100,"Gold",IF(N1334&gt;=50,"Silver","Regular")))</f>
        <v>Gold</v>
      </c>
      <c r="P1334" s="4" t="str">
        <f t="shared" si="141"/>
        <v>Thursday</v>
      </c>
      <c r="Q1334" s="4" t="str">
        <f t="shared" si="142"/>
        <v>Medium Order</v>
      </c>
      <c r="R1334" s="4" t="str">
        <f t="shared" si="143"/>
        <v>Weekday</v>
      </c>
      <c r="S1334" s="4" t="str">
        <f t="shared" si="144"/>
        <v>Regular</v>
      </c>
    </row>
    <row r="1335" spans="1:19" x14ac:dyDescent="0.3">
      <c r="A1335">
        <v>8355</v>
      </c>
      <c r="B1335" t="s">
        <v>25</v>
      </c>
      <c r="C1335" s="1">
        <v>45326</v>
      </c>
      <c r="D1335" t="s">
        <v>9</v>
      </c>
      <c r="E1335" t="s">
        <v>21</v>
      </c>
      <c r="F1335">
        <v>3</v>
      </c>
      <c r="G1335">
        <v>17.59</v>
      </c>
      <c r="H1335">
        <v>52.77</v>
      </c>
      <c r="I1335" t="str">
        <f t="shared" si="140"/>
        <v>Low</v>
      </c>
      <c r="J1335">
        <v>3.76</v>
      </c>
      <c r="K1335">
        <f t="shared" si="145"/>
        <v>49.010000000000005</v>
      </c>
      <c r="L1335" t="str">
        <f t="shared" si="146"/>
        <v>February</v>
      </c>
      <c r="M1335">
        <f>YEAR(C1335)</f>
        <v>2024</v>
      </c>
      <c r="N1335">
        <v>413</v>
      </c>
      <c r="O1335" t="str">
        <f>IF(N1335&gt;=200,"Platinum",IF(N1335&gt;=100,"Gold",IF(N1335&gt;=50,"Silver","Regular")))</f>
        <v>Platinum</v>
      </c>
      <c r="P1335" s="4" t="str">
        <f t="shared" si="141"/>
        <v>Sunday</v>
      </c>
      <c r="Q1335" s="4" t="str">
        <f t="shared" si="142"/>
        <v>Medium Order</v>
      </c>
      <c r="R1335" s="4" t="str">
        <f t="shared" si="143"/>
        <v>Weekend</v>
      </c>
      <c r="S1335" s="4" t="str">
        <f t="shared" si="144"/>
        <v>Regular</v>
      </c>
    </row>
    <row r="1336" spans="1:19" x14ac:dyDescent="0.3">
      <c r="A1336">
        <v>6279</v>
      </c>
      <c r="B1336" t="s">
        <v>15</v>
      </c>
      <c r="C1336" s="1">
        <v>45506</v>
      </c>
      <c r="D1336" t="s">
        <v>23</v>
      </c>
      <c r="E1336" t="s">
        <v>22</v>
      </c>
      <c r="F1336">
        <v>5</v>
      </c>
      <c r="G1336">
        <v>11.83</v>
      </c>
      <c r="H1336">
        <v>59.15</v>
      </c>
      <c r="I1336" t="str">
        <f t="shared" si="140"/>
        <v>Low</v>
      </c>
      <c r="J1336">
        <v>4.21</v>
      </c>
      <c r="K1336">
        <f t="shared" si="145"/>
        <v>54.94</v>
      </c>
      <c r="L1336" t="str">
        <f t="shared" si="146"/>
        <v>August</v>
      </c>
      <c r="M1336">
        <f>YEAR(C1336)</f>
        <v>2024</v>
      </c>
      <c r="N1336">
        <v>359</v>
      </c>
      <c r="O1336" t="str">
        <f>IF(N1336&gt;=200,"Platinum",IF(N1336&gt;=100,"Gold",IF(N1336&gt;=50,"Silver","Regular")))</f>
        <v>Platinum</v>
      </c>
      <c r="P1336" s="4" t="str">
        <f t="shared" si="141"/>
        <v>Friday</v>
      </c>
      <c r="Q1336" s="4" t="str">
        <f t="shared" si="142"/>
        <v>Medium Order</v>
      </c>
      <c r="R1336" s="4" t="str">
        <f t="shared" si="143"/>
        <v>Weekday</v>
      </c>
      <c r="S1336" s="4" t="str">
        <f t="shared" si="144"/>
        <v>Regular</v>
      </c>
    </row>
    <row r="1337" spans="1:19" x14ac:dyDescent="0.3">
      <c r="A1337">
        <v>6635</v>
      </c>
      <c r="B1337" t="s">
        <v>31</v>
      </c>
      <c r="C1337" s="1">
        <v>45613</v>
      </c>
      <c r="D1337" t="s">
        <v>4</v>
      </c>
      <c r="E1337" t="s">
        <v>10</v>
      </c>
      <c r="F1337">
        <v>1</v>
      </c>
      <c r="G1337">
        <v>18.05</v>
      </c>
      <c r="H1337">
        <v>18.05</v>
      </c>
      <c r="I1337" t="str">
        <f t="shared" si="140"/>
        <v>Low</v>
      </c>
      <c r="J1337">
        <v>1.28</v>
      </c>
      <c r="K1337">
        <f t="shared" si="145"/>
        <v>16.77</v>
      </c>
      <c r="L1337" t="str">
        <f t="shared" si="146"/>
        <v>November</v>
      </c>
      <c r="M1337">
        <f>YEAR(C1337)</f>
        <v>2024</v>
      </c>
      <c r="N1337">
        <v>117</v>
      </c>
      <c r="O1337" t="str">
        <f>IF(N1337&gt;=200,"Platinum",IF(N1337&gt;=100,"Gold",IF(N1337&gt;=50,"Silver","Regular")))</f>
        <v>Gold</v>
      </c>
      <c r="P1337" s="4" t="str">
        <f t="shared" si="141"/>
        <v>Sunday</v>
      </c>
      <c r="Q1337" s="4" t="str">
        <f t="shared" si="142"/>
        <v>Small Order</v>
      </c>
      <c r="R1337" s="4" t="str">
        <f t="shared" si="143"/>
        <v>Weekend</v>
      </c>
      <c r="S1337" s="4" t="str">
        <f t="shared" si="144"/>
        <v>Regular</v>
      </c>
    </row>
    <row r="1338" spans="1:19" x14ac:dyDescent="0.3">
      <c r="A1338">
        <v>4130</v>
      </c>
      <c r="B1338" t="s">
        <v>31</v>
      </c>
      <c r="C1338" s="1">
        <v>45211</v>
      </c>
      <c r="D1338" t="s">
        <v>23</v>
      </c>
      <c r="E1338" t="s">
        <v>33</v>
      </c>
      <c r="F1338">
        <v>4</v>
      </c>
      <c r="G1338">
        <v>11.78</v>
      </c>
      <c r="H1338">
        <v>47.12</v>
      </c>
      <c r="I1338" t="str">
        <f t="shared" si="140"/>
        <v>Low</v>
      </c>
      <c r="J1338">
        <v>3.34</v>
      </c>
      <c r="K1338">
        <f t="shared" si="145"/>
        <v>43.78</v>
      </c>
      <c r="L1338" t="str">
        <f t="shared" si="146"/>
        <v>October</v>
      </c>
      <c r="M1338">
        <f>YEAR(C1338)</f>
        <v>2023</v>
      </c>
      <c r="N1338">
        <v>322</v>
      </c>
      <c r="O1338" t="str">
        <f>IF(N1338&gt;=200,"Platinum",IF(N1338&gt;=100,"Gold",IF(N1338&gt;=50,"Silver","Regular")))</f>
        <v>Platinum</v>
      </c>
      <c r="P1338" s="4" t="str">
        <f t="shared" si="141"/>
        <v>Thursday</v>
      </c>
      <c r="Q1338" s="4" t="str">
        <f t="shared" si="142"/>
        <v>Medium Order</v>
      </c>
      <c r="R1338" s="4" t="str">
        <f t="shared" si="143"/>
        <v>Weekday</v>
      </c>
      <c r="S1338" s="4" t="str">
        <f t="shared" si="144"/>
        <v>Regular</v>
      </c>
    </row>
    <row r="1339" spans="1:19" x14ac:dyDescent="0.3">
      <c r="A1339">
        <v>3725</v>
      </c>
      <c r="B1339" t="s">
        <v>3</v>
      </c>
      <c r="C1339" s="1">
        <v>45684</v>
      </c>
      <c r="D1339" t="s">
        <v>24</v>
      </c>
      <c r="E1339" t="s">
        <v>33</v>
      </c>
      <c r="F1339">
        <v>1</v>
      </c>
      <c r="G1339">
        <v>23.72</v>
      </c>
      <c r="H1339">
        <v>23.72</v>
      </c>
      <c r="I1339" t="str">
        <f t="shared" si="140"/>
        <v>Low</v>
      </c>
      <c r="J1339">
        <v>1.68</v>
      </c>
      <c r="K1339">
        <f t="shared" si="145"/>
        <v>22.04</v>
      </c>
      <c r="L1339" t="str">
        <f t="shared" si="146"/>
        <v>January</v>
      </c>
      <c r="M1339">
        <f>YEAR(C1339)</f>
        <v>2025</v>
      </c>
      <c r="N1339">
        <v>261</v>
      </c>
      <c r="O1339" t="str">
        <f>IF(N1339&gt;=200,"Platinum",IF(N1339&gt;=100,"Gold",IF(N1339&gt;=50,"Silver","Regular")))</f>
        <v>Platinum</v>
      </c>
      <c r="P1339" s="4" t="str">
        <f t="shared" si="141"/>
        <v>Monday</v>
      </c>
      <c r="Q1339" s="4" t="str">
        <f t="shared" si="142"/>
        <v>Small Order</v>
      </c>
      <c r="R1339" s="4" t="str">
        <f t="shared" si="143"/>
        <v>Weekday</v>
      </c>
      <c r="S1339" s="4" t="str">
        <f t="shared" si="144"/>
        <v>Regular</v>
      </c>
    </row>
    <row r="1340" spans="1:19" x14ac:dyDescent="0.3">
      <c r="A1340">
        <v>9698</v>
      </c>
      <c r="B1340" t="s">
        <v>13</v>
      </c>
      <c r="C1340" s="1">
        <v>45412</v>
      </c>
      <c r="D1340" t="s">
        <v>11</v>
      </c>
      <c r="E1340" t="s">
        <v>18</v>
      </c>
      <c r="F1340">
        <v>2</v>
      </c>
      <c r="G1340">
        <v>7.85</v>
      </c>
      <c r="H1340">
        <v>15.7</v>
      </c>
      <c r="I1340" t="str">
        <f t="shared" si="140"/>
        <v>Low</v>
      </c>
      <c r="J1340">
        <v>1.1100000000000001</v>
      </c>
      <c r="K1340">
        <f t="shared" si="145"/>
        <v>14.59</v>
      </c>
      <c r="L1340" t="str">
        <f t="shared" si="146"/>
        <v>April</v>
      </c>
      <c r="M1340">
        <f>YEAR(C1340)</f>
        <v>2024</v>
      </c>
      <c r="N1340">
        <v>162</v>
      </c>
      <c r="O1340" t="str">
        <f>IF(N1340&gt;=200,"Platinum",IF(N1340&gt;=100,"Gold",IF(N1340&gt;=50,"Silver","Regular")))</f>
        <v>Gold</v>
      </c>
      <c r="P1340" s="4" t="str">
        <f t="shared" si="141"/>
        <v>Tuesday</v>
      </c>
      <c r="Q1340" s="4" t="str">
        <f t="shared" si="142"/>
        <v>Small Order</v>
      </c>
      <c r="R1340" s="4" t="str">
        <f t="shared" si="143"/>
        <v>Weekday</v>
      </c>
      <c r="S1340" s="4" t="str">
        <f t="shared" si="144"/>
        <v>Regular</v>
      </c>
    </row>
    <row r="1341" spans="1:19" x14ac:dyDescent="0.3">
      <c r="A1341">
        <v>8141</v>
      </c>
      <c r="B1341" t="s">
        <v>25</v>
      </c>
      <c r="C1341" s="1">
        <v>45638</v>
      </c>
      <c r="D1341" t="s">
        <v>16</v>
      </c>
      <c r="E1341" t="s">
        <v>21</v>
      </c>
      <c r="F1341">
        <v>2</v>
      </c>
      <c r="G1341">
        <v>25.32</v>
      </c>
      <c r="H1341">
        <v>50.64</v>
      </c>
      <c r="I1341" t="str">
        <f t="shared" si="140"/>
        <v>Low</v>
      </c>
      <c r="J1341">
        <v>3.57</v>
      </c>
      <c r="K1341">
        <f t="shared" si="145"/>
        <v>47.07</v>
      </c>
      <c r="L1341" t="str">
        <f t="shared" si="146"/>
        <v>December</v>
      </c>
      <c r="M1341">
        <f>YEAR(C1341)</f>
        <v>2024</v>
      </c>
      <c r="N1341">
        <v>285</v>
      </c>
      <c r="O1341" t="str">
        <f>IF(N1341&gt;=200,"Platinum",IF(N1341&gt;=100,"Gold",IF(N1341&gt;=50,"Silver","Regular")))</f>
        <v>Platinum</v>
      </c>
      <c r="P1341" s="4" t="str">
        <f t="shared" si="141"/>
        <v>Thursday</v>
      </c>
      <c r="Q1341" s="4" t="str">
        <f t="shared" si="142"/>
        <v>Small Order</v>
      </c>
      <c r="R1341" s="4" t="str">
        <f t="shared" si="143"/>
        <v>Weekday</v>
      </c>
      <c r="S1341" s="4" t="str">
        <f t="shared" si="144"/>
        <v>Regular</v>
      </c>
    </row>
    <row r="1342" spans="1:19" x14ac:dyDescent="0.3">
      <c r="A1342">
        <v>4203</v>
      </c>
      <c r="B1342" t="s">
        <v>8</v>
      </c>
      <c r="C1342" s="1">
        <v>45500</v>
      </c>
      <c r="D1342" t="s">
        <v>24</v>
      </c>
      <c r="E1342" t="s">
        <v>35</v>
      </c>
      <c r="F1342">
        <v>2</v>
      </c>
      <c r="G1342">
        <v>24.27</v>
      </c>
      <c r="H1342">
        <v>48.54</v>
      </c>
      <c r="I1342" t="str">
        <f t="shared" si="140"/>
        <v>Low</v>
      </c>
      <c r="J1342">
        <v>3.42</v>
      </c>
      <c r="K1342">
        <f t="shared" si="145"/>
        <v>45.12</v>
      </c>
      <c r="L1342" t="str">
        <f t="shared" si="146"/>
        <v>July</v>
      </c>
      <c r="M1342">
        <f>YEAR(C1342)</f>
        <v>2024</v>
      </c>
      <c r="N1342">
        <v>487</v>
      </c>
      <c r="O1342" t="str">
        <f>IF(N1342&gt;=200,"Platinum",IF(N1342&gt;=100,"Gold",IF(N1342&gt;=50,"Silver","Regular")))</f>
        <v>Platinum</v>
      </c>
      <c r="P1342" s="4" t="str">
        <f t="shared" si="141"/>
        <v>Saturday</v>
      </c>
      <c r="Q1342" s="4" t="str">
        <f t="shared" si="142"/>
        <v>Small Order</v>
      </c>
      <c r="R1342" s="4" t="str">
        <f t="shared" si="143"/>
        <v>Weekend</v>
      </c>
      <c r="S1342" s="4" t="str">
        <f t="shared" si="144"/>
        <v>Regular</v>
      </c>
    </row>
    <row r="1343" spans="1:19" x14ac:dyDescent="0.3">
      <c r="A1343">
        <v>7337</v>
      </c>
      <c r="B1343" t="s">
        <v>20</v>
      </c>
      <c r="C1343" s="1">
        <v>45813</v>
      </c>
      <c r="D1343" t="s">
        <v>16</v>
      </c>
      <c r="E1343" t="s">
        <v>35</v>
      </c>
      <c r="F1343">
        <v>2</v>
      </c>
      <c r="G1343">
        <v>23.28</v>
      </c>
      <c r="H1343">
        <v>46.56</v>
      </c>
      <c r="I1343" t="str">
        <f t="shared" si="140"/>
        <v>Low</v>
      </c>
      <c r="J1343">
        <v>3.28</v>
      </c>
      <c r="K1343">
        <f t="shared" si="145"/>
        <v>43.28</v>
      </c>
      <c r="L1343" t="str">
        <f t="shared" si="146"/>
        <v>June</v>
      </c>
      <c r="M1343">
        <f>YEAR(C1343)</f>
        <v>2025</v>
      </c>
      <c r="N1343">
        <v>371</v>
      </c>
      <c r="O1343" t="str">
        <f>IF(N1343&gt;=200,"Platinum",IF(N1343&gt;=100,"Gold",IF(N1343&gt;=50,"Silver","Regular")))</f>
        <v>Platinum</v>
      </c>
      <c r="P1343" s="4" t="str">
        <f t="shared" si="141"/>
        <v>Thursday</v>
      </c>
      <c r="Q1343" s="4" t="str">
        <f t="shared" si="142"/>
        <v>Small Order</v>
      </c>
      <c r="R1343" s="4" t="str">
        <f t="shared" si="143"/>
        <v>Weekday</v>
      </c>
      <c r="S1343" s="4" t="str">
        <f t="shared" si="144"/>
        <v>Regular</v>
      </c>
    </row>
    <row r="1344" spans="1:19" x14ac:dyDescent="0.3">
      <c r="A1344">
        <v>9379</v>
      </c>
      <c r="B1344" t="s">
        <v>19</v>
      </c>
      <c r="C1344" s="1">
        <v>45234</v>
      </c>
      <c r="D1344" t="s">
        <v>34</v>
      </c>
      <c r="E1344" t="s">
        <v>28</v>
      </c>
      <c r="F1344">
        <v>3</v>
      </c>
      <c r="G1344">
        <v>10.6</v>
      </c>
      <c r="H1344">
        <v>31.8</v>
      </c>
      <c r="I1344" t="str">
        <f t="shared" si="140"/>
        <v>Low</v>
      </c>
      <c r="J1344">
        <v>2.23</v>
      </c>
      <c r="K1344">
        <f t="shared" si="145"/>
        <v>29.57</v>
      </c>
      <c r="L1344" t="str">
        <f t="shared" si="146"/>
        <v>November</v>
      </c>
      <c r="M1344">
        <f>YEAR(C1344)</f>
        <v>2023</v>
      </c>
      <c r="N1344">
        <v>56</v>
      </c>
      <c r="O1344" t="str">
        <f>IF(N1344&gt;=200,"Platinum",IF(N1344&gt;=100,"Gold",IF(N1344&gt;=50,"Silver","Regular")))</f>
        <v>Silver</v>
      </c>
      <c r="P1344" s="4" t="str">
        <f t="shared" si="141"/>
        <v>Saturday</v>
      </c>
      <c r="Q1344" s="4" t="str">
        <f t="shared" si="142"/>
        <v>Medium Order</v>
      </c>
      <c r="R1344" s="4" t="str">
        <f t="shared" si="143"/>
        <v>Weekend</v>
      </c>
      <c r="S1344" s="4" t="str">
        <f t="shared" si="144"/>
        <v>Regular</v>
      </c>
    </row>
    <row r="1345" spans="1:19" x14ac:dyDescent="0.3">
      <c r="A1345">
        <v>8606</v>
      </c>
      <c r="B1345" t="s">
        <v>15</v>
      </c>
      <c r="C1345" s="1">
        <v>45851</v>
      </c>
      <c r="D1345" t="s">
        <v>34</v>
      </c>
      <c r="E1345" t="s">
        <v>21</v>
      </c>
      <c r="F1345">
        <v>1</v>
      </c>
      <c r="G1345">
        <v>22.05</v>
      </c>
      <c r="H1345">
        <v>22.05</v>
      </c>
      <c r="I1345" t="str">
        <f t="shared" si="140"/>
        <v>Low</v>
      </c>
      <c r="J1345">
        <v>1.54</v>
      </c>
      <c r="K1345">
        <f t="shared" si="145"/>
        <v>20.51</v>
      </c>
      <c r="L1345" t="str">
        <f t="shared" si="146"/>
        <v>July</v>
      </c>
      <c r="M1345">
        <f>YEAR(C1345)</f>
        <v>2025</v>
      </c>
      <c r="N1345">
        <v>145</v>
      </c>
      <c r="O1345" t="str">
        <f>IF(N1345&gt;=200,"Platinum",IF(N1345&gt;=100,"Gold",IF(N1345&gt;=50,"Silver","Regular")))</f>
        <v>Gold</v>
      </c>
      <c r="P1345" s="4" t="str">
        <f t="shared" si="141"/>
        <v>Sunday</v>
      </c>
      <c r="Q1345" s="4" t="str">
        <f t="shared" si="142"/>
        <v>Small Order</v>
      </c>
      <c r="R1345" s="4" t="str">
        <f t="shared" si="143"/>
        <v>Weekend</v>
      </c>
      <c r="S1345" s="4" t="str">
        <f t="shared" si="144"/>
        <v>Regular</v>
      </c>
    </row>
    <row r="1346" spans="1:19" x14ac:dyDescent="0.3">
      <c r="A1346">
        <v>2936</v>
      </c>
      <c r="B1346" t="s">
        <v>25</v>
      </c>
      <c r="C1346" s="1">
        <v>45506</v>
      </c>
      <c r="D1346" t="s">
        <v>11</v>
      </c>
      <c r="E1346" t="s">
        <v>36</v>
      </c>
      <c r="F1346">
        <v>4</v>
      </c>
      <c r="G1346">
        <v>14.95</v>
      </c>
      <c r="H1346">
        <v>59.8</v>
      </c>
      <c r="I1346" t="str">
        <f t="shared" ref="I1346:I1409" si="147">IF(J1346=0,"No Discount",IF(J1346&lt;=5,"Low",IF(J1346&lt;=10,"Medium",IF(J1346&lt;=20,"High","Very High"))))</f>
        <v>Low</v>
      </c>
      <c r="J1346">
        <v>4.17</v>
      </c>
      <c r="K1346">
        <f t="shared" si="145"/>
        <v>55.629999999999995</v>
      </c>
      <c r="L1346" t="str">
        <f t="shared" si="146"/>
        <v>August</v>
      </c>
      <c r="M1346">
        <f>YEAR(C1346)</f>
        <v>2024</v>
      </c>
      <c r="N1346">
        <v>498</v>
      </c>
      <c r="O1346" t="str">
        <f>IF(N1346&gt;=200,"Platinum",IF(N1346&gt;=100,"Gold",IF(N1346&gt;=50,"Silver","Regular")))</f>
        <v>Platinum</v>
      </c>
      <c r="P1346" s="4" t="str">
        <f t="shared" ref="P1346:P1409" si="148">TEXT(C1346,"dddd")</f>
        <v>Friday</v>
      </c>
      <c r="Q1346" s="4" t="str">
        <f t="shared" ref="Q1346:Q1409" si="149">IF(F1346&lt;=2,"Small Order",IF(F1346&lt;=5,"Medium Order",IF(F1346&lt;=10,"Large Order","Bulk Order")))</f>
        <v>Medium Order</v>
      </c>
      <c r="R1346" s="4" t="str">
        <f t="shared" ref="R1346:R1409" si="150">IF(WEEKDAY(C1346,2)&gt;5,"Weekend","Weekday")</f>
        <v>Weekday</v>
      </c>
      <c r="S1346" s="4" t="str">
        <f t="shared" ref="S1346:S1409" si="151">IF(K1346&gt;=100,"High Value","Regular")</f>
        <v>Regular</v>
      </c>
    </row>
    <row r="1347" spans="1:19" x14ac:dyDescent="0.3">
      <c r="A1347">
        <v>5554</v>
      </c>
      <c r="B1347" t="s">
        <v>13</v>
      </c>
      <c r="C1347" s="1">
        <v>45497</v>
      </c>
      <c r="D1347" t="s">
        <v>23</v>
      </c>
      <c r="E1347" t="s">
        <v>26</v>
      </c>
      <c r="F1347">
        <v>4</v>
      </c>
      <c r="G1347">
        <v>10.16</v>
      </c>
      <c r="H1347">
        <v>40.64</v>
      </c>
      <c r="I1347" t="str">
        <f t="shared" si="147"/>
        <v>Low</v>
      </c>
      <c r="J1347">
        <v>2.83</v>
      </c>
      <c r="K1347">
        <f t="shared" ref="K1347:K1410" si="152">MAX(0,H1347-J1347)</f>
        <v>37.81</v>
      </c>
      <c r="L1347" t="str">
        <f t="shared" ref="L1347:L1410" si="153">TEXT(C1347,"mmmm")</f>
        <v>July</v>
      </c>
      <c r="M1347">
        <f>YEAR(C1347)</f>
        <v>2024</v>
      </c>
      <c r="N1347">
        <v>384</v>
      </c>
      <c r="O1347" t="str">
        <f>IF(N1347&gt;=200,"Platinum",IF(N1347&gt;=100,"Gold",IF(N1347&gt;=50,"Silver","Regular")))</f>
        <v>Platinum</v>
      </c>
      <c r="P1347" s="4" t="str">
        <f t="shared" si="148"/>
        <v>Wednesday</v>
      </c>
      <c r="Q1347" s="4" t="str">
        <f t="shared" si="149"/>
        <v>Medium Order</v>
      </c>
      <c r="R1347" s="4" t="str">
        <f t="shared" si="150"/>
        <v>Weekday</v>
      </c>
      <c r="S1347" s="4" t="str">
        <f t="shared" si="151"/>
        <v>Regular</v>
      </c>
    </row>
    <row r="1348" spans="1:19" x14ac:dyDescent="0.3">
      <c r="A1348">
        <v>9123</v>
      </c>
      <c r="B1348" t="s">
        <v>19</v>
      </c>
      <c r="C1348" s="1">
        <v>45606</v>
      </c>
      <c r="D1348" t="s">
        <v>16</v>
      </c>
      <c r="E1348" t="s">
        <v>2</v>
      </c>
      <c r="F1348">
        <v>5</v>
      </c>
      <c r="G1348">
        <v>10.34</v>
      </c>
      <c r="H1348">
        <v>51.7</v>
      </c>
      <c r="I1348" t="str">
        <f t="shared" si="147"/>
        <v>Low</v>
      </c>
      <c r="J1348">
        <v>3.6</v>
      </c>
      <c r="K1348">
        <f t="shared" si="152"/>
        <v>48.1</v>
      </c>
      <c r="L1348" t="str">
        <f t="shared" si="153"/>
        <v>November</v>
      </c>
      <c r="M1348">
        <f>YEAR(C1348)</f>
        <v>2024</v>
      </c>
      <c r="N1348">
        <v>455</v>
      </c>
      <c r="O1348" t="str">
        <f>IF(N1348&gt;=200,"Platinum",IF(N1348&gt;=100,"Gold",IF(N1348&gt;=50,"Silver","Regular")))</f>
        <v>Platinum</v>
      </c>
      <c r="P1348" s="4" t="str">
        <f t="shared" si="148"/>
        <v>Sunday</v>
      </c>
      <c r="Q1348" s="4" t="str">
        <f t="shared" si="149"/>
        <v>Medium Order</v>
      </c>
      <c r="R1348" s="4" t="str">
        <f t="shared" si="150"/>
        <v>Weekend</v>
      </c>
      <c r="S1348" s="4" t="str">
        <f t="shared" si="151"/>
        <v>Regular</v>
      </c>
    </row>
    <row r="1349" spans="1:19" x14ac:dyDescent="0.3">
      <c r="A1349">
        <v>5183</v>
      </c>
      <c r="B1349" t="s">
        <v>31</v>
      </c>
      <c r="C1349" s="1">
        <v>45662</v>
      </c>
      <c r="D1349" t="s">
        <v>17</v>
      </c>
      <c r="E1349" t="s">
        <v>30</v>
      </c>
      <c r="F1349">
        <v>1</v>
      </c>
      <c r="G1349">
        <v>16.239999999999998</v>
      </c>
      <c r="H1349">
        <v>16.239999999999998</v>
      </c>
      <c r="I1349" t="str">
        <f t="shared" si="147"/>
        <v>Low</v>
      </c>
      <c r="J1349">
        <v>1.1299999999999999</v>
      </c>
      <c r="K1349">
        <f t="shared" si="152"/>
        <v>15.11</v>
      </c>
      <c r="L1349" t="str">
        <f t="shared" si="153"/>
        <v>January</v>
      </c>
      <c r="M1349">
        <f>YEAR(C1349)</f>
        <v>2025</v>
      </c>
      <c r="N1349">
        <v>216</v>
      </c>
      <c r="O1349" t="str">
        <f>IF(N1349&gt;=200,"Platinum",IF(N1349&gt;=100,"Gold",IF(N1349&gt;=50,"Silver","Regular")))</f>
        <v>Platinum</v>
      </c>
      <c r="P1349" s="4" t="str">
        <f t="shared" si="148"/>
        <v>Sunday</v>
      </c>
      <c r="Q1349" s="4" t="str">
        <f t="shared" si="149"/>
        <v>Small Order</v>
      </c>
      <c r="R1349" s="4" t="str">
        <f t="shared" si="150"/>
        <v>Weekend</v>
      </c>
      <c r="S1349" s="4" t="str">
        <f t="shared" si="151"/>
        <v>Regular</v>
      </c>
    </row>
    <row r="1350" spans="1:19" x14ac:dyDescent="0.3">
      <c r="A1350">
        <v>6439</v>
      </c>
      <c r="B1350" t="s">
        <v>15</v>
      </c>
      <c r="C1350" s="1">
        <v>45820</v>
      </c>
      <c r="D1350" t="s">
        <v>34</v>
      </c>
      <c r="E1350" t="s">
        <v>33</v>
      </c>
      <c r="F1350">
        <v>5</v>
      </c>
      <c r="G1350">
        <v>5.67</v>
      </c>
      <c r="H1350">
        <v>28.35</v>
      </c>
      <c r="I1350" t="str">
        <f t="shared" si="147"/>
        <v>Low</v>
      </c>
      <c r="J1350">
        <v>1.97</v>
      </c>
      <c r="K1350">
        <f t="shared" si="152"/>
        <v>26.380000000000003</v>
      </c>
      <c r="L1350" t="str">
        <f t="shared" si="153"/>
        <v>June</v>
      </c>
      <c r="M1350">
        <f>YEAR(C1350)</f>
        <v>2025</v>
      </c>
      <c r="N1350">
        <v>426</v>
      </c>
      <c r="O1350" t="str">
        <f>IF(N1350&gt;=200,"Platinum",IF(N1350&gt;=100,"Gold",IF(N1350&gt;=50,"Silver","Regular")))</f>
        <v>Platinum</v>
      </c>
      <c r="P1350" s="4" t="str">
        <f t="shared" si="148"/>
        <v>Thursday</v>
      </c>
      <c r="Q1350" s="4" t="str">
        <f t="shared" si="149"/>
        <v>Medium Order</v>
      </c>
      <c r="R1350" s="4" t="str">
        <f t="shared" si="150"/>
        <v>Weekday</v>
      </c>
      <c r="S1350" s="4" t="str">
        <f t="shared" si="151"/>
        <v>Regular</v>
      </c>
    </row>
    <row r="1351" spans="1:19" x14ac:dyDescent="0.3">
      <c r="A1351">
        <v>7897</v>
      </c>
      <c r="B1351" t="s">
        <v>0</v>
      </c>
      <c r="C1351" s="1">
        <v>45553</v>
      </c>
      <c r="D1351" t="s">
        <v>23</v>
      </c>
      <c r="E1351" t="s">
        <v>7</v>
      </c>
      <c r="F1351">
        <v>2</v>
      </c>
      <c r="G1351">
        <v>12.39</v>
      </c>
      <c r="H1351">
        <v>24.78</v>
      </c>
      <c r="I1351" t="str">
        <f t="shared" si="147"/>
        <v>Low</v>
      </c>
      <c r="J1351">
        <v>1.72</v>
      </c>
      <c r="K1351">
        <f t="shared" si="152"/>
        <v>23.060000000000002</v>
      </c>
      <c r="L1351" t="str">
        <f t="shared" si="153"/>
        <v>September</v>
      </c>
      <c r="M1351">
        <f>YEAR(C1351)</f>
        <v>2024</v>
      </c>
      <c r="N1351">
        <v>165</v>
      </c>
      <c r="O1351" t="str">
        <f>IF(N1351&gt;=200,"Platinum",IF(N1351&gt;=100,"Gold",IF(N1351&gt;=50,"Silver","Regular")))</f>
        <v>Gold</v>
      </c>
      <c r="P1351" s="4" t="str">
        <f t="shared" si="148"/>
        <v>Wednesday</v>
      </c>
      <c r="Q1351" s="4" t="str">
        <f t="shared" si="149"/>
        <v>Small Order</v>
      </c>
      <c r="R1351" s="4" t="str">
        <f t="shared" si="150"/>
        <v>Weekday</v>
      </c>
      <c r="S1351" s="4" t="str">
        <f t="shared" si="151"/>
        <v>Regular</v>
      </c>
    </row>
    <row r="1352" spans="1:19" x14ac:dyDescent="0.3">
      <c r="A1352">
        <v>2494</v>
      </c>
      <c r="B1352" t="s">
        <v>3</v>
      </c>
      <c r="C1352" s="1">
        <v>45697</v>
      </c>
      <c r="D1352" t="s">
        <v>34</v>
      </c>
      <c r="E1352" t="s">
        <v>33</v>
      </c>
      <c r="F1352">
        <v>5</v>
      </c>
      <c r="G1352">
        <v>12.9</v>
      </c>
      <c r="H1352">
        <v>64.5</v>
      </c>
      <c r="I1352" t="str">
        <f t="shared" si="147"/>
        <v>Low</v>
      </c>
      <c r="J1352">
        <v>4.45</v>
      </c>
      <c r="K1352">
        <f t="shared" si="152"/>
        <v>60.05</v>
      </c>
      <c r="L1352" t="str">
        <f t="shared" si="153"/>
        <v>February</v>
      </c>
      <c r="M1352">
        <f>YEAR(C1352)</f>
        <v>2025</v>
      </c>
      <c r="N1352">
        <v>5</v>
      </c>
      <c r="O1352" t="str">
        <f>IF(N1352&gt;=200,"Platinum",IF(N1352&gt;=100,"Gold",IF(N1352&gt;=50,"Silver","Regular")))</f>
        <v>Regular</v>
      </c>
      <c r="P1352" s="4" t="str">
        <f t="shared" si="148"/>
        <v>Sunday</v>
      </c>
      <c r="Q1352" s="4" t="str">
        <f t="shared" si="149"/>
        <v>Medium Order</v>
      </c>
      <c r="R1352" s="4" t="str">
        <f t="shared" si="150"/>
        <v>Weekend</v>
      </c>
      <c r="S1352" s="4" t="str">
        <f t="shared" si="151"/>
        <v>Regular</v>
      </c>
    </row>
    <row r="1353" spans="1:19" x14ac:dyDescent="0.3">
      <c r="A1353">
        <v>5325</v>
      </c>
      <c r="B1353" t="s">
        <v>3</v>
      </c>
      <c r="C1353" s="1">
        <v>45537</v>
      </c>
      <c r="D1353" t="s">
        <v>4</v>
      </c>
      <c r="E1353" t="s">
        <v>26</v>
      </c>
      <c r="F1353">
        <v>1</v>
      </c>
      <c r="G1353">
        <v>23.12</v>
      </c>
      <c r="H1353">
        <v>23.12</v>
      </c>
      <c r="I1353" t="str">
        <f t="shared" si="147"/>
        <v>Low</v>
      </c>
      <c r="J1353">
        <v>1.59</v>
      </c>
      <c r="K1353">
        <f t="shared" si="152"/>
        <v>21.53</v>
      </c>
      <c r="L1353" t="str">
        <f t="shared" si="153"/>
        <v>September</v>
      </c>
      <c r="M1353">
        <f>YEAR(C1353)</f>
        <v>2024</v>
      </c>
      <c r="N1353">
        <v>139</v>
      </c>
      <c r="O1353" t="str">
        <f>IF(N1353&gt;=200,"Platinum",IF(N1353&gt;=100,"Gold",IF(N1353&gt;=50,"Silver","Regular")))</f>
        <v>Gold</v>
      </c>
      <c r="P1353" s="4" t="str">
        <f t="shared" si="148"/>
        <v>Monday</v>
      </c>
      <c r="Q1353" s="4" t="str">
        <f t="shared" si="149"/>
        <v>Small Order</v>
      </c>
      <c r="R1353" s="4" t="str">
        <f t="shared" si="150"/>
        <v>Weekday</v>
      </c>
      <c r="S1353" s="4" t="str">
        <f t="shared" si="151"/>
        <v>Regular</v>
      </c>
    </row>
    <row r="1354" spans="1:19" x14ac:dyDescent="0.3">
      <c r="A1354">
        <v>7043</v>
      </c>
      <c r="B1354" t="s">
        <v>8</v>
      </c>
      <c r="C1354" s="1">
        <v>45275</v>
      </c>
      <c r="D1354" t="s">
        <v>16</v>
      </c>
      <c r="E1354" t="s">
        <v>26</v>
      </c>
      <c r="F1354">
        <v>2</v>
      </c>
      <c r="G1354">
        <v>26.35</v>
      </c>
      <c r="H1354">
        <v>52.7</v>
      </c>
      <c r="I1354" t="str">
        <f t="shared" si="147"/>
        <v>Low</v>
      </c>
      <c r="J1354">
        <v>3.62</v>
      </c>
      <c r="K1354">
        <f t="shared" si="152"/>
        <v>49.080000000000005</v>
      </c>
      <c r="L1354" t="str">
        <f t="shared" si="153"/>
        <v>December</v>
      </c>
      <c r="M1354">
        <f>YEAR(C1354)</f>
        <v>2023</v>
      </c>
      <c r="N1354">
        <v>448</v>
      </c>
      <c r="O1354" t="str">
        <f>IF(N1354&gt;=200,"Platinum",IF(N1354&gt;=100,"Gold",IF(N1354&gt;=50,"Silver","Regular")))</f>
        <v>Platinum</v>
      </c>
      <c r="P1354" s="4" t="str">
        <f t="shared" si="148"/>
        <v>Friday</v>
      </c>
      <c r="Q1354" s="4" t="str">
        <f t="shared" si="149"/>
        <v>Small Order</v>
      </c>
      <c r="R1354" s="4" t="str">
        <f t="shared" si="150"/>
        <v>Weekday</v>
      </c>
      <c r="S1354" s="4" t="str">
        <f t="shared" si="151"/>
        <v>Regular</v>
      </c>
    </row>
    <row r="1355" spans="1:19" x14ac:dyDescent="0.3">
      <c r="A1355">
        <v>9327</v>
      </c>
      <c r="B1355" t="s">
        <v>8</v>
      </c>
      <c r="C1355" s="1">
        <v>45724</v>
      </c>
      <c r="D1355" t="s">
        <v>24</v>
      </c>
      <c r="E1355" t="s">
        <v>12</v>
      </c>
      <c r="F1355">
        <v>1</v>
      </c>
      <c r="G1355">
        <v>17.04</v>
      </c>
      <c r="H1355">
        <v>17.04</v>
      </c>
      <c r="I1355" t="str">
        <f t="shared" si="147"/>
        <v>Low</v>
      </c>
      <c r="J1355">
        <v>1.17</v>
      </c>
      <c r="K1355">
        <f t="shared" si="152"/>
        <v>15.87</v>
      </c>
      <c r="L1355" t="str">
        <f t="shared" si="153"/>
        <v>March</v>
      </c>
      <c r="M1355">
        <f>YEAR(C1355)</f>
        <v>2025</v>
      </c>
      <c r="N1355">
        <v>284</v>
      </c>
      <c r="O1355" t="str">
        <f>IF(N1355&gt;=200,"Platinum",IF(N1355&gt;=100,"Gold",IF(N1355&gt;=50,"Silver","Regular")))</f>
        <v>Platinum</v>
      </c>
      <c r="P1355" s="4" t="str">
        <f t="shared" si="148"/>
        <v>Saturday</v>
      </c>
      <c r="Q1355" s="4" t="str">
        <f t="shared" si="149"/>
        <v>Small Order</v>
      </c>
      <c r="R1355" s="4" t="str">
        <f t="shared" si="150"/>
        <v>Weekend</v>
      </c>
      <c r="S1355" s="4" t="str">
        <f t="shared" si="151"/>
        <v>Regular</v>
      </c>
    </row>
    <row r="1356" spans="1:19" x14ac:dyDescent="0.3">
      <c r="A1356">
        <v>1894</v>
      </c>
      <c r="B1356" t="s">
        <v>19</v>
      </c>
      <c r="C1356" s="1">
        <v>45753</v>
      </c>
      <c r="D1356" t="s">
        <v>6</v>
      </c>
      <c r="E1356" t="s">
        <v>36</v>
      </c>
      <c r="F1356">
        <v>3</v>
      </c>
      <c r="G1356">
        <v>18.39</v>
      </c>
      <c r="H1356">
        <v>55.17</v>
      </c>
      <c r="I1356" t="str">
        <f t="shared" si="147"/>
        <v>Low</v>
      </c>
      <c r="J1356">
        <v>3.78</v>
      </c>
      <c r="K1356">
        <f t="shared" si="152"/>
        <v>51.39</v>
      </c>
      <c r="L1356" t="str">
        <f t="shared" si="153"/>
        <v>April</v>
      </c>
      <c r="M1356">
        <f>YEAR(C1356)</f>
        <v>2025</v>
      </c>
      <c r="N1356">
        <v>320</v>
      </c>
      <c r="O1356" t="str">
        <f>IF(N1356&gt;=200,"Platinum",IF(N1356&gt;=100,"Gold",IF(N1356&gt;=50,"Silver","Regular")))</f>
        <v>Platinum</v>
      </c>
      <c r="P1356" s="4" t="str">
        <f t="shared" si="148"/>
        <v>Sunday</v>
      </c>
      <c r="Q1356" s="4" t="str">
        <f t="shared" si="149"/>
        <v>Medium Order</v>
      </c>
      <c r="R1356" s="4" t="str">
        <f t="shared" si="150"/>
        <v>Weekend</v>
      </c>
      <c r="S1356" s="4" t="str">
        <f t="shared" si="151"/>
        <v>Regular</v>
      </c>
    </row>
    <row r="1357" spans="1:19" x14ac:dyDescent="0.3">
      <c r="A1357">
        <v>5557</v>
      </c>
      <c r="B1357" t="s">
        <v>0</v>
      </c>
      <c r="C1357" s="1">
        <v>45773</v>
      </c>
      <c r="D1357" t="s">
        <v>23</v>
      </c>
      <c r="E1357" t="s">
        <v>18</v>
      </c>
      <c r="F1357">
        <v>4</v>
      </c>
      <c r="G1357">
        <v>18.29</v>
      </c>
      <c r="H1357">
        <v>73.16</v>
      </c>
      <c r="I1357" t="str">
        <f t="shared" si="147"/>
        <v>Low</v>
      </c>
      <c r="J1357">
        <v>4.9800000000000004</v>
      </c>
      <c r="K1357">
        <f t="shared" si="152"/>
        <v>68.179999999999993</v>
      </c>
      <c r="L1357" t="str">
        <f t="shared" si="153"/>
        <v>April</v>
      </c>
      <c r="M1357">
        <f>YEAR(C1357)</f>
        <v>2025</v>
      </c>
      <c r="N1357">
        <v>197</v>
      </c>
      <c r="O1357" t="str">
        <f>IF(N1357&gt;=200,"Platinum",IF(N1357&gt;=100,"Gold",IF(N1357&gt;=50,"Silver","Regular")))</f>
        <v>Gold</v>
      </c>
      <c r="P1357" s="4" t="str">
        <f t="shared" si="148"/>
        <v>Saturday</v>
      </c>
      <c r="Q1357" s="4" t="str">
        <f t="shared" si="149"/>
        <v>Medium Order</v>
      </c>
      <c r="R1357" s="4" t="str">
        <f t="shared" si="150"/>
        <v>Weekend</v>
      </c>
      <c r="S1357" s="4" t="str">
        <f t="shared" si="151"/>
        <v>Regular</v>
      </c>
    </row>
    <row r="1358" spans="1:19" x14ac:dyDescent="0.3">
      <c r="A1358">
        <v>3088</v>
      </c>
      <c r="B1358" t="s">
        <v>15</v>
      </c>
      <c r="C1358" s="1">
        <v>45177</v>
      </c>
      <c r="D1358" t="s">
        <v>9</v>
      </c>
      <c r="E1358" t="s">
        <v>10</v>
      </c>
      <c r="F1358">
        <v>2</v>
      </c>
      <c r="G1358">
        <v>15.38</v>
      </c>
      <c r="H1358">
        <v>30.76</v>
      </c>
      <c r="I1358" t="str">
        <f t="shared" si="147"/>
        <v>Low</v>
      </c>
      <c r="J1358">
        <v>2.0699999999999998</v>
      </c>
      <c r="K1358">
        <f t="shared" si="152"/>
        <v>28.69</v>
      </c>
      <c r="L1358" t="str">
        <f t="shared" si="153"/>
        <v>September</v>
      </c>
      <c r="M1358">
        <f>YEAR(C1358)</f>
        <v>2023</v>
      </c>
      <c r="N1358">
        <v>254</v>
      </c>
      <c r="O1358" t="str">
        <f>IF(N1358&gt;=200,"Platinum",IF(N1358&gt;=100,"Gold",IF(N1358&gt;=50,"Silver","Regular")))</f>
        <v>Platinum</v>
      </c>
      <c r="P1358" s="4" t="str">
        <f t="shared" si="148"/>
        <v>Friday</v>
      </c>
      <c r="Q1358" s="4" t="str">
        <f t="shared" si="149"/>
        <v>Small Order</v>
      </c>
      <c r="R1358" s="4" t="str">
        <f t="shared" si="150"/>
        <v>Weekday</v>
      </c>
      <c r="S1358" s="4" t="str">
        <f t="shared" si="151"/>
        <v>Regular</v>
      </c>
    </row>
    <row r="1359" spans="1:19" x14ac:dyDescent="0.3">
      <c r="A1359">
        <v>8238</v>
      </c>
      <c r="B1359" t="s">
        <v>31</v>
      </c>
      <c r="C1359" s="1">
        <v>45488</v>
      </c>
      <c r="D1359" t="s">
        <v>6</v>
      </c>
      <c r="E1359" t="s">
        <v>32</v>
      </c>
      <c r="F1359">
        <v>5</v>
      </c>
      <c r="G1359">
        <v>13.95</v>
      </c>
      <c r="H1359">
        <v>69.75</v>
      </c>
      <c r="I1359" t="str">
        <f t="shared" si="147"/>
        <v>Low</v>
      </c>
      <c r="J1359">
        <v>4.67</v>
      </c>
      <c r="K1359">
        <f t="shared" si="152"/>
        <v>65.08</v>
      </c>
      <c r="L1359" t="str">
        <f t="shared" si="153"/>
        <v>July</v>
      </c>
      <c r="M1359">
        <f>YEAR(C1359)</f>
        <v>2024</v>
      </c>
      <c r="N1359">
        <v>360</v>
      </c>
      <c r="O1359" t="str">
        <f>IF(N1359&gt;=200,"Platinum",IF(N1359&gt;=100,"Gold",IF(N1359&gt;=50,"Silver","Regular")))</f>
        <v>Platinum</v>
      </c>
      <c r="P1359" s="4" t="str">
        <f t="shared" si="148"/>
        <v>Monday</v>
      </c>
      <c r="Q1359" s="4" t="str">
        <f t="shared" si="149"/>
        <v>Medium Order</v>
      </c>
      <c r="R1359" s="4" t="str">
        <f t="shared" si="150"/>
        <v>Weekday</v>
      </c>
      <c r="S1359" s="4" t="str">
        <f t="shared" si="151"/>
        <v>Regular</v>
      </c>
    </row>
    <row r="1360" spans="1:19" x14ac:dyDescent="0.3">
      <c r="A1360">
        <v>2121</v>
      </c>
      <c r="B1360" t="s">
        <v>13</v>
      </c>
      <c r="C1360" s="1">
        <v>45327</v>
      </c>
      <c r="D1360" t="s">
        <v>23</v>
      </c>
      <c r="E1360" t="s">
        <v>37</v>
      </c>
      <c r="F1360">
        <v>2</v>
      </c>
      <c r="G1360">
        <v>13.94</v>
      </c>
      <c r="H1360">
        <v>27.88</v>
      </c>
      <c r="I1360" t="str">
        <f t="shared" si="147"/>
        <v>Low</v>
      </c>
      <c r="J1360">
        <v>1.86</v>
      </c>
      <c r="K1360">
        <f t="shared" si="152"/>
        <v>26.02</v>
      </c>
      <c r="L1360" t="str">
        <f t="shared" si="153"/>
        <v>February</v>
      </c>
      <c r="M1360">
        <f>YEAR(C1360)</f>
        <v>2024</v>
      </c>
      <c r="N1360">
        <v>358</v>
      </c>
      <c r="O1360" t="str">
        <f>IF(N1360&gt;=200,"Platinum",IF(N1360&gt;=100,"Gold",IF(N1360&gt;=50,"Silver","Regular")))</f>
        <v>Platinum</v>
      </c>
      <c r="P1360" s="4" t="str">
        <f t="shared" si="148"/>
        <v>Monday</v>
      </c>
      <c r="Q1360" s="4" t="str">
        <f t="shared" si="149"/>
        <v>Small Order</v>
      </c>
      <c r="R1360" s="4" t="str">
        <f t="shared" si="150"/>
        <v>Weekday</v>
      </c>
      <c r="S1360" s="4" t="str">
        <f t="shared" si="151"/>
        <v>Regular</v>
      </c>
    </row>
    <row r="1361" spans="1:19" x14ac:dyDescent="0.3">
      <c r="A1361">
        <v>1554</v>
      </c>
      <c r="B1361" t="s">
        <v>15</v>
      </c>
      <c r="C1361" s="1">
        <v>45796</v>
      </c>
      <c r="D1361" t="s">
        <v>16</v>
      </c>
      <c r="E1361" t="s">
        <v>36</v>
      </c>
      <c r="F1361">
        <v>3</v>
      </c>
      <c r="G1361">
        <v>23.03</v>
      </c>
      <c r="H1361">
        <v>69.09</v>
      </c>
      <c r="I1361" t="str">
        <f t="shared" si="147"/>
        <v>Low</v>
      </c>
      <c r="J1361">
        <v>4.5999999999999996</v>
      </c>
      <c r="K1361">
        <f t="shared" si="152"/>
        <v>64.490000000000009</v>
      </c>
      <c r="L1361" t="str">
        <f t="shared" si="153"/>
        <v>May</v>
      </c>
      <c r="M1361">
        <f>YEAR(C1361)</f>
        <v>2025</v>
      </c>
      <c r="N1361">
        <v>395</v>
      </c>
      <c r="O1361" t="str">
        <f>IF(N1361&gt;=200,"Platinum",IF(N1361&gt;=100,"Gold",IF(N1361&gt;=50,"Silver","Regular")))</f>
        <v>Platinum</v>
      </c>
      <c r="P1361" s="4" t="str">
        <f t="shared" si="148"/>
        <v>Monday</v>
      </c>
      <c r="Q1361" s="4" t="str">
        <f t="shared" si="149"/>
        <v>Medium Order</v>
      </c>
      <c r="R1361" s="4" t="str">
        <f t="shared" si="150"/>
        <v>Weekday</v>
      </c>
      <c r="S1361" s="4" t="str">
        <f t="shared" si="151"/>
        <v>Regular</v>
      </c>
    </row>
    <row r="1362" spans="1:19" x14ac:dyDescent="0.3">
      <c r="A1362">
        <v>4882</v>
      </c>
      <c r="B1362" t="s">
        <v>19</v>
      </c>
      <c r="C1362" s="1">
        <v>45308</v>
      </c>
      <c r="D1362" t="s">
        <v>6</v>
      </c>
      <c r="E1362" t="s">
        <v>10</v>
      </c>
      <c r="F1362">
        <v>5</v>
      </c>
      <c r="G1362">
        <v>14.26</v>
      </c>
      <c r="H1362">
        <v>71.3</v>
      </c>
      <c r="I1362" t="str">
        <f t="shared" si="147"/>
        <v>Low</v>
      </c>
      <c r="J1362">
        <v>4.7</v>
      </c>
      <c r="K1362">
        <f t="shared" si="152"/>
        <v>66.599999999999994</v>
      </c>
      <c r="L1362" t="str">
        <f t="shared" si="153"/>
        <v>January</v>
      </c>
      <c r="M1362">
        <f>YEAR(C1362)</f>
        <v>2024</v>
      </c>
      <c r="N1362">
        <v>340</v>
      </c>
      <c r="O1362" t="str">
        <f>IF(N1362&gt;=200,"Platinum",IF(N1362&gt;=100,"Gold",IF(N1362&gt;=50,"Silver","Regular")))</f>
        <v>Platinum</v>
      </c>
      <c r="P1362" s="4" t="str">
        <f t="shared" si="148"/>
        <v>Wednesday</v>
      </c>
      <c r="Q1362" s="4" t="str">
        <f t="shared" si="149"/>
        <v>Medium Order</v>
      </c>
      <c r="R1362" s="4" t="str">
        <f t="shared" si="150"/>
        <v>Weekday</v>
      </c>
      <c r="S1362" s="4" t="str">
        <f t="shared" si="151"/>
        <v>Regular</v>
      </c>
    </row>
    <row r="1363" spans="1:19" x14ac:dyDescent="0.3">
      <c r="A1363">
        <v>2314</v>
      </c>
      <c r="B1363" t="s">
        <v>19</v>
      </c>
      <c r="C1363" s="1">
        <v>45675</v>
      </c>
      <c r="D1363" t="s">
        <v>16</v>
      </c>
      <c r="E1363" t="s">
        <v>5</v>
      </c>
      <c r="F1363">
        <v>3</v>
      </c>
      <c r="G1363">
        <v>21.35</v>
      </c>
      <c r="H1363">
        <v>64.05</v>
      </c>
      <c r="I1363" t="str">
        <f t="shared" si="147"/>
        <v>Low</v>
      </c>
      <c r="J1363">
        <v>4.22</v>
      </c>
      <c r="K1363">
        <f t="shared" si="152"/>
        <v>59.83</v>
      </c>
      <c r="L1363" t="str">
        <f t="shared" si="153"/>
        <v>January</v>
      </c>
      <c r="M1363">
        <f>YEAR(C1363)</f>
        <v>2025</v>
      </c>
      <c r="N1363">
        <v>480</v>
      </c>
      <c r="O1363" t="str">
        <f>IF(N1363&gt;=200,"Platinum",IF(N1363&gt;=100,"Gold",IF(N1363&gt;=50,"Silver","Regular")))</f>
        <v>Platinum</v>
      </c>
      <c r="P1363" s="4" t="str">
        <f t="shared" si="148"/>
        <v>Saturday</v>
      </c>
      <c r="Q1363" s="4" t="str">
        <f t="shared" si="149"/>
        <v>Medium Order</v>
      </c>
      <c r="R1363" s="4" t="str">
        <f t="shared" si="150"/>
        <v>Weekend</v>
      </c>
      <c r="S1363" s="4" t="str">
        <f t="shared" si="151"/>
        <v>Regular</v>
      </c>
    </row>
    <row r="1364" spans="1:19" x14ac:dyDescent="0.3">
      <c r="A1364">
        <v>7334</v>
      </c>
      <c r="B1364" t="s">
        <v>13</v>
      </c>
      <c r="C1364" s="1">
        <v>45408</v>
      </c>
      <c r="D1364" t="s">
        <v>16</v>
      </c>
      <c r="E1364" t="s">
        <v>7</v>
      </c>
      <c r="F1364">
        <v>3</v>
      </c>
      <c r="G1364">
        <v>21.91</v>
      </c>
      <c r="H1364">
        <v>65.73</v>
      </c>
      <c r="I1364" t="str">
        <f t="shared" si="147"/>
        <v>Low</v>
      </c>
      <c r="J1364">
        <v>4.3099999999999996</v>
      </c>
      <c r="K1364">
        <f t="shared" si="152"/>
        <v>61.42</v>
      </c>
      <c r="L1364" t="str">
        <f t="shared" si="153"/>
        <v>April</v>
      </c>
      <c r="M1364">
        <f>YEAR(C1364)</f>
        <v>2024</v>
      </c>
      <c r="N1364">
        <v>160</v>
      </c>
      <c r="O1364" t="str">
        <f>IF(N1364&gt;=200,"Platinum",IF(N1364&gt;=100,"Gold",IF(N1364&gt;=50,"Silver","Regular")))</f>
        <v>Gold</v>
      </c>
      <c r="P1364" s="4" t="str">
        <f t="shared" si="148"/>
        <v>Friday</v>
      </c>
      <c r="Q1364" s="4" t="str">
        <f t="shared" si="149"/>
        <v>Medium Order</v>
      </c>
      <c r="R1364" s="4" t="str">
        <f t="shared" si="150"/>
        <v>Weekday</v>
      </c>
      <c r="S1364" s="4" t="str">
        <f t="shared" si="151"/>
        <v>Regular</v>
      </c>
    </row>
    <row r="1365" spans="1:19" x14ac:dyDescent="0.3">
      <c r="A1365">
        <v>8121</v>
      </c>
      <c r="B1365" t="s">
        <v>13</v>
      </c>
      <c r="C1365" s="1">
        <v>45359</v>
      </c>
      <c r="D1365" t="s">
        <v>1</v>
      </c>
      <c r="E1365" t="s">
        <v>2</v>
      </c>
      <c r="F1365">
        <v>2</v>
      </c>
      <c r="G1365">
        <v>22.89</v>
      </c>
      <c r="H1365">
        <v>45.78</v>
      </c>
      <c r="I1365" t="str">
        <f t="shared" si="147"/>
        <v>Low</v>
      </c>
      <c r="J1365">
        <v>3</v>
      </c>
      <c r="K1365">
        <f t="shared" si="152"/>
        <v>42.78</v>
      </c>
      <c r="L1365" t="str">
        <f t="shared" si="153"/>
        <v>March</v>
      </c>
      <c r="M1365">
        <f>YEAR(C1365)</f>
        <v>2024</v>
      </c>
      <c r="N1365">
        <v>406</v>
      </c>
      <c r="O1365" t="str">
        <f>IF(N1365&gt;=200,"Platinum",IF(N1365&gt;=100,"Gold",IF(N1365&gt;=50,"Silver","Regular")))</f>
        <v>Platinum</v>
      </c>
      <c r="P1365" s="4" t="str">
        <f t="shared" si="148"/>
        <v>Friday</v>
      </c>
      <c r="Q1365" s="4" t="str">
        <f t="shared" si="149"/>
        <v>Small Order</v>
      </c>
      <c r="R1365" s="4" t="str">
        <f t="shared" si="150"/>
        <v>Weekday</v>
      </c>
      <c r="S1365" s="4" t="str">
        <f t="shared" si="151"/>
        <v>Regular</v>
      </c>
    </row>
    <row r="1366" spans="1:19" x14ac:dyDescent="0.3">
      <c r="A1366">
        <v>4733</v>
      </c>
      <c r="B1366" t="s">
        <v>25</v>
      </c>
      <c r="C1366" s="1">
        <v>45745</v>
      </c>
      <c r="D1366" t="s">
        <v>1</v>
      </c>
      <c r="E1366" t="s">
        <v>29</v>
      </c>
      <c r="F1366">
        <v>5</v>
      </c>
      <c r="G1366">
        <v>14.82</v>
      </c>
      <c r="H1366">
        <v>74.099999999999994</v>
      </c>
      <c r="I1366" t="str">
        <f t="shared" si="147"/>
        <v>Low</v>
      </c>
      <c r="J1366">
        <v>4.84</v>
      </c>
      <c r="K1366">
        <f t="shared" si="152"/>
        <v>69.259999999999991</v>
      </c>
      <c r="L1366" t="str">
        <f t="shared" si="153"/>
        <v>March</v>
      </c>
      <c r="M1366">
        <f>YEAR(C1366)</f>
        <v>2025</v>
      </c>
      <c r="N1366">
        <v>470</v>
      </c>
      <c r="O1366" t="str">
        <f>IF(N1366&gt;=200,"Platinum",IF(N1366&gt;=100,"Gold",IF(N1366&gt;=50,"Silver","Regular")))</f>
        <v>Platinum</v>
      </c>
      <c r="P1366" s="4" t="str">
        <f t="shared" si="148"/>
        <v>Saturday</v>
      </c>
      <c r="Q1366" s="4" t="str">
        <f t="shared" si="149"/>
        <v>Medium Order</v>
      </c>
      <c r="R1366" s="4" t="str">
        <f t="shared" si="150"/>
        <v>Weekend</v>
      </c>
      <c r="S1366" s="4" t="str">
        <f t="shared" si="151"/>
        <v>Regular</v>
      </c>
    </row>
    <row r="1367" spans="1:19" x14ac:dyDescent="0.3">
      <c r="A1367">
        <v>6484</v>
      </c>
      <c r="B1367" t="s">
        <v>25</v>
      </c>
      <c r="C1367" s="1">
        <v>45479</v>
      </c>
      <c r="D1367" t="s">
        <v>17</v>
      </c>
      <c r="E1367" t="s">
        <v>21</v>
      </c>
      <c r="F1367">
        <v>3</v>
      </c>
      <c r="G1367">
        <v>17.260000000000002</v>
      </c>
      <c r="H1367">
        <v>51.78</v>
      </c>
      <c r="I1367" t="str">
        <f t="shared" si="147"/>
        <v>Low</v>
      </c>
      <c r="J1367">
        <v>3.37</v>
      </c>
      <c r="K1367">
        <f t="shared" si="152"/>
        <v>48.410000000000004</v>
      </c>
      <c r="L1367" t="str">
        <f t="shared" si="153"/>
        <v>July</v>
      </c>
      <c r="M1367">
        <f>YEAR(C1367)</f>
        <v>2024</v>
      </c>
      <c r="N1367">
        <v>328</v>
      </c>
      <c r="O1367" t="str">
        <f>IF(N1367&gt;=200,"Platinum",IF(N1367&gt;=100,"Gold",IF(N1367&gt;=50,"Silver","Regular")))</f>
        <v>Platinum</v>
      </c>
      <c r="P1367" s="4" t="str">
        <f t="shared" si="148"/>
        <v>Saturday</v>
      </c>
      <c r="Q1367" s="4" t="str">
        <f t="shared" si="149"/>
        <v>Medium Order</v>
      </c>
      <c r="R1367" s="4" t="str">
        <f t="shared" si="150"/>
        <v>Weekend</v>
      </c>
      <c r="S1367" s="4" t="str">
        <f t="shared" si="151"/>
        <v>Regular</v>
      </c>
    </row>
    <row r="1368" spans="1:19" x14ac:dyDescent="0.3">
      <c r="A1368">
        <v>6085</v>
      </c>
      <c r="B1368" t="s">
        <v>25</v>
      </c>
      <c r="C1368" s="1">
        <v>45319</v>
      </c>
      <c r="D1368" t="s">
        <v>4</v>
      </c>
      <c r="E1368" t="s">
        <v>18</v>
      </c>
      <c r="F1368">
        <v>5</v>
      </c>
      <c r="G1368">
        <v>12.39</v>
      </c>
      <c r="H1368">
        <v>61.95</v>
      </c>
      <c r="I1368" t="str">
        <f t="shared" si="147"/>
        <v>Low</v>
      </c>
      <c r="J1368">
        <v>4.0199999999999996</v>
      </c>
      <c r="K1368">
        <f t="shared" si="152"/>
        <v>57.930000000000007</v>
      </c>
      <c r="L1368" t="str">
        <f t="shared" si="153"/>
        <v>January</v>
      </c>
      <c r="M1368">
        <f>YEAR(C1368)</f>
        <v>2024</v>
      </c>
      <c r="N1368">
        <v>65</v>
      </c>
      <c r="O1368" t="str">
        <f>IF(N1368&gt;=200,"Platinum",IF(N1368&gt;=100,"Gold",IF(N1368&gt;=50,"Silver","Regular")))</f>
        <v>Silver</v>
      </c>
      <c r="P1368" s="4" t="str">
        <f t="shared" si="148"/>
        <v>Sunday</v>
      </c>
      <c r="Q1368" s="4" t="str">
        <f t="shared" si="149"/>
        <v>Medium Order</v>
      </c>
      <c r="R1368" s="4" t="str">
        <f t="shared" si="150"/>
        <v>Weekend</v>
      </c>
      <c r="S1368" s="4" t="str">
        <f t="shared" si="151"/>
        <v>Regular</v>
      </c>
    </row>
    <row r="1369" spans="1:19" x14ac:dyDescent="0.3">
      <c r="A1369">
        <v>3830</v>
      </c>
      <c r="B1369" t="s">
        <v>15</v>
      </c>
      <c r="C1369" s="1">
        <v>45737</v>
      </c>
      <c r="D1369" t="s">
        <v>1</v>
      </c>
      <c r="E1369" t="s">
        <v>22</v>
      </c>
      <c r="F1369">
        <v>1</v>
      </c>
      <c r="G1369">
        <v>25.45</v>
      </c>
      <c r="H1369">
        <v>25.45</v>
      </c>
      <c r="I1369" t="str">
        <f t="shared" si="147"/>
        <v>Low</v>
      </c>
      <c r="J1369">
        <v>1.64</v>
      </c>
      <c r="K1369">
        <f t="shared" si="152"/>
        <v>23.81</v>
      </c>
      <c r="L1369" t="str">
        <f t="shared" si="153"/>
        <v>March</v>
      </c>
      <c r="M1369">
        <f>YEAR(C1369)</f>
        <v>2025</v>
      </c>
      <c r="N1369">
        <v>308</v>
      </c>
      <c r="O1369" t="str">
        <f>IF(N1369&gt;=200,"Platinum",IF(N1369&gt;=100,"Gold",IF(N1369&gt;=50,"Silver","Regular")))</f>
        <v>Platinum</v>
      </c>
      <c r="P1369" s="4" t="str">
        <f t="shared" si="148"/>
        <v>Friday</v>
      </c>
      <c r="Q1369" s="4" t="str">
        <f t="shared" si="149"/>
        <v>Small Order</v>
      </c>
      <c r="R1369" s="4" t="str">
        <f t="shared" si="150"/>
        <v>Weekday</v>
      </c>
      <c r="S1369" s="4" t="str">
        <f t="shared" si="151"/>
        <v>Regular</v>
      </c>
    </row>
    <row r="1370" spans="1:19" x14ac:dyDescent="0.3">
      <c r="A1370">
        <v>7046</v>
      </c>
      <c r="B1370" t="s">
        <v>25</v>
      </c>
      <c r="C1370" s="1">
        <v>45498</v>
      </c>
      <c r="D1370" t="s">
        <v>9</v>
      </c>
      <c r="E1370" t="s">
        <v>28</v>
      </c>
      <c r="F1370">
        <v>5</v>
      </c>
      <c r="G1370">
        <v>4.6500000000000004</v>
      </c>
      <c r="H1370">
        <v>23.25</v>
      </c>
      <c r="I1370" t="str">
        <f t="shared" si="147"/>
        <v>Low</v>
      </c>
      <c r="J1370">
        <v>1.48</v>
      </c>
      <c r="K1370">
        <f t="shared" si="152"/>
        <v>21.77</v>
      </c>
      <c r="L1370" t="str">
        <f t="shared" si="153"/>
        <v>July</v>
      </c>
      <c r="M1370">
        <f>YEAR(C1370)</f>
        <v>2024</v>
      </c>
      <c r="N1370">
        <v>116</v>
      </c>
      <c r="O1370" t="str">
        <f>IF(N1370&gt;=200,"Platinum",IF(N1370&gt;=100,"Gold",IF(N1370&gt;=50,"Silver","Regular")))</f>
        <v>Gold</v>
      </c>
      <c r="P1370" s="4" t="str">
        <f t="shared" si="148"/>
        <v>Thursday</v>
      </c>
      <c r="Q1370" s="4" t="str">
        <f t="shared" si="149"/>
        <v>Medium Order</v>
      </c>
      <c r="R1370" s="4" t="str">
        <f t="shared" si="150"/>
        <v>Weekday</v>
      </c>
      <c r="S1370" s="4" t="str">
        <f t="shared" si="151"/>
        <v>Regular</v>
      </c>
    </row>
    <row r="1371" spans="1:19" x14ac:dyDescent="0.3">
      <c r="A1371">
        <v>8118</v>
      </c>
      <c r="B1371" t="s">
        <v>8</v>
      </c>
      <c r="C1371" s="1">
        <v>45235</v>
      </c>
      <c r="D1371" t="s">
        <v>9</v>
      </c>
      <c r="E1371" t="s">
        <v>36</v>
      </c>
      <c r="F1371">
        <v>4</v>
      </c>
      <c r="G1371">
        <v>14.82</v>
      </c>
      <c r="H1371">
        <v>59.28</v>
      </c>
      <c r="I1371" t="str">
        <f t="shared" si="147"/>
        <v>Low</v>
      </c>
      <c r="J1371">
        <v>3.75</v>
      </c>
      <c r="K1371">
        <f t="shared" si="152"/>
        <v>55.53</v>
      </c>
      <c r="L1371" t="str">
        <f t="shared" si="153"/>
        <v>November</v>
      </c>
      <c r="M1371">
        <f>YEAR(C1371)</f>
        <v>2023</v>
      </c>
      <c r="N1371">
        <v>392</v>
      </c>
      <c r="O1371" t="str">
        <f>IF(N1371&gt;=200,"Platinum",IF(N1371&gt;=100,"Gold",IF(N1371&gt;=50,"Silver","Regular")))</f>
        <v>Platinum</v>
      </c>
      <c r="P1371" s="4" t="str">
        <f t="shared" si="148"/>
        <v>Sunday</v>
      </c>
      <c r="Q1371" s="4" t="str">
        <f t="shared" si="149"/>
        <v>Medium Order</v>
      </c>
      <c r="R1371" s="4" t="str">
        <f t="shared" si="150"/>
        <v>Weekend</v>
      </c>
      <c r="S1371" s="4" t="str">
        <f t="shared" si="151"/>
        <v>Regular</v>
      </c>
    </row>
    <row r="1372" spans="1:19" x14ac:dyDescent="0.3">
      <c r="A1372">
        <v>2479</v>
      </c>
      <c r="B1372" t="s">
        <v>0</v>
      </c>
      <c r="C1372" s="1">
        <v>45622</v>
      </c>
      <c r="D1372" t="s">
        <v>34</v>
      </c>
      <c r="E1372" t="s">
        <v>29</v>
      </c>
      <c r="F1372">
        <v>2</v>
      </c>
      <c r="G1372">
        <v>20.65</v>
      </c>
      <c r="H1372">
        <v>41.3</v>
      </c>
      <c r="I1372" t="str">
        <f t="shared" si="147"/>
        <v>Low</v>
      </c>
      <c r="J1372">
        <v>2.61</v>
      </c>
      <c r="K1372">
        <f t="shared" si="152"/>
        <v>38.69</v>
      </c>
      <c r="L1372" t="str">
        <f t="shared" si="153"/>
        <v>November</v>
      </c>
      <c r="M1372">
        <f>YEAR(C1372)</f>
        <v>2024</v>
      </c>
      <c r="N1372">
        <v>59</v>
      </c>
      <c r="O1372" t="str">
        <f>IF(N1372&gt;=200,"Platinum",IF(N1372&gt;=100,"Gold",IF(N1372&gt;=50,"Silver","Regular")))</f>
        <v>Silver</v>
      </c>
      <c r="P1372" s="4" t="str">
        <f t="shared" si="148"/>
        <v>Tuesday</v>
      </c>
      <c r="Q1372" s="4" t="str">
        <f t="shared" si="149"/>
        <v>Small Order</v>
      </c>
      <c r="R1372" s="4" t="str">
        <f t="shared" si="150"/>
        <v>Weekday</v>
      </c>
      <c r="S1372" s="4" t="str">
        <f t="shared" si="151"/>
        <v>Regular</v>
      </c>
    </row>
    <row r="1373" spans="1:19" x14ac:dyDescent="0.3">
      <c r="A1373">
        <v>6090</v>
      </c>
      <c r="B1373" t="s">
        <v>31</v>
      </c>
      <c r="C1373" s="1">
        <v>45399</v>
      </c>
      <c r="D1373" t="s">
        <v>17</v>
      </c>
      <c r="E1373" t="s">
        <v>37</v>
      </c>
      <c r="F1373">
        <v>3</v>
      </c>
      <c r="G1373">
        <v>22.26</v>
      </c>
      <c r="H1373">
        <v>66.78</v>
      </c>
      <c r="I1373" t="str">
        <f t="shared" si="147"/>
        <v>Low</v>
      </c>
      <c r="J1373">
        <v>4.2</v>
      </c>
      <c r="K1373">
        <f t="shared" si="152"/>
        <v>62.58</v>
      </c>
      <c r="L1373" t="str">
        <f t="shared" si="153"/>
        <v>April</v>
      </c>
      <c r="M1373">
        <f>YEAR(C1373)</f>
        <v>2024</v>
      </c>
      <c r="N1373">
        <v>376</v>
      </c>
      <c r="O1373" t="str">
        <f>IF(N1373&gt;=200,"Platinum",IF(N1373&gt;=100,"Gold",IF(N1373&gt;=50,"Silver","Regular")))</f>
        <v>Platinum</v>
      </c>
      <c r="P1373" s="4" t="str">
        <f t="shared" si="148"/>
        <v>Wednesday</v>
      </c>
      <c r="Q1373" s="4" t="str">
        <f t="shared" si="149"/>
        <v>Medium Order</v>
      </c>
      <c r="R1373" s="4" t="str">
        <f t="shared" si="150"/>
        <v>Weekday</v>
      </c>
      <c r="S1373" s="4" t="str">
        <f t="shared" si="151"/>
        <v>Regular</v>
      </c>
    </row>
    <row r="1374" spans="1:19" x14ac:dyDescent="0.3">
      <c r="A1374">
        <v>8622</v>
      </c>
      <c r="B1374" t="s">
        <v>20</v>
      </c>
      <c r="C1374" s="1">
        <v>45844</v>
      </c>
      <c r="D1374" t="s">
        <v>1</v>
      </c>
      <c r="E1374" t="s">
        <v>33</v>
      </c>
      <c r="F1374">
        <v>4</v>
      </c>
      <c r="G1374">
        <v>17.84</v>
      </c>
      <c r="H1374">
        <v>71.36</v>
      </c>
      <c r="I1374" t="str">
        <f t="shared" si="147"/>
        <v>Low</v>
      </c>
      <c r="J1374">
        <v>4.45</v>
      </c>
      <c r="K1374">
        <f t="shared" si="152"/>
        <v>66.91</v>
      </c>
      <c r="L1374" t="str">
        <f t="shared" si="153"/>
        <v>July</v>
      </c>
      <c r="M1374">
        <f>YEAR(C1374)</f>
        <v>2025</v>
      </c>
      <c r="N1374">
        <v>166</v>
      </c>
      <c r="O1374" t="str">
        <f>IF(N1374&gt;=200,"Platinum",IF(N1374&gt;=100,"Gold",IF(N1374&gt;=50,"Silver","Regular")))</f>
        <v>Gold</v>
      </c>
      <c r="P1374" s="4" t="str">
        <f t="shared" si="148"/>
        <v>Sunday</v>
      </c>
      <c r="Q1374" s="4" t="str">
        <f t="shared" si="149"/>
        <v>Medium Order</v>
      </c>
      <c r="R1374" s="4" t="str">
        <f t="shared" si="150"/>
        <v>Weekend</v>
      </c>
      <c r="S1374" s="4" t="str">
        <f t="shared" si="151"/>
        <v>Regular</v>
      </c>
    </row>
    <row r="1375" spans="1:19" x14ac:dyDescent="0.3">
      <c r="A1375">
        <v>2235</v>
      </c>
      <c r="B1375" t="s">
        <v>13</v>
      </c>
      <c r="C1375" s="1">
        <v>45489</v>
      </c>
      <c r="D1375" t="s">
        <v>27</v>
      </c>
      <c r="E1375" t="s">
        <v>12</v>
      </c>
      <c r="F1375">
        <v>1</v>
      </c>
      <c r="G1375">
        <v>23.92</v>
      </c>
      <c r="H1375">
        <v>23.92</v>
      </c>
      <c r="I1375" t="str">
        <f t="shared" si="147"/>
        <v>Low</v>
      </c>
      <c r="J1375">
        <v>1.49</v>
      </c>
      <c r="K1375">
        <f t="shared" si="152"/>
        <v>22.430000000000003</v>
      </c>
      <c r="L1375" t="str">
        <f t="shared" si="153"/>
        <v>July</v>
      </c>
      <c r="M1375">
        <f>YEAR(C1375)</f>
        <v>2024</v>
      </c>
      <c r="N1375">
        <v>7</v>
      </c>
      <c r="O1375" t="str">
        <f>IF(N1375&gt;=200,"Platinum",IF(N1375&gt;=100,"Gold",IF(N1375&gt;=50,"Silver","Regular")))</f>
        <v>Regular</v>
      </c>
      <c r="P1375" s="4" t="str">
        <f t="shared" si="148"/>
        <v>Tuesday</v>
      </c>
      <c r="Q1375" s="4" t="str">
        <f t="shared" si="149"/>
        <v>Small Order</v>
      </c>
      <c r="R1375" s="4" t="str">
        <f t="shared" si="150"/>
        <v>Weekday</v>
      </c>
      <c r="S1375" s="4" t="str">
        <f t="shared" si="151"/>
        <v>Regular</v>
      </c>
    </row>
    <row r="1376" spans="1:19" x14ac:dyDescent="0.3">
      <c r="A1376">
        <v>2604</v>
      </c>
      <c r="B1376" t="s">
        <v>25</v>
      </c>
      <c r="C1376" s="1">
        <v>45184</v>
      </c>
      <c r="D1376" t="s">
        <v>16</v>
      </c>
      <c r="E1376" t="s">
        <v>2</v>
      </c>
      <c r="F1376">
        <v>5</v>
      </c>
      <c r="G1376">
        <v>12.04</v>
      </c>
      <c r="H1376">
        <v>60.2</v>
      </c>
      <c r="I1376" t="str">
        <f t="shared" si="147"/>
        <v>Low</v>
      </c>
      <c r="J1376">
        <v>3.7</v>
      </c>
      <c r="K1376">
        <f t="shared" si="152"/>
        <v>56.5</v>
      </c>
      <c r="L1376" t="str">
        <f t="shared" si="153"/>
        <v>September</v>
      </c>
      <c r="M1376">
        <f>YEAR(C1376)</f>
        <v>2023</v>
      </c>
      <c r="N1376">
        <v>326</v>
      </c>
      <c r="O1376" t="str">
        <f>IF(N1376&gt;=200,"Platinum",IF(N1376&gt;=100,"Gold",IF(N1376&gt;=50,"Silver","Regular")))</f>
        <v>Platinum</v>
      </c>
      <c r="P1376" s="4" t="str">
        <f t="shared" si="148"/>
        <v>Friday</v>
      </c>
      <c r="Q1376" s="4" t="str">
        <f t="shared" si="149"/>
        <v>Medium Order</v>
      </c>
      <c r="R1376" s="4" t="str">
        <f t="shared" si="150"/>
        <v>Weekday</v>
      </c>
      <c r="S1376" s="4" t="str">
        <f t="shared" si="151"/>
        <v>Regular</v>
      </c>
    </row>
    <row r="1377" spans="1:19" x14ac:dyDescent="0.3">
      <c r="A1377">
        <v>4453</v>
      </c>
      <c r="B1377" t="s">
        <v>3</v>
      </c>
      <c r="C1377" s="1">
        <v>45740</v>
      </c>
      <c r="D1377" t="s">
        <v>23</v>
      </c>
      <c r="E1377" t="s">
        <v>29</v>
      </c>
      <c r="F1377">
        <v>5</v>
      </c>
      <c r="G1377">
        <v>15.16</v>
      </c>
      <c r="H1377">
        <v>75.8</v>
      </c>
      <c r="I1377" t="str">
        <f t="shared" si="147"/>
        <v>Low</v>
      </c>
      <c r="J1377">
        <v>4.6500000000000004</v>
      </c>
      <c r="K1377">
        <f t="shared" si="152"/>
        <v>71.149999999999991</v>
      </c>
      <c r="L1377" t="str">
        <f t="shared" si="153"/>
        <v>March</v>
      </c>
      <c r="M1377">
        <f>YEAR(C1377)</f>
        <v>2025</v>
      </c>
      <c r="N1377">
        <v>95</v>
      </c>
      <c r="O1377" t="str">
        <f>IF(N1377&gt;=200,"Platinum",IF(N1377&gt;=100,"Gold",IF(N1377&gt;=50,"Silver","Regular")))</f>
        <v>Silver</v>
      </c>
      <c r="P1377" s="4" t="str">
        <f t="shared" si="148"/>
        <v>Monday</v>
      </c>
      <c r="Q1377" s="4" t="str">
        <f t="shared" si="149"/>
        <v>Medium Order</v>
      </c>
      <c r="R1377" s="4" t="str">
        <f t="shared" si="150"/>
        <v>Weekday</v>
      </c>
      <c r="S1377" s="4" t="str">
        <f t="shared" si="151"/>
        <v>Regular</v>
      </c>
    </row>
    <row r="1378" spans="1:19" x14ac:dyDescent="0.3">
      <c r="A1378">
        <v>6070</v>
      </c>
      <c r="B1378" t="s">
        <v>19</v>
      </c>
      <c r="C1378" s="1">
        <v>45773</v>
      </c>
      <c r="D1378" t="s">
        <v>11</v>
      </c>
      <c r="E1378" t="s">
        <v>5</v>
      </c>
      <c r="F1378">
        <v>2</v>
      </c>
      <c r="G1378">
        <v>15.4</v>
      </c>
      <c r="H1378">
        <v>30.8</v>
      </c>
      <c r="I1378" t="str">
        <f t="shared" si="147"/>
        <v>Low</v>
      </c>
      <c r="J1378">
        <v>1.86</v>
      </c>
      <c r="K1378">
        <f t="shared" si="152"/>
        <v>28.94</v>
      </c>
      <c r="L1378" t="str">
        <f t="shared" si="153"/>
        <v>April</v>
      </c>
      <c r="M1378">
        <f>YEAR(C1378)</f>
        <v>2025</v>
      </c>
      <c r="N1378">
        <v>433</v>
      </c>
      <c r="O1378" t="str">
        <f>IF(N1378&gt;=200,"Platinum",IF(N1378&gt;=100,"Gold",IF(N1378&gt;=50,"Silver","Regular")))</f>
        <v>Platinum</v>
      </c>
      <c r="P1378" s="4" t="str">
        <f t="shared" si="148"/>
        <v>Saturday</v>
      </c>
      <c r="Q1378" s="4" t="str">
        <f t="shared" si="149"/>
        <v>Small Order</v>
      </c>
      <c r="R1378" s="4" t="str">
        <f t="shared" si="150"/>
        <v>Weekend</v>
      </c>
      <c r="S1378" s="4" t="str">
        <f t="shared" si="151"/>
        <v>Regular</v>
      </c>
    </row>
    <row r="1379" spans="1:19" x14ac:dyDescent="0.3">
      <c r="A1379">
        <v>6881</v>
      </c>
      <c r="B1379" t="s">
        <v>25</v>
      </c>
      <c r="C1379" s="1">
        <v>45591</v>
      </c>
      <c r="D1379" t="s">
        <v>6</v>
      </c>
      <c r="E1379" t="s">
        <v>10</v>
      </c>
      <c r="F1379">
        <v>3</v>
      </c>
      <c r="G1379">
        <v>19.93</v>
      </c>
      <c r="H1379">
        <v>59.79</v>
      </c>
      <c r="I1379" t="str">
        <f t="shared" si="147"/>
        <v>Low</v>
      </c>
      <c r="J1379">
        <v>3.58</v>
      </c>
      <c r="K1379">
        <f t="shared" si="152"/>
        <v>56.21</v>
      </c>
      <c r="L1379" t="str">
        <f t="shared" si="153"/>
        <v>October</v>
      </c>
      <c r="M1379">
        <f>YEAR(C1379)</f>
        <v>2024</v>
      </c>
      <c r="N1379">
        <v>363</v>
      </c>
      <c r="O1379" t="str">
        <f>IF(N1379&gt;=200,"Platinum",IF(N1379&gt;=100,"Gold",IF(N1379&gt;=50,"Silver","Regular")))</f>
        <v>Platinum</v>
      </c>
      <c r="P1379" s="4" t="str">
        <f t="shared" si="148"/>
        <v>Saturday</v>
      </c>
      <c r="Q1379" s="4" t="str">
        <f t="shared" si="149"/>
        <v>Medium Order</v>
      </c>
      <c r="R1379" s="4" t="str">
        <f t="shared" si="150"/>
        <v>Weekend</v>
      </c>
      <c r="S1379" s="4" t="str">
        <f t="shared" si="151"/>
        <v>Regular</v>
      </c>
    </row>
    <row r="1380" spans="1:19" x14ac:dyDescent="0.3">
      <c r="A1380">
        <v>6026</v>
      </c>
      <c r="B1380" t="s">
        <v>25</v>
      </c>
      <c r="C1380" s="1">
        <v>45269</v>
      </c>
      <c r="D1380" t="s">
        <v>23</v>
      </c>
      <c r="E1380" t="s">
        <v>14</v>
      </c>
      <c r="F1380">
        <v>4</v>
      </c>
      <c r="G1380">
        <v>13.13</v>
      </c>
      <c r="H1380">
        <v>52.52</v>
      </c>
      <c r="I1380" t="str">
        <f t="shared" si="147"/>
        <v>Low</v>
      </c>
      <c r="J1380">
        <v>3.14</v>
      </c>
      <c r="K1380">
        <f t="shared" si="152"/>
        <v>49.38</v>
      </c>
      <c r="L1380" t="str">
        <f t="shared" si="153"/>
        <v>December</v>
      </c>
      <c r="M1380">
        <f>YEAR(C1380)</f>
        <v>2023</v>
      </c>
      <c r="N1380">
        <v>254</v>
      </c>
      <c r="O1380" t="str">
        <f>IF(N1380&gt;=200,"Platinum",IF(N1380&gt;=100,"Gold",IF(N1380&gt;=50,"Silver","Regular")))</f>
        <v>Platinum</v>
      </c>
      <c r="P1380" s="4" t="str">
        <f t="shared" si="148"/>
        <v>Saturday</v>
      </c>
      <c r="Q1380" s="4" t="str">
        <f t="shared" si="149"/>
        <v>Medium Order</v>
      </c>
      <c r="R1380" s="4" t="str">
        <f t="shared" si="150"/>
        <v>Weekend</v>
      </c>
      <c r="S1380" s="4" t="str">
        <f t="shared" si="151"/>
        <v>Regular</v>
      </c>
    </row>
    <row r="1381" spans="1:19" x14ac:dyDescent="0.3">
      <c r="A1381">
        <v>5059</v>
      </c>
      <c r="B1381" t="s">
        <v>15</v>
      </c>
      <c r="C1381" s="1">
        <v>45694</v>
      </c>
      <c r="D1381" t="s">
        <v>4</v>
      </c>
      <c r="E1381" t="s">
        <v>26</v>
      </c>
      <c r="F1381">
        <v>4</v>
      </c>
      <c r="G1381">
        <v>6.19</v>
      </c>
      <c r="H1381">
        <v>24.76</v>
      </c>
      <c r="I1381" t="str">
        <f t="shared" si="147"/>
        <v>Low</v>
      </c>
      <c r="J1381">
        <v>1.48</v>
      </c>
      <c r="K1381">
        <f t="shared" si="152"/>
        <v>23.28</v>
      </c>
      <c r="L1381" t="str">
        <f t="shared" si="153"/>
        <v>February</v>
      </c>
      <c r="M1381">
        <f>YEAR(C1381)</f>
        <v>2025</v>
      </c>
      <c r="N1381">
        <v>464</v>
      </c>
      <c r="O1381" t="str">
        <f>IF(N1381&gt;=200,"Platinum",IF(N1381&gt;=100,"Gold",IF(N1381&gt;=50,"Silver","Regular")))</f>
        <v>Platinum</v>
      </c>
      <c r="P1381" s="4" t="str">
        <f t="shared" si="148"/>
        <v>Thursday</v>
      </c>
      <c r="Q1381" s="4" t="str">
        <f t="shared" si="149"/>
        <v>Medium Order</v>
      </c>
      <c r="R1381" s="4" t="str">
        <f t="shared" si="150"/>
        <v>Weekday</v>
      </c>
      <c r="S1381" s="4" t="str">
        <f t="shared" si="151"/>
        <v>Regular</v>
      </c>
    </row>
    <row r="1382" spans="1:19" x14ac:dyDescent="0.3">
      <c r="A1382">
        <v>1195</v>
      </c>
      <c r="B1382" t="s">
        <v>3</v>
      </c>
      <c r="C1382" s="1">
        <v>45192</v>
      </c>
      <c r="D1382" t="s">
        <v>11</v>
      </c>
      <c r="E1382" t="s">
        <v>7</v>
      </c>
      <c r="F1382">
        <v>3</v>
      </c>
      <c r="G1382">
        <v>14.85</v>
      </c>
      <c r="H1382">
        <v>44.55</v>
      </c>
      <c r="I1382" t="str">
        <f t="shared" si="147"/>
        <v>Low</v>
      </c>
      <c r="J1382">
        <v>2.65</v>
      </c>
      <c r="K1382">
        <f t="shared" si="152"/>
        <v>41.9</v>
      </c>
      <c r="L1382" t="str">
        <f t="shared" si="153"/>
        <v>September</v>
      </c>
      <c r="M1382">
        <f>YEAR(C1382)</f>
        <v>2023</v>
      </c>
      <c r="N1382">
        <v>497</v>
      </c>
      <c r="O1382" t="str">
        <f>IF(N1382&gt;=200,"Platinum",IF(N1382&gt;=100,"Gold",IF(N1382&gt;=50,"Silver","Regular")))</f>
        <v>Platinum</v>
      </c>
      <c r="P1382" s="4" t="str">
        <f t="shared" si="148"/>
        <v>Saturday</v>
      </c>
      <c r="Q1382" s="4" t="str">
        <f t="shared" si="149"/>
        <v>Medium Order</v>
      </c>
      <c r="R1382" s="4" t="str">
        <f t="shared" si="150"/>
        <v>Weekend</v>
      </c>
      <c r="S1382" s="4" t="str">
        <f t="shared" si="151"/>
        <v>Regular</v>
      </c>
    </row>
    <row r="1383" spans="1:19" x14ac:dyDescent="0.3">
      <c r="A1383">
        <v>4122</v>
      </c>
      <c r="B1383" t="s">
        <v>20</v>
      </c>
      <c r="C1383" s="1">
        <v>45861</v>
      </c>
      <c r="D1383" t="s">
        <v>34</v>
      </c>
      <c r="E1383" t="s">
        <v>18</v>
      </c>
      <c r="F1383">
        <v>5</v>
      </c>
      <c r="G1383">
        <v>7.37</v>
      </c>
      <c r="H1383">
        <v>36.85</v>
      </c>
      <c r="I1383" t="str">
        <f t="shared" si="147"/>
        <v>Low</v>
      </c>
      <c r="J1383">
        <v>2.1800000000000002</v>
      </c>
      <c r="K1383">
        <f t="shared" si="152"/>
        <v>34.67</v>
      </c>
      <c r="L1383" t="str">
        <f t="shared" si="153"/>
        <v>July</v>
      </c>
      <c r="M1383">
        <f>YEAR(C1383)</f>
        <v>2025</v>
      </c>
      <c r="N1383">
        <v>382</v>
      </c>
      <c r="O1383" t="str">
        <f>IF(N1383&gt;=200,"Platinum",IF(N1383&gt;=100,"Gold",IF(N1383&gt;=50,"Silver","Regular")))</f>
        <v>Platinum</v>
      </c>
      <c r="P1383" s="4" t="str">
        <f t="shared" si="148"/>
        <v>Wednesday</v>
      </c>
      <c r="Q1383" s="4" t="str">
        <f t="shared" si="149"/>
        <v>Medium Order</v>
      </c>
      <c r="R1383" s="4" t="str">
        <f t="shared" si="150"/>
        <v>Weekday</v>
      </c>
      <c r="S1383" s="4" t="str">
        <f t="shared" si="151"/>
        <v>Regular</v>
      </c>
    </row>
    <row r="1384" spans="1:19" x14ac:dyDescent="0.3">
      <c r="A1384">
        <v>6188</v>
      </c>
      <c r="B1384" t="s">
        <v>0</v>
      </c>
      <c r="C1384" s="1">
        <v>45631</v>
      </c>
      <c r="D1384" t="s">
        <v>23</v>
      </c>
      <c r="E1384" t="s">
        <v>5</v>
      </c>
      <c r="F1384">
        <v>5</v>
      </c>
      <c r="G1384">
        <v>8.35</v>
      </c>
      <c r="H1384">
        <v>41.75</v>
      </c>
      <c r="I1384" t="str">
        <f t="shared" si="147"/>
        <v>Low</v>
      </c>
      <c r="J1384">
        <v>2.46</v>
      </c>
      <c r="K1384">
        <f t="shared" si="152"/>
        <v>39.29</v>
      </c>
      <c r="L1384" t="str">
        <f t="shared" si="153"/>
        <v>December</v>
      </c>
      <c r="M1384">
        <f>YEAR(C1384)</f>
        <v>2024</v>
      </c>
      <c r="N1384">
        <v>437</v>
      </c>
      <c r="O1384" t="str">
        <f>IF(N1384&gt;=200,"Platinum",IF(N1384&gt;=100,"Gold",IF(N1384&gt;=50,"Silver","Regular")))</f>
        <v>Platinum</v>
      </c>
      <c r="P1384" s="4" t="str">
        <f t="shared" si="148"/>
        <v>Thursday</v>
      </c>
      <c r="Q1384" s="4" t="str">
        <f t="shared" si="149"/>
        <v>Medium Order</v>
      </c>
      <c r="R1384" s="4" t="str">
        <f t="shared" si="150"/>
        <v>Weekday</v>
      </c>
      <c r="S1384" s="4" t="str">
        <f t="shared" si="151"/>
        <v>Regular</v>
      </c>
    </row>
    <row r="1385" spans="1:19" x14ac:dyDescent="0.3">
      <c r="A1385">
        <v>1893</v>
      </c>
      <c r="B1385" t="s">
        <v>0</v>
      </c>
      <c r="C1385" s="1">
        <v>45574</v>
      </c>
      <c r="D1385" t="s">
        <v>24</v>
      </c>
      <c r="E1385" t="s">
        <v>21</v>
      </c>
      <c r="F1385">
        <v>4</v>
      </c>
      <c r="G1385">
        <v>15.17</v>
      </c>
      <c r="H1385">
        <v>60.68</v>
      </c>
      <c r="I1385" t="str">
        <f t="shared" si="147"/>
        <v>Low</v>
      </c>
      <c r="J1385">
        <v>3.57</v>
      </c>
      <c r="K1385">
        <f t="shared" si="152"/>
        <v>57.11</v>
      </c>
      <c r="L1385" t="str">
        <f t="shared" si="153"/>
        <v>October</v>
      </c>
      <c r="M1385">
        <f>YEAR(C1385)</f>
        <v>2024</v>
      </c>
      <c r="N1385">
        <v>338</v>
      </c>
      <c r="O1385" t="str">
        <f>IF(N1385&gt;=200,"Platinum",IF(N1385&gt;=100,"Gold",IF(N1385&gt;=50,"Silver","Regular")))</f>
        <v>Platinum</v>
      </c>
      <c r="P1385" s="4" t="str">
        <f t="shared" si="148"/>
        <v>Wednesday</v>
      </c>
      <c r="Q1385" s="4" t="str">
        <f t="shared" si="149"/>
        <v>Medium Order</v>
      </c>
      <c r="R1385" s="4" t="str">
        <f t="shared" si="150"/>
        <v>Weekday</v>
      </c>
      <c r="S1385" s="4" t="str">
        <f t="shared" si="151"/>
        <v>Regular</v>
      </c>
    </row>
    <row r="1386" spans="1:19" x14ac:dyDescent="0.3">
      <c r="A1386">
        <v>2874</v>
      </c>
      <c r="B1386" t="s">
        <v>31</v>
      </c>
      <c r="C1386" s="1">
        <v>45583</v>
      </c>
      <c r="D1386" t="s">
        <v>34</v>
      </c>
      <c r="E1386" t="s">
        <v>2</v>
      </c>
      <c r="F1386">
        <v>3</v>
      </c>
      <c r="G1386">
        <v>25.01</v>
      </c>
      <c r="H1386">
        <v>75.03</v>
      </c>
      <c r="I1386" t="str">
        <f t="shared" si="147"/>
        <v>Low</v>
      </c>
      <c r="J1386">
        <v>4.41</v>
      </c>
      <c r="K1386">
        <f t="shared" si="152"/>
        <v>70.62</v>
      </c>
      <c r="L1386" t="str">
        <f t="shared" si="153"/>
        <v>October</v>
      </c>
      <c r="M1386">
        <f>YEAR(C1386)</f>
        <v>2024</v>
      </c>
      <c r="N1386">
        <v>172</v>
      </c>
      <c r="O1386" t="str">
        <f>IF(N1386&gt;=200,"Platinum",IF(N1386&gt;=100,"Gold",IF(N1386&gt;=50,"Silver","Regular")))</f>
        <v>Gold</v>
      </c>
      <c r="P1386" s="4" t="str">
        <f t="shared" si="148"/>
        <v>Friday</v>
      </c>
      <c r="Q1386" s="4" t="str">
        <f t="shared" si="149"/>
        <v>Medium Order</v>
      </c>
      <c r="R1386" s="4" t="str">
        <f t="shared" si="150"/>
        <v>Weekday</v>
      </c>
      <c r="S1386" s="4" t="str">
        <f t="shared" si="151"/>
        <v>Regular</v>
      </c>
    </row>
    <row r="1387" spans="1:19" x14ac:dyDescent="0.3">
      <c r="A1387">
        <v>4475</v>
      </c>
      <c r="B1387" t="s">
        <v>25</v>
      </c>
      <c r="C1387" s="1">
        <v>45643</v>
      </c>
      <c r="D1387" t="s">
        <v>11</v>
      </c>
      <c r="E1387" t="s">
        <v>26</v>
      </c>
      <c r="F1387">
        <v>2</v>
      </c>
      <c r="G1387">
        <v>29.87</v>
      </c>
      <c r="H1387">
        <v>59.74</v>
      </c>
      <c r="I1387" t="str">
        <f t="shared" si="147"/>
        <v>Low</v>
      </c>
      <c r="J1387">
        <v>3.5</v>
      </c>
      <c r="K1387">
        <f t="shared" si="152"/>
        <v>56.24</v>
      </c>
      <c r="L1387" t="str">
        <f t="shared" si="153"/>
        <v>December</v>
      </c>
      <c r="M1387">
        <f>YEAR(C1387)</f>
        <v>2024</v>
      </c>
      <c r="N1387">
        <v>256</v>
      </c>
      <c r="O1387" t="str">
        <f>IF(N1387&gt;=200,"Platinum",IF(N1387&gt;=100,"Gold",IF(N1387&gt;=50,"Silver","Regular")))</f>
        <v>Platinum</v>
      </c>
      <c r="P1387" s="4" t="str">
        <f t="shared" si="148"/>
        <v>Tuesday</v>
      </c>
      <c r="Q1387" s="4" t="str">
        <f t="shared" si="149"/>
        <v>Small Order</v>
      </c>
      <c r="R1387" s="4" t="str">
        <f t="shared" si="150"/>
        <v>Weekday</v>
      </c>
      <c r="S1387" s="4" t="str">
        <f t="shared" si="151"/>
        <v>Regular</v>
      </c>
    </row>
    <row r="1388" spans="1:19" x14ac:dyDescent="0.3">
      <c r="A1388">
        <v>3868</v>
      </c>
      <c r="B1388" t="s">
        <v>15</v>
      </c>
      <c r="C1388" s="1">
        <v>45789</v>
      </c>
      <c r="D1388" t="s">
        <v>1</v>
      </c>
      <c r="E1388" t="s">
        <v>22</v>
      </c>
      <c r="F1388">
        <v>5</v>
      </c>
      <c r="G1388">
        <v>8.0299999999999994</v>
      </c>
      <c r="H1388">
        <v>40.15</v>
      </c>
      <c r="I1388" t="str">
        <f t="shared" si="147"/>
        <v>Low</v>
      </c>
      <c r="J1388">
        <v>2.34</v>
      </c>
      <c r="K1388">
        <f t="shared" si="152"/>
        <v>37.81</v>
      </c>
      <c r="L1388" t="str">
        <f t="shared" si="153"/>
        <v>May</v>
      </c>
      <c r="M1388">
        <f>YEAR(C1388)</f>
        <v>2025</v>
      </c>
      <c r="N1388">
        <v>150</v>
      </c>
      <c r="O1388" t="str">
        <f>IF(N1388&gt;=200,"Platinum",IF(N1388&gt;=100,"Gold",IF(N1388&gt;=50,"Silver","Regular")))</f>
        <v>Gold</v>
      </c>
      <c r="P1388" s="4" t="str">
        <f t="shared" si="148"/>
        <v>Monday</v>
      </c>
      <c r="Q1388" s="4" t="str">
        <f t="shared" si="149"/>
        <v>Medium Order</v>
      </c>
      <c r="R1388" s="4" t="str">
        <f t="shared" si="150"/>
        <v>Weekday</v>
      </c>
      <c r="S1388" s="4" t="str">
        <f t="shared" si="151"/>
        <v>Regular</v>
      </c>
    </row>
    <row r="1389" spans="1:19" x14ac:dyDescent="0.3">
      <c r="A1389">
        <v>9821</v>
      </c>
      <c r="B1389" t="s">
        <v>8</v>
      </c>
      <c r="C1389" s="1">
        <v>45678</v>
      </c>
      <c r="D1389" t="s">
        <v>34</v>
      </c>
      <c r="E1389" t="s">
        <v>7</v>
      </c>
      <c r="F1389">
        <v>3</v>
      </c>
      <c r="G1389">
        <v>16.829999999999998</v>
      </c>
      <c r="H1389">
        <v>50.49</v>
      </c>
      <c r="I1389" t="str">
        <f t="shared" si="147"/>
        <v>Low</v>
      </c>
      <c r="J1389">
        <v>2.94</v>
      </c>
      <c r="K1389">
        <f t="shared" si="152"/>
        <v>47.550000000000004</v>
      </c>
      <c r="L1389" t="str">
        <f t="shared" si="153"/>
        <v>January</v>
      </c>
      <c r="M1389">
        <f>YEAR(C1389)</f>
        <v>2025</v>
      </c>
      <c r="N1389">
        <v>346</v>
      </c>
      <c r="O1389" t="str">
        <f>IF(N1389&gt;=200,"Platinum",IF(N1389&gt;=100,"Gold",IF(N1389&gt;=50,"Silver","Regular")))</f>
        <v>Platinum</v>
      </c>
      <c r="P1389" s="4" t="str">
        <f t="shared" si="148"/>
        <v>Tuesday</v>
      </c>
      <c r="Q1389" s="4" t="str">
        <f t="shared" si="149"/>
        <v>Medium Order</v>
      </c>
      <c r="R1389" s="4" t="str">
        <f t="shared" si="150"/>
        <v>Weekday</v>
      </c>
      <c r="S1389" s="4" t="str">
        <f t="shared" si="151"/>
        <v>Regular</v>
      </c>
    </row>
    <row r="1390" spans="1:19" x14ac:dyDescent="0.3">
      <c r="A1390">
        <v>5375</v>
      </c>
      <c r="B1390" t="s">
        <v>19</v>
      </c>
      <c r="C1390" s="1">
        <v>45571</v>
      </c>
      <c r="D1390" t="s">
        <v>6</v>
      </c>
      <c r="E1390" t="s">
        <v>22</v>
      </c>
      <c r="F1390">
        <v>2</v>
      </c>
      <c r="G1390">
        <v>27.42</v>
      </c>
      <c r="H1390">
        <v>54.84</v>
      </c>
      <c r="I1390" t="str">
        <f t="shared" si="147"/>
        <v>Low</v>
      </c>
      <c r="J1390">
        <v>3.19</v>
      </c>
      <c r="K1390">
        <f t="shared" si="152"/>
        <v>51.650000000000006</v>
      </c>
      <c r="L1390" t="str">
        <f t="shared" si="153"/>
        <v>October</v>
      </c>
      <c r="M1390">
        <f>YEAR(C1390)</f>
        <v>2024</v>
      </c>
      <c r="N1390">
        <v>360</v>
      </c>
      <c r="O1390" t="str">
        <f>IF(N1390&gt;=200,"Platinum",IF(N1390&gt;=100,"Gold",IF(N1390&gt;=50,"Silver","Regular")))</f>
        <v>Platinum</v>
      </c>
      <c r="P1390" s="4" t="str">
        <f t="shared" si="148"/>
        <v>Sunday</v>
      </c>
      <c r="Q1390" s="4" t="str">
        <f t="shared" si="149"/>
        <v>Small Order</v>
      </c>
      <c r="R1390" s="4" t="str">
        <f t="shared" si="150"/>
        <v>Weekend</v>
      </c>
      <c r="S1390" s="4" t="str">
        <f t="shared" si="151"/>
        <v>Regular</v>
      </c>
    </row>
    <row r="1391" spans="1:19" x14ac:dyDescent="0.3">
      <c r="A1391">
        <v>6421</v>
      </c>
      <c r="B1391" t="s">
        <v>13</v>
      </c>
      <c r="C1391" s="1">
        <v>45566</v>
      </c>
      <c r="D1391" t="s">
        <v>23</v>
      </c>
      <c r="E1391" t="s">
        <v>30</v>
      </c>
      <c r="F1391">
        <v>3</v>
      </c>
      <c r="G1391">
        <v>9.7200000000000006</v>
      </c>
      <c r="H1391">
        <v>29.16</v>
      </c>
      <c r="I1391" t="str">
        <f t="shared" si="147"/>
        <v>Low</v>
      </c>
      <c r="J1391">
        <v>1.67</v>
      </c>
      <c r="K1391">
        <f t="shared" si="152"/>
        <v>27.490000000000002</v>
      </c>
      <c r="L1391" t="str">
        <f t="shared" si="153"/>
        <v>October</v>
      </c>
      <c r="M1391">
        <f>YEAR(C1391)</f>
        <v>2024</v>
      </c>
      <c r="N1391">
        <v>252</v>
      </c>
      <c r="O1391" t="str">
        <f>IF(N1391&gt;=200,"Platinum",IF(N1391&gt;=100,"Gold",IF(N1391&gt;=50,"Silver","Regular")))</f>
        <v>Platinum</v>
      </c>
      <c r="P1391" s="4" t="str">
        <f t="shared" si="148"/>
        <v>Tuesday</v>
      </c>
      <c r="Q1391" s="4" t="str">
        <f t="shared" si="149"/>
        <v>Medium Order</v>
      </c>
      <c r="R1391" s="4" t="str">
        <f t="shared" si="150"/>
        <v>Weekday</v>
      </c>
      <c r="S1391" s="4" t="str">
        <f t="shared" si="151"/>
        <v>Regular</v>
      </c>
    </row>
    <row r="1392" spans="1:19" x14ac:dyDescent="0.3">
      <c r="A1392">
        <v>3252</v>
      </c>
      <c r="B1392" t="s">
        <v>3</v>
      </c>
      <c r="C1392" s="1">
        <v>45149</v>
      </c>
      <c r="D1392" t="s">
        <v>34</v>
      </c>
      <c r="E1392" t="s">
        <v>30</v>
      </c>
      <c r="F1392">
        <v>3</v>
      </c>
      <c r="G1392">
        <v>22.77</v>
      </c>
      <c r="H1392">
        <v>68.31</v>
      </c>
      <c r="I1392" t="str">
        <f t="shared" si="147"/>
        <v>Low</v>
      </c>
      <c r="J1392">
        <v>3.9</v>
      </c>
      <c r="K1392">
        <f t="shared" si="152"/>
        <v>64.41</v>
      </c>
      <c r="L1392" t="str">
        <f t="shared" si="153"/>
        <v>August</v>
      </c>
      <c r="M1392">
        <f>YEAR(C1392)</f>
        <v>2023</v>
      </c>
      <c r="N1392">
        <v>399</v>
      </c>
      <c r="O1392" t="str">
        <f>IF(N1392&gt;=200,"Platinum",IF(N1392&gt;=100,"Gold",IF(N1392&gt;=50,"Silver","Regular")))</f>
        <v>Platinum</v>
      </c>
      <c r="P1392" s="4" t="str">
        <f t="shared" si="148"/>
        <v>Friday</v>
      </c>
      <c r="Q1392" s="4" t="str">
        <f t="shared" si="149"/>
        <v>Medium Order</v>
      </c>
      <c r="R1392" s="4" t="str">
        <f t="shared" si="150"/>
        <v>Weekday</v>
      </c>
      <c r="S1392" s="4" t="str">
        <f t="shared" si="151"/>
        <v>Regular</v>
      </c>
    </row>
    <row r="1393" spans="1:19" x14ac:dyDescent="0.3">
      <c r="A1393">
        <v>6067</v>
      </c>
      <c r="B1393" t="s">
        <v>15</v>
      </c>
      <c r="C1393" s="1">
        <v>45454</v>
      </c>
      <c r="D1393" t="s">
        <v>24</v>
      </c>
      <c r="E1393" t="s">
        <v>10</v>
      </c>
      <c r="F1393">
        <v>3</v>
      </c>
      <c r="G1393">
        <v>11.69</v>
      </c>
      <c r="H1393">
        <v>35.07</v>
      </c>
      <c r="I1393" t="str">
        <f t="shared" si="147"/>
        <v>Low</v>
      </c>
      <c r="J1393">
        <v>1.95</v>
      </c>
      <c r="K1393">
        <f t="shared" si="152"/>
        <v>33.119999999999997</v>
      </c>
      <c r="L1393" t="str">
        <f t="shared" si="153"/>
        <v>June</v>
      </c>
      <c r="M1393">
        <f>YEAR(C1393)</f>
        <v>2024</v>
      </c>
      <c r="N1393">
        <v>4</v>
      </c>
      <c r="O1393" t="str">
        <f>IF(N1393&gt;=200,"Platinum",IF(N1393&gt;=100,"Gold",IF(N1393&gt;=50,"Silver","Regular")))</f>
        <v>Regular</v>
      </c>
      <c r="P1393" s="4" t="str">
        <f t="shared" si="148"/>
        <v>Tuesday</v>
      </c>
      <c r="Q1393" s="4" t="str">
        <f t="shared" si="149"/>
        <v>Medium Order</v>
      </c>
      <c r="R1393" s="4" t="str">
        <f t="shared" si="150"/>
        <v>Weekday</v>
      </c>
      <c r="S1393" s="4" t="str">
        <f t="shared" si="151"/>
        <v>Regular</v>
      </c>
    </row>
    <row r="1394" spans="1:19" x14ac:dyDescent="0.3">
      <c r="A1394">
        <v>4866</v>
      </c>
      <c r="B1394" t="s">
        <v>20</v>
      </c>
      <c r="C1394" s="1">
        <v>45749</v>
      </c>
      <c r="D1394" t="s">
        <v>34</v>
      </c>
      <c r="E1394" t="s">
        <v>28</v>
      </c>
      <c r="F1394">
        <v>3</v>
      </c>
      <c r="G1394">
        <v>13.66</v>
      </c>
      <c r="H1394">
        <v>40.98</v>
      </c>
      <c r="I1394" t="str">
        <f t="shared" si="147"/>
        <v>Low</v>
      </c>
      <c r="J1394">
        <v>2.27</v>
      </c>
      <c r="K1394">
        <f t="shared" si="152"/>
        <v>38.709999999999994</v>
      </c>
      <c r="L1394" t="str">
        <f t="shared" si="153"/>
        <v>April</v>
      </c>
      <c r="M1394">
        <f>YEAR(C1394)</f>
        <v>2025</v>
      </c>
      <c r="N1394">
        <v>212</v>
      </c>
      <c r="O1394" t="str">
        <f>IF(N1394&gt;=200,"Platinum",IF(N1394&gt;=100,"Gold",IF(N1394&gt;=50,"Silver","Regular")))</f>
        <v>Platinum</v>
      </c>
      <c r="P1394" s="4" t="str">
        <f t="shared" si="148"/>
        <v>Wednesday</v>
      </c>
      <c r="Q1394" s="4" t="str">
        <f t="shared" si="149"/>
        <v>Medium Order</v>
      </c>
      <c r="R1394" s="4" t="str">
        <f t="shared" si="150"/>
        <v>Weekday</v>
      </c>
      <c r="S1394" s="4" t="str">
        <f t="shared" si="151"/>
        <v>Regular</v>
      </c>
    </row>
    <row r="1395" spans="1:19" x14ac:dyDescent="0.3">
      <c r="A1395">
        <v>7947</v>
      </c>
      <c r="B1395" t="s">
        <v>15</v>
      </c>
      <c r="C1395" s="1">
        <v>45522</v>
      </c>
      <c r="D1395" t="s">
        <v>11</v>
      </c>
      <c r="E1395" t="s">
        <v>14</v>
      </c>
      <c r="F1395">
        <v>3</v>
      </c>
      <c r="G1395">
        <v>8.2899999999999991</v>
      </c>
      <c r="H1395">
        <v>24.87</v>
      </c>
      <c r="I1395" t="str">
        <f t="shared" si="147"/>
        <v>Low</v>
      </c>
      <c r="J1395">
        <v>1.37</v>
      </c>
      <c r="K1395">
        <f t="shared" si="152"/>
        <v>23.5</v>
      </c>
      <c r="L1395" t="str">
        <f t="shared" si="153"/>
        <v>August</v>
      </c>
      <c r="M1395">
        <f>YEAR(C1395)</f>
        <v>2024</v>
      </c>
      <c r="N1395">
        <v>17</v>
      </c>
      <c r="O1395" t="str">
        <f>IF(N1395&gt;=200,"Platinum",IF(N1395&gt;=100,"Gold",IF(N1395&gt;=50,"Silver","Regular")))</f>
        <v>Regular</v>
      </c>
      <c r="P1395" s="4" t="str">
        <f t="shared" si="148"/>
        <v>Sunday</v>
      </c>
      <c r="Q1395" s="4" t="str">
        <f t="shared" si="149"/>
        <v>Medium Order</v>
      </c>
      <c r="R1395" s="4" t="str">
        <f t="shared" si="150"/>
        <v>Weekend</v>
      </c>
      <c r="S1395" s="4" t="str">
        <f t="shared" si="151"/>
        <v>Regular</v>
      </c>
    </row>
    <row r="1396" spans="1:19" x14ac:dyDescent="0.3">
      <c r="A1396">
        <v>9954</v>
      </c>
      <c r="B1396" t="s">
        <v>3</v>
      </c>
      <c r="C1396" s="1">
        <v>45735</v>
      </c>
      <c r="D1396" t="s">
        <v>1</v>
      </c>
      <c r="E1396" t="s">
        <v>35</v>
      </c>
      <c r="F1396">
        <v>4</v>
      </c>
      <c r="G1396">
        <v>19.600000000000001</v>
      </c>
      <c r="H1396">
        <v>78.400000000000006</v>
      </c>
      <c r="I1396" t="str">
        <f t="shared" si="147"/>
        <v>Low</v>
      </c>
      <c r="J1396">
        <v>4.29</v>
      </c>
      <c r="K1396">
        <f t="shared" si="152"/>
        <v>74.11</v>
      </c>
      <c r="L1396" t="str">
        <f t="shared" si="153"/>
        <v>March</v>
      </c>
      <c r="M1396">
        <f>YEAR(C1396)</f>
        <v>2025</v>
      </c>
      <c r="N1396">
        <v>202</v>
      </c>
      <c r="O1396" t="str">
        <f>IF(N1396&gt;=200,"Platinum",IF(N1396&gt;=100,"Gold",IF(N1396&gt;=50,"Silver","Regular")))</f>
        <v>Platinum</v>
      </c>
      <c r="P1396" s="4" t="str">
        <f t="shared" si="148"/>
        <v>Wednesday</v>
      </c>
      <c r="Q1396" s="4" t="str">
        <f t="shared" si="149"/>
        <v>Medium Order</v>
      </c>
      <c r="R1396" s="4" t="str">
        <f t="shared" si="150"/>
        <v>Weekday</v>
      </c>
      <c r="S1396" s="4" t="str">
        <f t="shared" si="151"/>
        <v>Regular</v>
      </c>
    </row>
    <row r="1397" spans="1:19" x14ac:dyDescent="0.3">
      <c r="A1397">
        <v>7108</v>
      </c>
      <c r="B1397" t="s">
        <v>8</v>
      </c>
      <c r="C1397" s="1">
        <v>45857</v>
      </c>
      <c r="D1397" t="s">
        <v>1</v>
      </c>
      <c r="E1397" t="s">
        <v>2</v>
      </c>
      <c r="F1397">
        <v>3</v>
      </c>
      <c r="G1397">
        <v>13.16</v>
      </c>
      <c r="H1397">
        <v>39.479999999999997</v>
      </c>
      <c r="I1397" t="str">
        <f t="shared" si="147"/>
        <v>Low</v>
      </c>
      <c r="J1397">
        <v>2.16</v>
      </c>
      <c r="K1397">
        <f t="shared" si="152"/>
        <v>37.319999999999993</v>
      </c>
      <c r="L1397" t="str">
        <f t="shared" si="153"/>
        <v>July</v>
      </c>
      <c r="M1397">
        <f>YEAR(C1397)</f>
        <v>2025</v>
      </c>
      <c r="N1397">
        <v>466</v>
      </c>
      <c r="O1397" t="str">
        <f>IF(N1397&gt;=200,"Platinum",IF(N1397&gt;=100,"Gold",IF(N1397&gt;=50,"Silver","Regular")))</f>
        <v>Platinum</v>
      </c>
      <c r="P1397" s="4" t="str">
        <f t="shared" si="148"/>
        <v>Saturday</v>
      </c>
      <c r="Q1397" s="4" t="str">
        <f t="shared" si="149"/>
        <v>Medium Order</v>
      </c>
      <c r="R1397" s="4" t="str">
        <f t="shared" si="150"/>
        <v>Weekend</v>
      </c>
      <c r="S1397" s="4" t="str">
        <f t="shared" si="151"/>
        <v>Regular</v>
      </c>
    </row>
    <row r="1398" spans="1:19" x14ac:dyDescent="0.3">
      <c r="A1398">
        <v>1697</v>
      </c>
      <c r="B1398" t="s">
        <v>0</v>
      </c>
      <c r="C1398" s="1">
        <v>45323</v>
      </c>
      <c r="D1398" t="s">
        <v>16</v>
      </c>
      <c r="E1398" t="s">
        <v>29</v>
      </c>
      <c r="F1398">
        <v>2</v>
      </c>
      <c r="G1398">
        <v>20.84</v>
      </c>
      <c r="H1398">
        <v>41.68</v>
      </c>
      <c r="I1398" t="str">
        <f t="shared" si="147"/>
        <v>Low</v>
      </c>
      <c r="J1398">
        <v>2.27</v>
      </c>
      <c r="K1398">
        <f t="shared" si="152"/>
        <v>39.409999999999997</v>
      </c>
      <c r="L1398" t="str">
        <f t="shared" si="153"/>
        <v>February</v>
      </c>
      <c r="M1398">
        <f>YEAR(C1398)</f>
        <v>2024</v>
      </c>
      <c r="N1398">
        <v>440</v>
      </c>
      <c r="O1398" t="str">
        <f>IF(N1398&gt;=200,"Platinum",IF(N1398&gt;=100,"Gold",IF(N1398&gt;=50,"Silver","Regular")))</f>
        <v>Platinum</v>
      </c>
      <c r="P1398" s="4" t="str">
        <f t="shared" si="148"/>
        <v>Thursday</v>
      </c>
      <c r="Q1398" s="4" t="str">
        <f t="shared" si="149"/>
        <v>Small Order</v>
      </c>
      <c r="R1398" s="4" t="str">
        <f t="shared" si="150"/>
        <v>Weekday</v>
      </c>
      <c r="S1398" s="4" t="str">
        <f t="shared" si="151"/>
        <v>Regular</v>
      </c>
    </row>
    <row r="1399" spans="1:19" x14ac:dyDescent="0.3">
      <c r="A1399">
        <v>5403</v>
      </c>
      <c r="B1399" t="s">
        <v>0</v>
      </c>
      <c r="C1399" s="1">
        <v>45714</v>
      </c>
      <c r="D1399" t="s">
        <v>34</v>
      </c>
      <c r="E1399" t="s">
        <v>32</v>
      </c>
      <c r="F1399">
        <v>3</v>
      </c>
      <c r="G1399">
        <v>25.97</v>
      </c>
      <c r="H1399">
        <v>77.91</v>
      </c>
      <c r="I1399" t="str">
        <f t="shared" si="147"/>
        <v>Low</v>
      </c>
      <c r="J1399">
        <v>4.24</v>
      </c>
      <c r="K1399">
        <f t="shared" si="152"/>
        <v>73.67</v>
      </c>
      <c r="L1399" t="str">
        <f t="shared" si="153"/>
        <v>February</v>
      </c>
      <c r="M1399">
        <f>YEAR(C1399)</f>
        <v>2025</v>
      </c>
      <c r="N1399">
        <v>458</v>
      </c>
      <c r="O1399" t="str">
        <f>IF(N1399&gt;=200,"Platinum",IF(N1399&gt;=100,"Gold",IF(N1399&gt;=50,"Silver","Regular")))</f>
        <v>Platinum</v>
      </c>
      <c r="P1399" s="4" t="str">
        <f t="shared" si="148"/>
        <v>Wednesday</v>
      </c>
      <c r="Q1399" s="4" t="str">
        <f t="shared" si="149"/>
        <v>Medium Order</v>
      </c>
      <c r="R1399" s="4" t="str">
        <f t="shared" si="150"/>
        <v>Weekday</v>
      </c>
      <c r="S1399" s="4" t="str">
        <f t="shared" si="151"/>
        <v>Regular</v>
      </c>
    </row>
    <row r="1400" spans="1:19" x14ac:dyDescent="0.3">
      <c r="A1400">
        <v>8951</v>
      </c>
      <c r="B1400" t="s">
        <v>13</v>
      </c>
      <c r="C1400" s="1">
        <v>45757</v>
      </c>
      <c r="D1400" t="s">
        <v>17</v>
      </c>
      <c r="E1400" t="s">
        <v>18</v>
      </c>
      <c r="F1400">
        <v>4</v>
      </c>
      <c r="G1400">
        <v>22.99</v>
      </c>
      <c r="H1400">
        <v>91.96</v>
      </c>
      <c r="I1400" t="str">
        <f t="shared" si="147"/>
        <v>Low</v>
      </c>
      <c r="J1400">
        <v>4.99</v>
      </c>
      <c r="K1400">
        <f t="shared" si="152"/>
        <v>86.97</v>
      </c>
      <c r="L1400" t="str">
        <f t="shared" si="153"/>
        <v>April</v>
      </c>
      <c r="M1400">
        <f>YEAR(C1400)</f>
        <v>2025</v>
      </c>
      <c r="N1400">
        <v>115</v>
      </c>
      <c r="O1400" t="str">
        <f>IF(N1400&gt;=200,"Platinum",IF(N1400&gt;=100,"Gold",IF(N1400&gt;=50,"Silver","Regular")))</f>
        <v>Gold</v>
      </c>
      <c r="P1400" s="4" t="str">
        <f t="shared" si="148"/>
        <v>Thursday</v>
      </c>
      <c r="Q1400" s="4" t="str">
        <f t="shared" si="149"/>
        <v>Medium Order</v>
      </c>
      <c r="R1400" s="4" t="str">
        <f t="shared" si="150"/>
        <v>Weekday</v>
      </c>
      <c r="S1400" s="4" t="str">
        <f t="shared" si="151"/>
        <v>Regular</v>
      </c>
    </row>
    <row r="1401" spans="1:19" x14ac:dyDescent="0.3">
      <c r="A1401">
        <v>6315</v>
      </c>
      <c r="B1401" t="s">
        <v>19</v>
      </c>
      <c r="C1401" s="1">
        <v>45815</v>
      </c>
      <c r="D1401" t="s">
        <v>24</v>
      </c>
      <c r="E1401" t="s">
        <v>28</v>
      </c>
      <c r="F1401">
        <v>2</v>
      </c>
      <c r="G1401">
        <v>19.309999999999999</v>
      </c>
      <c r="H1401">
        <v>38.619999999999997</v>
      </c>
      <c r="I1401" t="str">
        <f t="shared" si="147"/>
        <v>Low</v>
      </c>
      <c r="J1401">
        <v>2.09</v>
      </c>
      <c r="K1401">
        <f t="shared" si="152"/>
        <v>36.53</v>
      </c>
      <c r="L1401" t="str">
        <f t="shared" si="153"/>
        <v>June</v>
      </c>
      <c r="M1401">
        <f>YEAR(C1401)</f>
        <v>2025</v>
      </c>
      <c r="N1401">
        <v>352</v>
      </c>
      <c r="O1401" t="str">
        <f>IF(N1401&gt;=200,"Platinum",IF(N1401&gt;=100,"Gold",IF(N1401&gt;=50,"Silver","Regular")))</f>
        <v>Platinum</v>
      </c>
      <c r="P1401" s="4" t="str">
        <f t="shared" si="148"/>
        <v>Saturday</v>
      </c>
      <c r="Q1401" s="4" t="str">
        <f t="shared" si="149"/>
        <v>Small Order</v>
      </c>
      <c r="R1401" s="4" t="str">
        <f t="shared" si="150"/>
        <v>Weekend</v>
      </c>
      <c r="S1401" s="4" t="str">
        <f t="shared" si="151"/>
        <v>Regular</v>
      </c>
    </row>
    <row r="1402" spans="1:19" x14ac:dyDescent="0.3">
      <c r="A1402">
        <v>8378</v>
      </c>
      <c r="B1402" t="s">
        <v>0</v>
      </c>
      <c r="C1402" s="1">
        <v>45738</v>
      </c>
      <c r="D1402" t="s">
        <v>16</v>
      </c>
      <c r="E1402" t="s">
        <v>21</v>
      </c>
      <c r="F1402">
        <v>4</v>
      </c>
      <c r="G1402">
        <v>21.47</v>
      </c>
      <c r="H1402">
        <v>85.88</v>
      </c>
      <c r="I1402" t="str">
        <f t="shared" si="147"/>
        <v>Low</v>
      </c>
      <c r="J1402">
        <v>4.6399999999999997</v>
      </c>
      <c r="K1402">
        <f t="shared" si="152"/>
        <v>81.239999999999995</v>
      </c>
      <c r="L1402" t="str">
        <f t="shared" si="153"/>
        <v>March</v>
      </c>
      <c r="M1402">
        <f>YEAR(C1402)</f>
        <v>2025</v>
      </c>
      <c r="N1402">
        <v>498</v>
      </c>
      <c r="O1402" t="str">
        <f>IF(N1402&gt;=200,"Platinum",IF(N1402&gt;=100,"Gold",IF(N1402&gt;=50,"Silver","Regular")))</f>
        <v>Platinum</v>
      </c>
      <c r="P1402" s="4" t="str">
        <f t="shared" si="148"/>
        <v>Saturday</v>
      </c>
      <c r="Q1402" s="4" t="str">
        <f t="shared" si="149"/>
        <v>Medium Order</v>
      </c>
      <c r="R1402" s="4" t="str">
        <f t="shared" si="150"/>
        <v>Weekend</v>
      </c>
      <c r="S1402" s="4" t="str">
        <f t="shared" si="151"/>
        <v>Regular</v>
      </c>
    </row>
    <row r="1403" spans="1:19" x14ac:dyDescent="0.3">
      <c r="A1403">
        <v>4625</v>
      </c>
      <c r="B1403" t="s">
        <v>19</v>
      </c>
      <c r="C1403" s="1">
        <v>45720</v>
      </c>
      <c r="D1403" t="s">
        <v>16</v>
      </c>
      <c r="E1403" t="s">
        <v>37</v>
      </c>
      <c r="F1403">
        <v>3</v>
      </c>
      <c r="G1403">
        <v>18.23</v>
      </c>
      <c r="H1403">
        <v>54.69</v>
      </c>
      <c r="I1403" t="str">
        <f t="shared" si="147"/>
        <v>Low</v>
      </c>
      <c r="J1403">
        <v>2.93</v>
      </c>
      <c r="K1403">
        <f t="shared" si="152"/>
        <v>51.76</v>
      </c>
      <c r="L1403" t="str">
        <f t="shared" si="153"/>
        <v>March</v>
      </c>
      <c r="M1403">
        <f>YEAR(C1403)</f>
        <v>2025</v>
      </c>
      <c r="N1403">
        <v>420</v>
      </c>
      <c r="O1403" t="str">
        <f>IF(N1403&gt;=200,"Platinum",IF(N1403&gt;=100,"Gold",IF(N1403&gt;=50,"Silver","Regular")))</f>
        <v>Platinum</v>
      </c>
      <c r="P1403" s="4" t="str">
        <f t="shared" si="148"/>
        <v>Tuesday</v>
      </c>
      <c r="Q1403" s="4" t="str">
        <f t="shared" si="149"/>
        <v>Medium Order</v>
      </c>
      <c r="R1403" s="4" t="str">
        <f t="shared" si="150"/>
        <v>Weekday</v>
      </c>
      <c r="S1403" s="4" t="str">
        <f t="shared" si="151"/>
        <v>Regular</v>
      </c>
    </row>
    <row r="1404" spans="1:19" x14ac:dyDescent="0.3">
      <c r="A1404">
        <v>3578</v>
      </c>
      <c r="B1404" t="s">
        <v>8</v>
      </c>
      <c r="C1404" s="1">
        <v>45432</v>
      </c>
      <c r="D1404" t="s">
        <v>27</v>
      </c>
      <c r="E1404" t="s">
        <v>29</v>
      </c>
      <c r="F1404">
        <v>3</v>
      </c>
      <c r="G1404">
        <v>29.53</v>
      </c>
      <c r="H1404">
        <v>88.59</v>
      </c>
      <c r="I1404" t="str">
        <f t="shared" si="147"/>
        <v>Low</v>
      </c>
      <c r="J1404">
        <v>4.74</v>
      </c>
      <c r="K1404">
        <f t="shared" si="152"/>
        <v>83.850000000000009</v>
      </c>
      <c r="L1404" t="str">
        <f t="shared" si="153"/>
        <v>May</v>
      </c>
      <c r="M1404">
        <f>YEAR(C1404)</f>
        <v>2024</v>
      </c>
      <c r="N1404">
        <v>495</v>
      </c>
      <c r="O1404" t="str">
        <f>IF(N1404&gt;=200,"Platinum",IF(N1404&gt;=100,"Gold",IF(N1404&gt;=50,"Silver","Regular")))</f>
        <v>Platinum</v>
      </c>
      <c r="P1404" s="4" t="str">
        <f t="shared" si="148"/>
        <v>Monday</v>
      </c>
      <c r="Q1404" s="4" t="str">
        <f t="shared" si="149"/>
        <v>Medium Order</v>
      </c>
      <c r="R1404" s="4" t="str">
        <f t="shared" si="150"/>
        <v>Weekday</v>
      </c>
      <c r="S1404" s="4" t="str">
        <f t="shared" si="151"/>
        <v>Regular</v>
      </c>
    </row>
    <row r="1405" spans="1:19" x14ac:dyDescent="0.3">
      <c r="A1405">
        <v>7227</v>
      </c>
      <c r="B1405" t="s">
        <v>0</v>
      </c>
      <c r="C1405" s="1">
        <v>45211</v>
      </c>
      <c r="D1405" t="s">
        <v>11</v>
      </c>
      <c r="E1405" t="s">
        <v>32</v>
      </c>
      <c r="F1405">
        <v>2</v>
      </c>
      <c r="G1405">
        <v>22.08</v>
      </c>
      <c r="H1405">
        <v>44.16</v>
      </c>
      <c r="I1405" t="str">
        <f t="shared" si="147"/>
        <v>Low</v>
      </c>
      <c r="J1405">
        <v>2.34</v>
      </c>
      <c r="K1405">
        <f t="shared" si="152"/>
        <v>41.819999999999993</v>
      </c>
      <c r="L1405" t="str">
        <f t="shared" si="153"/>
        <v>October</v>
      </c>
      <c r="M1405">
        <f>YEAR(C1405)</f>
        <v>2023</v>
      </c>
      <c r="N1405">
        <v>167</v>
      </c>
      <c r="O1405" t="str">
        <f>IF(N1405&gt;=200,"Platinum",IF(N1405&gt;=100,"Gold",IF(N1405&gt;=50,"Silver","Regular")))</f>
        <v>Gold</v>
      </c>
      <c r="P1405" s="4" t="str">
        <f t="shared" si="148"/>
        <v>Thursday</v>
      </c>
      <c r="Q1405" s="4" t="str">
        <f t="shared" si="149"/>
        <v>Small Order</v>
      </c>
      <c r="R1405" s="4" t="str">
        <f t="shared" si="150"/>
        <v>Weekday</v>
      </c>
      <c r="S1405" s="4" t="str">
        <f t="shared" si="151"/>
        <v>Regular</v>
      </c>
    </row>
    <row r="1406" spans="1:19" x14ac:dyDescent="0.3">
      <c r="A1406">
        <v>1797</v>
      </c>
      <c r="B1406" t="s">
        <v>3</v>
      </c>
      <c r="C1406" s="1">
        <v>45335</v>
      </c>
      <c r="D1406" t="s">
        <v>16</v>
      </c>
      <c r="E1406" t="s">
        <v>26</v>
      </c>
      <c r="F1406">
        <v>4</v>
      </c>
      <c r="G1406">
        <v>22.6</v>
      </c>
      <c r="H1406">
        <v>90.4</v>
      </c>
      <c r="I1406" t="str">
        <f t="shared" si="147"/>
        <v>Low</v>
      </c>
      <c r="J1406">
        <v>4.79</v>
      </c>
      <c r="K1406">
        <f t="shared" si="152"/>
        <v>85.61</v>
      </c>
      <c r="L1406" t="str">
        <f t="shared" si="153"/>
        <v>February</v>
      </c>
      <c r="M1406">
        <f>YEAR(C1406)</f>
        <v>2024</v>
      </c>
      <c r="N1406">
        <v>253</v>
      </c>
      <c r="O1406" t="str">
        <f>IF(N1406&gt;=200,"Platinum",IF(N1406&gt;=100,"Gold",IF(N1406&gt;=50,"Silver","Regular")))</f>
        <v>Platinum</v>
      </c>
      <c r="P1406" s="4" t="str">
        <f t="shared" si="148"/>
        <v>Tuesday</v>
      </c>
      <c r="Q1406" s="4" t="str">
        <f t="shared" si="149"/>
        <v>Medium Order</v>
      </c>
      <c r="R1406" s="4" t="str">
        <f t="shared" si="150"/>
        <v>Weekday</v>
      </c>
      <c r="S1406" s="4" t="str">
        <f t="shared" si="151"/>
        <v>Regular</v>
      </c>
    </row>
    <row r="1407" spans="1:19" x14ac:dyDescent="0.3">
      <c r="A1407">
        <v>6399</v>
      </c>
      <c r="B1407" t="s">
        <v>49</v>
      </c>
      <c r="C1407" s="1">
        <v>45486</v>
      </c>
      <c r="D1407" t="s">
        <v>6</v>
      </c>
      <c r="E1407" t="s">
        <v>2</v>
      </c>
      <c r="F1407">
        <v>3</v>
      </c>
      <c r="G1407">
        <v>24.79</v>
      </c>
      <c r="H1407">
        <v>74.37</v>
      </c>
      <c r="I1407" t="str">
        <f t="shared" si="147"/>
        <v>Low</v>
      </c>
      <c r="J1407">
        <v>3.92</v>
      </c>
      <c r="K1407">
        <f t="shared" si="152"/>
        <v>70.45</v>
      </c>
      <c r="L1407" t="str">
        <f t="shared" si="153"/>
        <v>July</v>
      </c>
      <c r="M1407">
        <f>YEAR(C1407)</f>
        <v>2024</v>
      </c>
      <c r="N1407">
        <v>444</v>
      </c>
      <c r="O1407" t="str">
        <f>IF(N1407&gt;=200,"Platinum",IF(N1407&gt;=100,"Gold",IF(N1407&gt;=50,"Silver","Regular")))</f>
        <v>Platinum</v>
      </c>
      <c r="P1407" s="4" t="str">
        <f t="shared" si="148"/>
        <v>Saturday</v>
      </c>
      <c r="Q1407" s="4" t="str">
        <f t="shared" si="149"/>
        <v>Medium Order</v>
      </c>
      <c r="R1407" s="4" t="str">
        <f t="shared" si="150"/>
        <v>Weekend</v>
      </c>
      <c r="S1407" s="4" t="str">
        <f t="shared" si="151"/>
        <v>Regular</v>
      </c>
    </row>
    <row r="1408" spans="1:19" x14ac:dyDescent="0.3">
      <c r="A1408">
        <v>7815</v>
      </c>
      <c r="B1408" t="s">
        <v>25</v>
      </c>
      <c r="C1408" s="1">
        <v>45711</v>
      </c>
      <c r="D1408" t="s">
        <v>34</v>
      </c>
      <c r="E1408" t="s">
        <v>35</v>
      </c>
      <c r="F1408">
        <v>3</v>
      </c>
      <c r="G1408">
        <v>23.48</v>
      </c>
      <c r="H1408">
        <v>70.44</v>
      </c>
      <c r="I1408" t="str">
        <f t="shared" si="147"/>
        <v>Low</v>
      </c>
      <c r="J1408">
        <v>3.71</v>
      </c>
      <c r="K1408">
        <f t="shared" si="152"/>
        <v>66.73</v>
      </c>
      <c r="L1408" t="str">
        <f t="shared" si="153"/>
        <v>February</v>
      </c>
      <c r="M1408">
        <f>YEAR(C1408)</f>
        <v>2025</v>
      </c>
      <c r="N1408">
        <v>73</v>
      </c>
      <c r="O1408" t="str">
        <f>IF(N1408&gt;=200,"Platinum",IF(N1408&gt;=100,"Gold",IF(N1408&gt;=50,"Silver","Regular")))</f>
        <v>Silver</v>
      </c>
      <c r="P1408" s="4" t="str">
        <f t="shared" si="148"/>
        <v>Sunday</v>
      </c>
      <c r="Q1408" s="4" t="str">
        <f t="shared" si="149"/>
        <v>Medium Order</v>
      </c>
      <c r="R1408" s="4" t="str">
        <f t="shared" si="150"/>
        <v>Weekend</v>
      </c>
      <c r="S1408" s="4" t="str">
        <f t="shared" si="151"/>
        <v>Regular</v>
      </c>
    </row>
    <row r="1409" spans="1:19" x14ac:dyDescent="0.3">
      <c r="A1409">
        <v>9837</v>
      </c>
      <c r="B1409" t="s">
        <v>20</v>
      </c>
      <c r="C1409" s="1">
        <v>45185</v>
      </c>
      <c r="D1409" t="s">
        <v>34</v>
      </c>
      <c r="E1409" t="s">
        <v>2</v>
      </c>
      <c r="F1409">
        <v>3</v>
      </c>
      <c r="G1409">
        <v>25.99</v>
      </c>
      <c r="H1409">
        <v>77.97</v>
      </c>
      <c r="I1409" t="str">
        <f t="shared" si="147"/>
        <v>Low</v>
      </c>
      <c r="J1409">
        <v>4.0999999999999996</v>
      </c>
      <c r="K1409">
        <f t="shared" si="152"/>
        <v>73.87</v>
      </c>
      <c r="L1409" t="str">
        <f t="shared" si="153"/>
        <v>September</v>
      </c>
      <c r="M1409">
        <f>YEAR(C1409)</f>
        <v>2023</v>
      </c>
      <c r="N1409">
        <v>44</v>
      </c>
      <c r="O1409" t="str">
        <f>IF(N1409&gt;=200,"Platinum",IF(N1409&gt;=100,"Gold",IF(N1409&gt;=50,"Silver","Regular")))</f>
        <v>Regular</v>
      </c>
      <c r="P1409" s="4" t="str">
        <f t="shared" si="148"/>
        <v>Saturday</v>
      </c>
      <c r="Q1409" s="4" t="str">
        <f t="shared" si="149"/>
        <v>Medium Order</v>
      </c>
      <c r="R1409" s="4" t="str">
        <f t="shared" si="150"/>
        <v>Weekend</v>
      </c>
      <c r="S1409" s="4" t="str">
        <f t="shared" si="151"/>
        <v>Regular</v>
      </c>
    </row>
    <row r="1410" spans="1:19" x14ac:dyDescent="0.3">
      <c r="A1410">
        <v>7841</v>
      </c>
      <c r="B1410" t="s">
        <v>8</v>
      </c>
      <c r="C1410" s="1">
        <v>45374</v>
      </c>
      <c r="D1410" t="s">
        <v>24</v>
      </c>
      <c r="E1410" t="s">
        <v>26</v>
      </c>
      <c r="F1410">
        <v>1</v>
      </c>
      <c r="G1410">
        <v>24.35</v>
      </c>
      <c r="H1410">
        <v>24.35</v>
      </c>
      <c r="I1410" t="str">
        <f t="shared" ref="I1410:I1473" si="154">IF(J1410=0,"No Discount",IF(J1410&lt;=5,"Low",IF(J1410&lt;=10,"Medium",IF(J1410&lt;=20,"High","Very High"))))</f>
        <v>Low</v>
      </c>
      <c r="J1410">
        <v>1.27</v>
      </c>
      <c r="K1410">
        <f t="shared" si="152"/>
        <v>23.080000000000002</v>
      </c>
      <c r="L1410" t="str">
        <f t="shared" si="153"/>
        <v>March</v>
      </c>
      <c r="M1410">
        <f>YEAR(C1410)</f>
        <v>2024</v>
      </c>
      <c r="N1410">
        <v>319</v>
      </c>
      <c r="O1410" t="str">
        <f>IF(N1410&gt;=200,"Platinum",IF(N1410&gt;=100,"Gold",IF(N1410&gt;=50,"Silver","Regular")))</f>
        <v>Platinum</v>
      </c>
      <c r="P1410" s="4" t="str">
        <f t="shared" ref="P1410:P1473" si="155">TEXT(C1410,"dddd")</f>
        <v>Saturday</v>
      </c>
      <c r="Q1410" s="4" t="str">
        <f t="shared" ref="Q1410:Q1473" si="156">IF(F1410&lt;=2,"Small Order",IF(F1410&lt;=5,"Medium Order",IF(F1410&lt;=10,"Large Order","Bulk Order")))</f>
        <v>Small Order</v>
      </c>
      <c r="R1410" s="4" t="str">
        <f t="shared" ref="R1410:R1473" si="157">IF(WEEKDAY(C1410,2)&gt;5,"Weekend","Weekday")</f>
        <v>Weekend</v>
      </c>
      <c r="S1410" s="4" t="str">
        <f t="shared" ref="S1410:S1473" si="158">IF(K1410&gt;=100,"High Value","Regular")</f>
        <v>Regular</v>
      </c>
    </row>
    <row r="1411" spans="1:19" x14ac:dyDescent="0.3">
      <c r="A1411">
        <v>5934</v>
      </c>
      <c r="B1411" t="s">
        <v>8</v>
      </c>
      <c r="C1411" s="1">
        <v>45239</v>
      </c>
      <c r="D1411" t="s">
        <v>11</v>
      </c>
      <c r="E1411" t="s">
        <v>36</v>
      </c>
      <c r="F1411">
        <v>2</v>
      </c>
      <c r="G1411">
        <v>17.100000000000001</v>
      </c>
      <c r="H1411">
        <v>34.200000000000003</v>
      </c>
      <c r="I1411" t="str">
        <f t="shared" si="154"/>
        <v>Low</v>
      </c>
      <c r="J1411">
        <v>1.76</v>
      </c>
      <c r="K1411">
        <f t="shared" ref="K1411:K1474" si="159">MAX(0,H1411-J1411)</f>
        <v>32.440000000000005</v>
      </c>
      <c r="L1411" t="str">
        <f t="shared" ref="L1411:L1474" si="160">TEXT(C1411,"mmmm")</f>
        <v>November</v>
      </c>
      <c r="M1411">
        <f>YEAR(C1411)</f>
        <v>2023</v>
      </c>
      <c r="N1411">
        <v>472</v>
      </c>
      <c r="O1411" t="str">
        <f>IF(N1411&gt;=200,"Platinum",IF(N1411&gt;=100,"Gold",IF(N1411&gt;=50,"Silver","Regular")))</f>
        <v>Platinum</v>
      </c>
      <c r="P1411" s="4" t="str">
        <f t="shared" si="155"/>
        <v>Thursday</v>
      </c>
      <c r="Q1411" s="4" t="str">
        <f t="shared" si="156"/>
        <v>Small Order</v>
      </c>
      <c r="R1411" s="4" t="str">
        <f t="shared" si="157"/>
        <v>Weekday</v>
      </c>
      <c r="S1411" s="4" t="str">
        <f t="shared" si="158"/>
        <v>Regular</v>
      </c>
    </row>
    <row r="1412" spans="1:19" x14ac:dyDescent="0.3">
      <c r="A1412">
        <v>7184</v>
      </c>
      <c r="B1412" t="s">
        <v>25</v>
      </c>
      <c r="C1412" s="1">
        <v>45436</v>
      </c>
      <c r="D1412" t="s">
        <v>4</v>
      </c>
      <c r="E1412" t="s">
        <v>18</v>
      </c>
      <c r="F1412">
        <v>4</v>
      </c>
      <c r="G1412">
        <v>13.41</v>
      </c>
      <c r="H1412">
        <v>53.64</v>
      </c>
      <c r="I1412" t="str">
        <f t="shared" si="154"/>
        <v>Low</v>
      </c>
      <c r="J1412">
        <v>2.74</v>
      </c>
      <c r="K1412">
        <f t="shared" si="159"/>
        <v>50.9</v>
      </c>
      <c r="L1412" t="str">
        <f t="shared" si="160"/>
        <v>May</v>
      </c>
      <c r="M1412">
        <f>YEAR(C1412)</f>
        <v>2024</v>
      </c>
      <c r="N1412">
        <v>90</v>
      </c>
      <c r="O1412" t="str">
        <f>IF(N1412&gt;=200,"Platinum",IF(N1412&gt;=100,"Gold",IF(N1412&gt;=50,"Silver","Regular")))</f>
        <v>Silver</v>
      </c>
      <c r="P1412" s="4" t="str">
        <f t="shared" si="155"/>
        <v>Friday</v>
      </c>
      <c r="Q1412" s="4" t="str">
        <f t="shared" si="156"/>
        <v>Medium Order</v>
      </c>
      <c r="R1412" s="4" t="str">
        <f t="shared" si="157"/>
        <v>Weekday</v>
      </c>
      <c r="S1412" s="4" t="str">
        <f t="shared" si="158"/>
        <v>Regular</v>
      </c>
    </row>
    <row r="1413" spans="1:19" x14ac:dyDescent="0.3">
      <c r="A1413">
        <v>1872</v>
      </c>
      <c r="B1413" t="s">
        <v>13</v>
      </c>
      <c r="C1413" s="1">
        <v>45452</v>
      </c>
      <c r="D1413" t="s">
        <v>11</v>
      </c>
      <c r="E1413" t="s">
        <v>5</v>
      </c>
      <c r="F1413">
        <v>1</v>
      </c>
      <c r="G1413">
        <v>24.9</v>
      </c>
      <c r="H1413">
        <v>24.9</v>
      </c>
      <c r="I1413" t="str">
        <f t="shared" si="154"/>
        <v>Low</v>
      </c>
      <c r="J1413">
        <v>1.27</v>
      </c>
      <c r="K1413">
        <f t="shared" si="159"/>
        <v>23.63</v>
      </c>
      <c r="L1413" t="str">
        <f t="shared" si="160"/>
        <v>June</v>
      </c>
      <c r="M1413">
        <f>YEAR(C1413)</f>
        <v>2024</v>
      </c>
      <c r="N1413">
        <v>357</v>
      </c>
      <c r="O1413" t="str">
        <f>IF(N1413&gt;=200,"Platinum",IF(N1413&gt;=100,"Gold",IF(N1413&gt;=50,"Silver","Regular")))</f>
        <v>Platinum</v>
      </c>
      <c r="P1413" s="4" t="str">
        <f t="shared" si="155"/>
        <v>Sunday</v>
      </c>
      <c r="Q1413" s="4" t="str">
        <f t="shared" si="156"/>
        <v>Small Order</v>
      </c>
      <c r="R1413" s="4" t="str">
        <f t="shared" si="157"/>
        <v>Weekend</v>
      </c>
      <c r="S1413" s="4" t="str">
        <f t="shared" si="158"/>
        <v>Regular</v>
      </c>
    </row>
    <row r="1414" spans="1:19" x14ac:dyDescent="0.3">
      <c r="A1414">
        <v>6194</v>
      </c>
      <c r="B1414" t="s">
        <v>25</v>
      </c>
      <c r="C1414" s="1">
        <v>45643</v>
      </c>
      <c r="D1414" t="s">
        <v>9</v>
      </c>
      <c r="E1414" t="s">
        <v>33</v>
      </c>
      <c r="F1414">
        <v>4</v>
      </c>
      <c r="G1414">
        <v>6.33</v>
      </c>
      <c r="H1414">
        <v>25.32</v>
      </c>
      <c r="I1414" t="str">
        <f t="shared" si="154"/>
        <v>Low</v>
      </c>
      <c r="J1414">
        <v>1.29</v>
      </c>
      <c r="K1414">
        <f t="shared" si="159"/>
        <v>24.03</v>
      </c>
      <c r="L1414" t="str">
        <f t="shared" si="160"/>
        <v>December</v>
      </c>
      <c r="M1414">
        <f>YEAR(C1414)</f>
        <v>2024</v>
      </c>
      <c r="N1414">
        <v>3</v>
      </c>
      <c r="O1414" t="str">
        <f>IF(N1414&gt;=200,"Platinum",IF(N1414&gt;=100,"Gold",IF(N1414&gt;=50,"Silver","Regular")))</f>
        <v>Regular</v>
      </c>
      <c r="P1414" s="4" t="str">
        <f t="shared" si="155"/>
        <v>Tuesday</v>
      </c>
      <c r="Q1414" s="4" t="str">
        <f t="shared" si="156"/>
        <v>Medium Order</v>
      </c>
      <c r="R1414" s="4" t="str">
        <f t="shared" si="157"/>
        <v>Weekday</v>
      </c>
      <c r="S1414" s="4" t="str">
        <f t="shared" si="158"/>
        <v>Regular</v>
      </c>
    </row>
    <row r="1415" spans="1:19" x14ac:dyDescent="0.3">
      <c r="A1415">
        <v>6138</v>
      </c>
      <c r="B1415" t="s">
        <v>3</v>
      </c>
      <c r="C1415" s="1">
        <v>45189</v>
      </c>
      <c r="D1415" t="s">
        <v>11</v>
      </c>
      <c r="E1415" t="s">
        <v>21</v>
      </c>
      <c r="F1415">
        <v>5</v>
      </c>
      <c r="G1415">
        <v>16.38</v>
      </c>
      <c r="H1415">
        <v>81.900000000000006</v>
      </c>
      <c r="I1415" t="str">
        <f t="shared" si="154"/>
        <v>Low</v>
      </c>
      <c r="J1415">
        <v>4.17</v>
      </c>
      <c r="K1415">
        <f t="shared" si="159"/>
        <v>77.73</v>
      </c>
      <c r="L1415" t="str">
        <f t="shared" si="160"/>
        <v>September</v>
      </c>
      <c r="M1415">
        <f>YEAR(C1415)</f>
        <v>2023</v>
      </c>
      <c r="N1415">
        <v>232</v>
      </c>
      <c r="O1415" t="str">
        <f>IF(N1415&gt;=200,"Platinum",IF(N1415&gt;=100,"Gold",IF(N1415&gt;=50,"Silver","Regular")))</f>
        <v>Platinum</v>
      </c>
      <c r="P1415" s="4" t="str">
        <f t="shared" si="155"/>
        <v>Wednesday</v>
      </c>
      <c r="Q1415" s="4" t="str">
        <f t="shared" si="156"/>
        <v>Medium Order</v>
      </c>
      <c r="R1415" s="4" t="str">
        <f t="shared" si="157"/>
        <v>Weekday</v>
      </c>
      <c r="S1415" s="4" t="str">
        <f t="shared" si="158"/>
        <v>Regular</v>
      </c>
    </row>
    <row r="1416" spans="1:19" x14ac:dyDescent="0.3">
      <c r="A1416">
        <v>2480</v>
      </c>
      <c r="B1416" t="s">
        <v>13</v>
      </c>
      <c r="C1416" s="1">
        <v>45482</v>
      </c>
      <c r="D1416" t="s">
        <v>16</v>
      </c>
      <c r="E1416" t="s">
        <v>28</v>
      </c>
      <c r="F1416">
        <v>1</v>
      </c>
      <c r="G1416">
        <v>24.86</v>
      </c>
      <c r="H1416">
        <v>24.86</v>
      </c>
      <c r="I1416" t="str">
        <f t="shared" si="154"/>
        <v>Low</v>
      </c>
      <c r="J1416">
        <v>1.26</v>
      </c>
      <c r="K1416">
        <f t="shared" si="159"/>
        <v>23.599999999999998</v>
      </c>
      <c r="L1416" t="str">
        <f t="shared" si="160"/>
        <v>July</v>
      </c>
      <c r="M1416">
        <f>YEAR(C1416)</f>
        <v>2024</v>
      </c>
      <c r="N1416">
        <v>241</v>
      </c>
      <c r="O1416" t="str">
        <f>IF(N1416&gt;=200,"Platinum",IF(N1416&gt;=100,"Gold",IF(N1416&gt;=50,"Silver","Regular")))</f>
        <v>Platinum</v>
      </c>
      <c r="P1416" s="4" t="str">
        <f t="shared" si="155"/>
        <v>Tuesday</v>
      </c>
      <c r="Q1416" s="4" t="str">
        <f t="shared" si="156"/>
        <v>Small Order</v>
      </c>
      <c r="R1416" s="4" t="str">
        <f t="shared" si="157"/>
        <v>Weekday</v>
      </c>
      <c r="S1416" s="4" t="str">
        <f t="shared" si="158"/>
        <v>Regular</v>
      </c>
    </row>
    <row r="1417" spans="1:19" x14ac:dyDescent="0.3">
      <c r="A1417">
        <v>8292</v>
      </c>
      <c r="B1417" t="s">
        <v>19</v>
      </c>
      <c r="C1417" s="1">
        <v>45213</v>
      </c>
      <c r="D1417" t="s">
        <v>6</v>
      </c>
      <c r="E1417" t="s">
        <v>28</v>
      </c>
      <c r="F1417">
        <v>5</v>
      </c>
      <c r="G1417">
        <v>18.809999999999999</v>
      </c>
      <c r="H1417">
        <v>94.05</v>
      </c>
      <c r="I1417" t="str">
        <f t="shared" si="154"/>
        <v>Low</v>
      </c>
      <c r="J1417">
        <v>4.75</v>
      </c>
      <c r="K1417">
        <f t="shared" si="159"/>
        <v>89.3</v>
      </c>
      <c r="L1417" t="str">
        <f t="shared" si="160"/>
        <v>October</v>
      </c>
      <c r="M1417">
        <f>YEAR(C1417)</f>
        <v>2023</v>
      </c>
      <c r="N1417">
        <v>348</v>
      </c>
      <c r="O1417" t="str">
        <f>IF(N1417&gt;=200,"Platinum",IF(N1417&gt;=100,"Gold",IF(N1417&gt;=50,"Silver","Regular")))</f>
        <v>Platinum</v>
      </c>
      <c r="P1417" s="4" t="str">
        <f t="shared" si="155"/>
        <v>Saturday</v>
      </c>
      <c r="Q1417" s="4" t="str">
        <f t="shared" si="156"/>
        <v>Medium Order</v>
      </c>
      <c r="R1417" s="4" t="str">
        <f t="shared" si="157"/>
        <v>Weekend</v>
      </c>
      <c r="S1417" s="4" t="str">
        <f t="shared" si="158"/>
        <v>Regular</v>
      </c>
    </row>
    <row r="1418" spans="1:19" x14ac:dyDescent="0.3">
      <c r="A1418">
        <v>6327</v>
      </c>
      <c r="B1418" t="s">
        <v>49</v>
      </c>
      <c r="C1418" s="1">
        <v>45440</v>
      </c>
      <c r="D1418" t="s">
        <v>24</v>
      </c>
      <c r="E1418" t="s">
        <v>32</v>
      </c>
      <c r="F1418">
        <v>3</v>
      </c>
      <c r="G1418">
        <v>9.6999999999999993</v>
      </c>
      <c r="H1418">
        <v>29.1</v>
      </c>
      <c r="I1418" t="str">
        <f t="shared" si="154"/>
        <v>Low</v>
      </c>
      <c r="J1418">
        <v>1.46</v>
      </c>
      <c r="K1418">
        <f t="shared" si="159"/>
        <v>27.64</v>
      </c>
      <c r="L1418" t="str">
        <f t="shared" si="160"/>
        <v>May</v>
      </c>
      <c r="M1418">
        <f>YEAR(C1418)</f>
        <v>2024</v>
      </c>
      <c r="N1418">
        <v>281</v>
      </c>
      <c r="O1418" t="str">
        <f>IF(N1418&gt;=200,"Platinum",IF(N1418&gt;=100,"Gold",IF(N1418&gt;=50,"Silver","Regular")))</f>
        <v>Platinum</v>
      </c>
      <c r="P1418" s="4" t="str">
        <f t="shared" si="155"/>
        <v>Tuesday</v>
      </c>
      <c r="Q1418" s="4" t="str">
        <f t="shared" si="156"/>
        <v>Medium Order</v>
      </c>
      <c r="R1418" s="4" t="str">
        <f t="shared" si="157"/>
        <v>Weekday</v>
      </c>
      <c r="S1418" s="4" t="str">
        <f t="shared" si="158"/>
        <v>Regular</v>
      </c>
    </row>
    <row r="1419" spans="1:19" x14ac:dyDescent="0.3">
      <c r="A1419">
        <v>8434</v>
      </c>
      <c r="B1419" t="s">
        <v>25</v>
      </c>
      <c r="C1419" s="1">
        <v>45355</v>
      </c>
      <c r="D1419" t="s">
        <v>17</v>
      </c>
      <c r="E1419" t="s">
        <v>33</v>
      </c>
      <c r="F1419">
        <v>2</v>
      </c>
      <c r="G1419">
        <v>10.87</v>
      </c>
      <c r="H1419">
        <v>21.74</v>
      </c>
      <c r="I1419" t="str">
        <f t="shared" si="154"/>
        <v>Low</v>
      </c>
      <c r="J1419">
        <v>1.0900000000000001</v>
      </c>
      <c r="K1419">
        <f t="shared" si="159"/>
        <v>20.65</v>
      </c>
      <c r="L1419" t="str">
        <f t="shared" si="160"/>
        <v>March</v>
      </c>
      <c r="M1419">
        <f>YEAR(C1419)</f>
        <v>2024</v>
      </c>
      <c r="N1419">
        <v>90</v>
      </c>
      <c r="O1419" t="str">
        <f>IF(N1419&gt;=200,"Platinum",IF(N1419&gt;=100,"Gold",IF(N1419&gt;=50,"Silver","Regular")))</f>
        <v>Silver</v>
      </c>
      <c r="P1419" s="4" t="str">
        <f t="shared" si="155"/>
        <v>Monday</v>
      </c>
      <c r="Q1419" s="4" t="str">
        <f t="shared" si="156"/>
        <v>Small Order</v>
      </c>
      <c r="R1419" s="4" t="str">
        <f t="shared" si="157"/>
        <v>Weekday</v>
      </c>
      <c r="S1419" s="4" t="str">
        <f t="shared" si="158"/>
        <v>Regular</v>
      </c>
    </row>
    <row r="1420" spans="1:19" x14ac:dyDescent="0.3">
      <c r="A1420">
        <v>3442</v>
      </c>
      <c r="B1420" t="s">
        <v>8</v>
      </c>
      <c r="C1420" s="1">
        <v>45568</v>
      </c>
      <c r="D1420" t="s">
        <v>16</v>
      </c>
      <c r="E1420" t="s">
        <v>22</v>
      </c>
      <c r="F1420">
        <v>4</v>
      </c>
      <c r="G1420">
        <v>19.309999999999999</v>
      </c>
      <c r="H1420">
        <v>77.239999999999995</v>
      </c>
      <c r="I1420" t="str">
        <f t="shared" si="154"/>
        <v>Low</v>
      </c>
      <c r="J1420">
        <v>3.86</v>
      </c>
      <c r="K1420">
        <f t="shared" si="159"/>
        <v>73.38</v>
      </c>
      <c r="L1420" t="str">
        <f t="shared" si="160"/>
        <v>October</v>
      </c>
      <c r="M1420">
        <f>YEAR(C1420)</f>
        <v>2024</v>
      </c>
      <c r="N1420">
        <v>415</v>
      </c>
      <c r="O1420" t="str">
        <f>IF(N1420&gt;=200,"Platinum",IF(N1420&gt;=100,"Gold",IF(N1420&gt;=50,"Silver","Regular")))</f>
        <v>Platinum</v>
      </c>
      <c r="P1420" s="4" t="str">
        <f t="shared" si="155"/>
        <v>Thursday</v>
      </c>
      <c r="Q1420" s="4" t="str">
        <f t="shared" si="156"/>
        <v>Medium Order</v>
      </c>
      <c r="R1420" s="4" t="str">
        <f t="shared" si="157"/>
        <v>Weekday</v>
      </c>
      <c r="S1420" s="4" t="str">
        <f t="shared" si="158"/>
        <v>Regular</v>
      </c>
    </row>
    <row r="1421" spans="1:19" x14ac:dyDescent="0.3">
      <c r="A1421">
        <v>4350</v>
      </c>
      <c r="B1421" t="s">
        <v>13</v>
      </c>
      <c r="C1421" s="1">
        <v>45453</v>
      </c>
      <c r="D1421" t="s">
        <v>17</v>
      </c>
      <c r="E1421" t="s">
        <v>5</v>
      </c>
      <c r="F1421">
        <v>3</v>
      </c>
      <c r="G1421">
        <v>9.9600000000000009</v>
      </c>
      <c r="H1421">
        <v>29.88</v>
      </c>
      <c r="I1421" t="str">
        <f t="shared" si="154"/>
        <v>Low</v>
      </c>
      <c r="J1421">
        <v>1.49</v>
      </c>
      <c r="K1421">
        <f t="shared" si="159"/>
        <v>28.39</v>
      </c>
      <c r="L1421" t="str">
        <f t="shared" si="160"/>
        <v>June</v>
      </c>
      <c r="M1421">
        <f>YEAR(C1421)</f>
        <v>2024</v>
      </c>
      <c r="N1421">
        <v>21</v>
      </c>
      <c r="O1421" t="str">
        <f>IF(N1421&gt;=200,"Platinum",IF(N1421&gt;=100,"Gold",IF(N1421&gt;=50,"Silver","Regular")))</f>
        <v>Regular</v>
      </c>
      <c r="P1421" s="4" t="str">
        <f t="shared" si="155"/>
        <v>Monday</v>
      </c>
      <c r="Q1421" s="4" t="str">
        <f t="shared" si="156"/>
        <v>Medium Order</v>
      </c>
      <c r="R1421" s="4" t="str">
        <f t="shared" si="157"/>
        <v>Weekday</v>
      </c>
      <c r="S1421" s="4" t="str">
        <f t="shared" si="158"/>
        <v>Regular</v>
      </c>
    </row>
    <row r="1422" spans="1:19" x14ac:dyDescent="0.3">
      <c r="A1422">
        <v>6530</v>
      </c>
      <c r="B1422" t="s">
        <v>3</v>
      </c>
      <c r="C1422" s="1">
        <v>45344</v>
      </c>
      <c r="D1422" t="s">
        <v>27</v>
      </c>
      <c r="E1422" t="s">
        <v>33</v>
      </c>
      <c r="F1422">
        <v>4</v>
      </c>
      <c r="G1422">
        <v>14.92</v>
      </c>
      <c r="H1422">
        <v>59.68</v>
      </c>
      <c r="I1422" t="str">
        <f t="shared" si="154"/>
        <v>Low</v>
      </c>
      <c r="J1422">
        <v>2.97</v>
      </c>
      <c r="K1422">
        <f t="shared" si="159"/>
        <v>56.71</v>
      </c>
      <c r="L1422" t="str">
        <f t="shared" si="160"/>
        <v>February</v>
      </c>
      <c r="M1422">
        <f>YEAR(C1422)</f>
        <v>2024</v>
      </c>
      <c r="N1422">
        <v>148</v>
      </c>
      <c r="O1422" t="str">
        <f>IF(N1422&gt;=200,"Platinum",IF(N1422&gt;=100,"Gold",IF(N1422&gt;=50,"Silver","Regular")))</f>
        <v>Gold</v>
      </c>
      <c r="P1422" s="4" t="str">
        <f t="shared" si="155"/>
        <v>Thursday</v>
      </c>
      <c r="Q1422" s="4" t="str">
        <f t="shared" si="156"/>
        <v>Medium Order</v>
      </c>
      <c r="R1422" s="4" t="str">
        <f t="shared" si="157"/>
        <v>Weekday</v>
      </c>
      <c r="S1422" s="4" t="str">
        <f t="shared" si="158"/>
        <v>Regular</v>
      </c>
    </row>
    <row r="1423" spans="1:19" x14ac:dyDescent="0.3">
      <c r="A1423">
        <v>2496</v>
      </c>
      <c r="B1423" t="s">
        <v>25</v>
      </c>
      <c r="C1423" s="1">
        <v>45322</v>
      </c>
      <c r="D1423" t="s">
        <v>16</v>
      </c>
      <c r="E1423" t="s">
        <v>10</v>
      </c>
      <c r="F1423">
        <v>4</v>
      </c>
      <c r="G1423">
        <v>22.41</v>
      </c>
      <c r="H1423">
        <v>89.64</v>
      </c>
      <c r="I1423" t="str">
        <f t="shared" si="154"/>
        <v>Low</v>
      </c>
      <c r="J1423">
        <v>4.41</v>
      </c>
      <c r="K1423">
        <f t="shared" si="159"/>
        <v>85.23</v>
      </c>
      <c r="L1423" t="str">
        <f t="shared" si="160"/>
        <v>January</v>
      </c>
      <c r="M1423">
        <f>YEAR(C1423)</f>
        <v>2024</v>
      </c>
      <c r="N1423">
        <v>48</v>
      </c>
      <c r="O1423" t="str">
        <f>IF(N1423&gt;=200,"Platinum",IF(N1423&gt;=100,"Gold",IF(N1423&gt;=50,"Silver","Regular")))</f>
        <v>Regular</v>
      </c>
      <c r="P1423" s="4" t="str">
        <f t="shared" si="155"/>
        <v>Wednesday</v>
      </c>
      <c r="Q1423" s="4" t="str">
        <f t="shared" si="156"/>
        <v>Medium Order</v>
      </c>
      <c r="R1423" s="4" t="str">
        <f t="shared" si="157"/>
        <v>Weekday</v>
      </c>
      <c r="S1423" s="4" t="str">
        <f t="shared" si="158"/>
        <v>Regular</v>
      </c>
    </row>
    <row r="1424" spans="1:19" x14ac:dyDescent="0.3">
      <c r="A1424">
        <v>6413</v>
      </c>
      <c r="B1424" t="s">
        <v>8</v>
      </c>
      <c r="C1424" s="1">
        <v>45200</v>
      </c>
      <c r="D1424" t="s">
        <v>4</v>
      </c>
      <c r="E1424" t="s">
        <v>2</v>
      </c>
      <c r="F1424">
        <v>4</v>
      </c>
      <c r="G1424">
        <v>10.85</v>
      </c>
      <c r="H1424">
        <v>43.4</v>
      </c>
      <c r="I1424" t="str">
        <f t="shared" si="154"/>
        <v>Low</v>
      </c>
      <c r="J1424">
        <v>2.13</v>
      </c>
      <c r="K1424">
        <f t="shared" si="159"/>
        <v>41.269999999999996</v>
      </c>
      <c r="L1424" t="str">
        <f t="shared" si="160"/>
        <v>October</v>
      </c>
      <c r="M1424">
        <f>YEAR(C1424)</f>
        <v>2023</v>
      </c>
      <c r="N1424">
        <v>403</v>
      </c>
      <c r="O1424" t="str">
        <f>IF(N1424&gt;=200,"Platinum",IF(N1424&gt;=100,"Gold",IF(N1424&gt;=50,"Silver","Regular")))</f>
        <v>Platinum</v>
      </c>
      <c r="P1424" s="4" t="str">
        <f t="shared" si="155"/>
        <v>Sunday</v>
      </c>
      <c r="Q1424" s="4" t="str">
        <f t="shared" si="156"/>
        <v>Medium Order</v>
      </c>
      <c r="R1424" s="4" t="str">
        <f t="shared" si="157"/>
        <v>Weekend</v>
      </c>
      <c r="S1424" s="4" t="str">
        <f t="shared" si="158"/>
        <v>Regular</v>
      </c>
    </row>
    <row r="1425" spans="1:19" x14ac:dyDescent="0.3">
      <c r="A1425">
        <v>7065</v>
      </c>
      <c r="B1425" t="s">
        <v>25</v>
      </c>
      <c r="C1425" s="1">
        <v>45420</v>
      </c>
      <c r="D1425" t="s">
        <v>24</v>
      </c>
      <c r="E1425" t="s">
        <v>18</v>
      </c>
      <c r="F1425">
        <v>4</v>
      </c>
      <c r="G1425">
        <v>25.17</v>
      </c>
      <c r="H1425">
        <v>100.68</v>
      </c>
      <c r="I1425" t="str">
        <f t="shared" si="154"/>
        <v>Low</v>
      </c>
      <c r="J1425">
        <v>4.9400000000000004</v>
      </c>
      <c r="K1425">
        <f t="shared" si="159"/>
        <v>95.740000000000009</v>
      </c>
      <c r="L1425" t="str">
        <f t="shared" si="160"/>
        <v>May</v>
      </c>
      <c r="M1425">
        <f>YEAR(C1425)</f>
        <v>2024</v>
      </c>
      <c r="N1425">
        <v>360</v>
      </c>
      <c r="O1425" t="str">
        <f>IF(N1425&gt;=200,"Platinum",IF(N1425&gt;=100,"Gold",IF(N1425&gt;=50,"Silver","Regular")))</f>
        <v>Platinum</v>
      </c>
      <c r="P1425" s="4" t="str">
        <f t="shared" si="155"/>
        <v>Wednesday</v>
      </c>
      <c r="Q1425" s="4" t="str">
        <f t="shared" si="156"/>
        <v>Medium Order</v>
      </c>
      <c r="R1425" s="4" t="str">
        <f t="shared" si="157"/>
        <v>Weekday</v>
      </c>
      <c r="S1425" s="4" t="str">
        <f t="shared" si="158"/>
        <v>Regular</v>
      </c>
    </row>
    <row r="1426" spans="1:19" x14ac:dyDescent="0.3">
      <c r="A1426">
        <v>9734</v>
      </c>
      <c r="B1426" t="s">
        <v>19</v>
      </c>
      <c r="C1426" s="1">
        <v>45410</v>
      </c>
      <c r="D1426" t="s">
        <v>1</v>
      </c>
      <c r="E1426" t="s">
        <v>35</v>
      </c>
      <c r="F1426">
        <v>3</v>
      </c>
      <c r="G1426">
        <v>20.11</v>
      </c>
      <c r="H1426">
        <v>60.33</v>
      </c>
      <c r="I1426" t="str">
        <f t="shared" si="154"/>
        <v>Low</v>
      </c>
      <c r="J1426">
        <v>2.96</v>
      </c>
      <c r="K1426">
        <f t="shared" si="159"/>
        <v>57.37</v>
      </c>
      <c r="L1426" t="str">
        <f t="shared" si="160"/>
        <v>April</v>
      </c>
      <c r="M1426">
        <f>YEAR(C1426)</f>
        <v>2024</v>
      </c>
      <c r="N1426">
        <v>227</v>
      </c>
      <c r="O1426" t="str">
        <f>IF(N1426&gt;=200,"Platinum",IF(N1426&gt;=100,"Gold",IF(N1426&gt;=50,"Silver","Regular")))</f>
        <v>Platinum</v>
      </c>
      <c r="P1426" s="4" t="str">
        <f t="shared" si="155"/>
        <v>Sunday</v>
      </c>
      <c r="Q1426" s="4" t="str">
        <f t="shared" si="156"/>
        <v>Medium Order</v>
      </c>
      <c r="R1426" s="4" t="str">
        <f t="shared" si="157"/>
        <v>Weekend</v>
      </c>
      <c r="S1426" s="4" t="str">
        <f t="shared" si="158"/>
        <v>Regular</v>
      </c>
    </row>
    <row r="1427" spans="1:19" x14ac:dyDescent="0.3">
      <c r="A1427">
        <v>7364</v>
      </c>
      <c r="B1427" t="s">
        <v>15</v>
      </c>
      <c r="C1427" s="1">
        <v>45469</v>
      </c>
      <c r="D1427" t="s">
        <v>16</v>
      </c>
      <c r="E1427" t="s">
        <v>18</v>
      </c>
      <c r="F1427">
        <v>5</v>
      </c>
      <c r="G1427">
        <v>14.97</v>
      </c>
      <c r="H1427">
        <v>74.849999999999994</v>
      </c>
      <c r="I1427" t="str">
        <f t="shared" si="154"/>
        <v>Low</v>
      </c>
      <c r="J1427">
        <v>3.67</v>
      </c>
      <c r="K1427">
        <f t="shared" si="159"/>
        <v>71.179999999999993</v>
      </c>
      <c r="L1427" t="str">
        <f t="shared" si="160"/>
        <v>June</v>
      </c>
      <c r="M1427">
        <f>YEAR(C1427)</f>
        <v>2024</v>
      </c>
      <c r="N1427">
        <v>247</v>
      </c>
      <c r="O1427" t="str">
        <f>IF(N1427&gt;=200,"Platinum",IF(N1427&gt;=100,"Gold",IF(N1427&gt;=50,"Silver","Regular")))</f>
        <v>Platinum</v>
      </c>
      <c r="P1427" s="4" t="str">
        <f t="shared" si="155"/>
        <v>Wednesday</v>
      </c>
      <c r="Q1427" s="4" t="str">
        <f t="shared" si="156"/>
        <v>Medium Order</v>
      </c>
      <c r="R1427" s="4" t="str">
        <f t="shared" si="157"/>
        <v>Weekday</v>
      </c>
      <c r="S1427" s="4" t="str">
        <f t="shared" si="158"/>
        <v>Regular</v>
      </c>
    </row>
    <row r="1428" spans="1:19" x14ac:dyDescent="0.3">
      <c r="A1428">
        <v>5689</v>
      </c>
      <c r="B1428" t="s">
        <v>15</v>
      </c>
      <c r="C1428" s="1">
        <v>45747</v>
      </c>
      <c r="D1428" t="s">
        <v>27</v>
      </c>
      <c r="E1428" t="s">
        <v>2</v>
      </c>
      <c r="F1428">
        <v>5</v>
      </c>
      <c r="G1428">
        <v>13.89</v>
      </c>
      <c r="H1428">
        <v>69.45</v>
      </c>
      <c r="I1428" t="str">
        <f t="shared" si="154"/>
        <v>Low</v>
      </c>
      <c r="J1428">
        <v>3.39</v>
      </c>
      <c r="K1428">
        <f t="shared" si="159"/>
        <v>66.06</v>
      </c>
      <c r="L1428" t="str">
        <f t="shared" si="160"/>
        <v>March</v>
      </c>
      <c r="M1428">
        <f>YEAR(C1428)</f>
        <v>2025</v>
      </c>
      <c r="N1428">
        <v>496</v>
      </c>
      <c r="O1428" t="str">
        <f>IF(N1428&gt;=200,"Platinum",IF(N1428&gt;=100,"Gold",IF(N1428&gt;=50,"Silver","Regular")))</f>
        <v>Platinum</v>
      </c>
      <c r="P1428" s="4" t="str">
        <f t="shared" si="155"/>
        <v>Monday</v>
      </c>
      <c r="Q1428" s="4" t="str">
        <f t="shared" si="156"/>
        <v>Medium Order</v>
      </c>
      <c r="R1428" s="4" t="str">
        <f t="shared" si="157"/>
        <v>Weekday</v>
      </c>
      <c r="S1428" s="4" t="str">
        <f t="shared" si="158"/>
        <v>Regular</v>
      </c>
    </row>
    <row r="1429" spans="1:19" x14ac:dyDescent="0.3">
      <c r="A1429">
        <v>2425</v>
      </c>
      <c r="B1429" t="s">
        <v>25</v>
      </c>
      <c r="C1429" s="1">
        <v>45486</v>
      </c>
      <c r="D1429" t="s">
        <v>4</v>
      </c>
      <c r="E1429" t="s">
        <v>18</v>
      </c>
      <c r="F1429">
        <v>5</v>
      </c>
      <c r="G1429">
        <v>10.84</v>
      </c>
      <c r="H1429">
        <v>54.2</v>
      </c>
      <c r="I1429" t="str">
        <f t="shared" si="154"/>
        <v>Low</v>
      </c>
      <c r="J1429">
        <v>2.61</v>
      </c>
      <c r="K1429">
        <f t="shared" si="159"/>
        <v>51.59</v>
      </c>
      <c r="L1429" t="str">
        <f t="shared" si="160"/>
        <v>July</v>
      </c>
      <c r="M1429">
        <f>YEAR(C1429)</f>
        <v>2024</v>
      </c>
      <c r="N1429">
        <v>270</v>
      </c>
      <c r="O1429" t="str">
        <f>IF(N1429&gt;=200,"Platinum",IF(N1429&gt;=100,"Gold",IF(N1429&gt;=50,"Silver","Regular")))</f>
        <v>Platinum</v>
      </c>
      <c r="P1429" s="4" t="str">
        <f t="shared" si="155"/>
        <v>Saturday</v>
      </c>
      <c r="Q1429" s="4" t="str">
        <f t="shared" si="156"/>
        <v>Medium Order</v>
      </c>
      <c r="R1429" s="4" t="str">
        <f t="shared" si="157"/>
        <v>Weekend</v>
      </c>
      <c r="S1429" s="4" t="str">
        <f t="shared" si="158"/>
        <v>Regular</v>
      </c>
    </row>
    <row r="1430" spans="1:19" x14ac:dyDescent="0.3">
      <c r="A1430">
        <v>5543</v>
      </c>
      <c r="B1430" t="s">
        <v>20</v>
      </c>
      <c r="C1430" s="1">
        <v>45739</v>
      </c>
      <c r="D1430" t="s">
        <v>23</v>
      </c>
      <c r="E1430" t="s">
        <v>32</v>
      </c>
      <c r="F1430">
        <v>4</v>
      </c>
      <c r="G1430">
        <v>25.5</v>
      </c>
      <c r="H1430">
        <v>102</v>
      </c>
      <c r="I1430" t="str">
        <f t="shared" si="154"/>
        <v>Low</v>
      </c>
      <c r="J1430">
        <v>4.91</v>
      </c>
      <c r="K1430">
        <f t="shared" si="159"/>
        <v>97.09</v>
      </c>
      <c r="L1430" t="str">
        <f t="shared" si="160"/>
        <v>March</v>
      </c>
      <c r="M1430">
        <f>YEAR(C1430)</f>
        <v>2025</v>
      </c>
      <c r="N1430">
        <v>330</v>
      </c>
      <c r="O1430" t="str">
        <f>IF(N1430&gt;=200,"Platinum",IF(N1430&gt;=100,"Gold",IF(N1430&gt;=50,"Silver","Regular")))</f>
        <v>Platinum</v>
      </c>
      <c r="P1430" s="4" t="str">
        <f t="shared" si="155"/>
        <v>Sunday</v>
      </c>
      <c r="Q1430" s="4" t="str">
        <f t="shared" si="156"/>
        <v>Medium Order</v>
      </c>
      <c r="R1430" s="4" t="str">
        <f t="shared" si="157"/>
        <v>Weekend</v>
      </c>
      <c r="S1430" s="4" t="str">
        <f t="shared" si="158"/>
        <v>Regular</v>
      </c>
    </row>
    <row r="1431" spans="1:19" x14ac:dyDescent="0.3">
      <c r="A1431">
        <v>2406</v>
      </c>
      <c r="B1431" t="s">
        <v>15</v>
      </c>
      <c r="C1431" s="1">
        <v>45235</v>
      </c>
      <c r="D1431" t="s">
        <v>27</v>
      </c>
      <c r="E1431" t="s">
        <v>12</v>
      </c>
      <c r="F1431">
        <v>4</v>
      </c>
      <c r="G1431">
        <v>21.64</v>
      </c>
      <c r="H1431">
        <v>86.56</v>
      </c>
      <c r="I1431" t="str">
        <f t="shared" si="154"/>
        <v>Low</v>
      </c>
      <c r="J1431">
        <v>4.1399999999999997</v>
      </c>
      <c r="K1431">
        <f t="shared" si="159"/>
        <v>82.42</v>
      </c>
      <c r="L1431" t="str">
        <f t="shared" si="160"/>
        <v>November</v>
      </c>
      <c r="M1431">
        <f>YEAR(C1431)</f>
        <v>2023</v>
      </c>
      <c r="N1431">
        <v>432</v>
      </c>
      <c r="O1431" t="str">
        <f>IF(N1431&gt;=200,"Platinum",IF(N1431&gt;=100,"Gold",IF(N1431&gt;=50,"Silver","Regular")))</f>
        <v>Platinum</v>
      </c>
      <c r="P1431" s="4" t="str">
        <f t="shared" si="155"/>
        <v>Sunday</v>
      </c>
      <c r="Q1431" s="4" t="str">
        <f t="shared" si="156"/>
        <v>Medium Order</v>
      </c>
      <c r="R1431" s="4" t="str">
        <f t="shared" si="157"/>
        <v>Weekend</v>
      </c>
      <c r="S1431" s="4" t="str">
        <f t="shared" si="158"/>
        <v>Regular</v>
      </c>
    </row>
    <row r="1432" spans="1:19" x14ac:dyDescent="0.3">
      <c r="A1432">
        <v>7868</v>
      </c>
      <c r="B1432" t="s">
        <v>13</v>
      </c>
      <c r="C1432" s="1">
        <v>45622</v>
      </c>
      <c r="D1432" t="s">
        <v>9</v>
      </c>
      <c r="E1432" t="s">
        <v>10</v>
      </c>
      <c r="F1432">
        <v>4</v>
      </c>
      <c r="G1432">
        <v>24.44</v>
      </c>
      <c r="H1432">
        <v>97.76</v>
      </c>
      <c r="I1432" t="str">
        <f t="shared" si="154"/>
        <v>Low</v>
      </c>
      <c r="J1432">
        <v>4.6100000000000003</v>
      </c>
      <c r="K1432">
        <f t="shared" si="159"/>
        <v>93.15</v>
      </c>
      <c r="L1432" t="str">
        <f t="shared" si="160"/>
        <v>November</v>
      </c>
      <c r="M1432">
        <f>YEAR(C1432)</f>
        <v>2024</v>
      </c>
      <c r="N1432">
        <v>92</v>
      </c>
      <c r="O1432" t="str">
        <f>IF(N1432&gt;=200,"Platinum",IF(N1432&gt;=100,"Gold",IF(N1432&gt;=50,"Silver","Regular")))</f>
        <v>Silver</v>
      </c>
      <c r="P1432" s="4" t="str">
        <f t="shared" si="155"/>
        <v>Tuesday</v>
      </c>
      <c r="Q1432" s="4" t="str">
        <f t="shared" si="156"/>
        <v>Medium Order</v>
      </c>
      <c r="R1432" s="4" t="str">
        <f t="shared" si="157"/>
        <v>Weekday</v>
      </c>
      <c r="S1432" s="4" t="str">
        <f t="shared" si="158"/>
        <v>Regular</v>
      </c>
    </row>
    <row r="1433" spans="1:19" x14ac:dyDescent="0.3">
      <c r="A1433">
        <v>5593</v>
      </c>
      <c r="B1433" t="s">
        <v>19</v>
      </c>
      <c r="C1433" s="1">
        <v>45843</v>
      </c>
      <c r="D1433" t="s">
        <v>17</v>
      </c>
      <c r="E1433" t="s">
        <v>28</v>
      </c>
      <c r="F1433">
        <v>2</v>
      </c>
      <c r="G1433">
        <v>11.67</v>
      </c>
      <c r="H1433">
        <v>23.34</v>
      </c>
      <c r="I1433" t="str">
        <f t="shared" si="154"/>
        <v>Low</v>
      </c>
      <c r="J1433">
        <v>1.1000000000000001</v>
      </c>
      <c r="K1433">
        <f t="shared" si="159"/>
        <v>22.24</v>
      </c>
      <c r="L1433" t="str">
        <f t="shared" si="160"/>
        <v>July</v>
      </c>
      <c r="M1433">
        <f>YEAR(C1433)</f>
        <v>2025</v>
      </c>
      <c r="N1433">
        <v>148</v>
      </c>
      <c r="O1433" t="str">
        <f>IF(N1433&gt;=200,"Platinum",IF(N1433&gt;=100,"Gold",IF(N1433&gt;=50,"Silver","Regular")))</f>
        <v>Gold</v>
      </c>
      <c r="P1433" s="4" t="str">
        <f t="shared" si="155"/>
        <v>Saturday</v>
      </c>
      <c r="Q1433" s="4" t="str">
        <f t="shared" si="156"/>
        <v>Small Order</v>
      </c>
      <c r="R1433" s="4" t="str">
        <f t="shared" si="157"/>
        <v>Weekend</v>
      </c>
      <c r="S1433" s="4" t="str">
        <f t="shared" si="158"/>
        <v>Regular</v>
      </c>
    </row>
    <row r="1434" spans="1:19" x14ac:dyDescent="0.3">
      <c r="A1434">
        <v>8739</v>
      </c>
      <c r="B1434" t="s">
        <v>25</v>
      </c>
      <c r="C1434" s="1">
        <v>45223</v>
      </c>
      <c r="D1434" t="s">
        <v>1</v>
      </c>
      <c r="E1434" t="s">
        <v>18</v>
      </c>
      <c r="F1434">
        <v>2</v>
      </c>
      <c r="G1434">
        <v>28.49</v>
      </c>
      <c r="H1434">
        <v>56.98</v>
      </c>
      <c r="I1434" t="str">
        <f t="shared" si="154"/>
        <v>Low</v>
      </c>
      <c r="J1434">
        <v>2.68</v>
      </c>
      <c r="K1434">
        <f t="shared" si="159"/>
        <v>54.3</v>
      </c>
      <c r="L1434" t="str">
        <f t="shared" si="160"/>
        <v>October</v>
      </c>
      <c r="M1434">
        <f>YEAR(C1434)</f>
        <v>2023</v>
      </c>
      <c r="N1434">
        <v>491</v>
      </c>
      <c r="O1434" t="str">
        <f>IF(N1434&gt;=200,"Platinum",IF(N1434&gt;=100,"Gold",IF(N1434&gt;=50,"Silver","Regular")))</f>
        <v>Platinum</v>
      </c>
      <c r="P1434" s="4" t="str">
        <f t="shared" si="155"/>
        <v>Tuesday</v>
      </c>
      <c r="Q1434" s="4" t="str">
        <f t="shared" si="156"/>
        <v>Small Order</v>
      </c>
      <c r="R1434" s="4" t="str">
        <f t="shared" si="157"/>
        <v>Weekday</v>
      </c>
      <c r="S1434" s="4" t="str">
        <f t="shared" si="158"/>
        <v>Regular</v>
      </c>
    </row>
    <row r="1435" spans="1:19" x14ac:dyDescent="0.3">
      <c r="A1435">
        <v>6080</v>
      </c>
      <c r="B1435" t="s">
        <v>25</v>
      </c>
      <c r="C1435" s="1">
        <v>45545</v>
      </c>
      <c r="D1435" t="s">
        <v>16</v>
      </c>
      <c r="E1435" t="s">
        <v>18</v>
      </c>
      <c r="F1435">
        <v>2</v>
      </c>
      <c r="G1435">
        <v>25</v>
      </c>
      <c r="H1435">
        <v>50</v>
      </c>
      <c r="I1435" t="str">
        <f t="shared" si="154"/>
        <v>Low</v>
      </c>
      <c r="J1435">
        <v>2.35</v>
      </c>
      <c r="K1435">
        <f t="shared" si="159"/>
        <v>47.65</v>
      </c>
      <c r="L1435" t="str">
        <f t="shared" si="160"/>
        <v>September</v>
      </c>
      <c r="M1435">
        <f>YEAR(C1435)</f>
        <v>2024</v>
      </c>
      <c r="N1435">
        <v>457</v>
      </c>
      <c r="O1435" t="str">
        <f>IF(N1435&gt;=200,"Platinum",IF(N1435&gt;=100,"Gold",IF(N1435&gt;=50,"Silver","Regular")))</f>
        <v>Platinum</v>
      </c>
      <c r="P1435" s="4" t="str">
        <f t="shared" si="155"/>
        <v>Tuesday</v>
      </c>
      <c r="Q1435" s="4" t="str">
        <f t="shared" si="156"/>
        <v>Small Order</v>
      </c>
      <c r="R1435" s="4" t="str">
        <f t="shared" si="157"/>
        <v>Weekday</v>
      </c>
      <c r="S1435" s="4" t="str">
        <f t="shared" si="158"/>
        <v>Regular</v>
      </c>
    </row>
    <row r="1436" spans="1:19" x14ac:dyDescent="0.3">
      <c r="A1436">
        <v>2584</v>
      </c>
      <c r="B1436" t="s">
        <v>31</v>
      </c>
      <c r="C1436" s="1">
        <v>45450</v>
      </c>
      <c r="D1436" t="s">
        <v>9</v>
      </c>
      <c r="E1436" t="s">
        <v>26</v>
      </c>
      <c r="F1436">
        <v>1</v>
      </c>
      <c r="G1436">
        <v>29.61</v>
      </c>
      <c r="H1436">
        <v>29.61</v>
      </c>
      <c r="I1436" t="str">
        <f t="shared" si="154"/>
        <v>Low</v>
      </c>
      <c r="J1436">
        <v>1.39</v>
      </c>
      <c r="K1436">
        <f t="shared" si="159"/>
        <v>28.22</v>
      </c>
      <c r="L1436" t="str">
        <f t="shared" si="160"/>
        <v>June</v>
      </c>
      <c r="M1436">
        <f>YEAR(C1436)</f>
        <v>2024</v>
      </c>
      <c r="N1436">
        <v>417</v>
      </c>
      <c r="O1436" t="str">
        <f>IF(N1436&gt;=200,"Platinum",IF(N1436&gt;=100,"Gold",IF(N1436&gt;=50,"Silver","Regular")))</f>
        <v>Platinum</v>
      </c>
      <c r="P1436" s="4" t="str">
        <f t="shared" si="155"/>
        <v>Friday</v>
      </c>
      <c r="Q1436" s="4" t="str">
        <f t="shared" si="156"/>
        <v>Small Order</v>
      </c>
      <c r="R1436" s="4" t="str">
        <f t="shared" si="157"/>
        <v>Weekday</v>
      </c>
      <c r="S1436" s="4" t="str">
        <f t="shared" si="158"/>
        <v>Regular</v>
      </c>
    </row>
    <row r="1437" spans="1:19" x14ac:dyDescent="0.3">
      <c r="A1437">
        <v>7955</v>
      </c>
      <c r="B1437" t="s">
        <v>13</v>
      </c>
      <c r="C1437" s="1">
        <v>45206</v>
      </c>
      <c r="D1437" t="s">
        <v>27</v>
      </c>
      <c r="E1437" t="s">
        <v>37</v>
      </c>
      <c r="F1437">
        <v>1</v>
      </c>
      <c r="G1437">
        <v>25.4</v>
      </c>
      <c r="H1437">
        <v>25.4</v>
      </c>
      <c r="I1437" t="str">
        <f t="shared" si="154"/>
        <v>Low</v>
      </c>
      <c r="J1437">
        <v>1.19</v>
      </c>
      <c r="K1437">
        <f t="shared" si="159"/>
        <v>24.209999999999997</v>
      </c>
      <c r="L1437" t="str">
        <f t="shared" si="160"/>
        <v>October</v>
      </c>
      <c r="M1437">
        <f>YEAR(C1437)</f>
        <v>2023</v>
      </c>
      <c r="N1437">
        <v>132</v>
      </c>
      <c r="O1437" t="str">
        <f>IF(N1437&gt;=200,"Platinum",IF(N1437&gt;=100,"Gold",IF(N1437&gt;=50,"Silver","Regular")))</f>
        <v>Gold</v>
      </c>
      <c r="P1437" s="4" t="str">
        <f t="shared" si="155"/>
        <v>Saturday</v>
      </c>
      <c r="Q1437" s="4" t="str">
        <f t="shared" si="156"/>
        <v>Small Order</v>
      </c>
      <c r="R1437" s="4" t="str">
        <f t="shared" si="157"/>
        <v>Weekend</v>
      </c>
      <c r="S1437" s="4" t="str">
        <f t="shared" si="158"/>
        <v>Regular</v>
      </c>
    </row>
    <row r="1438" spans="1:19" x14ac:dyDescent="0.3">
      <c r="A1438">
        <v>7421</v>
      </c>
      <c r="B1438" t="s">
        <v>25</v>
      </c>
      <c r="C1438" s="1">
        <v>45245</v>
      </c>
      <c r="D1438" t="s">
        <v>1</v>
      </c>
      <c r="E1438" t="s">
        <v>32</v>
      </c>
      <c r="F1438">
        <v>2</v>
      </c>
      <c r="G1438">
        <v>25.52</v>
      </c>
      <c r="H1438">
        <v>51.04</v>
      </c>
      <c r="I1438" t="str">
        <f t="shared" si="154"/>
        <v>Low</v>
      </c>
      <c r="J1438">
        <v>2.39</v>
      </c>
      <c r="K1438">
        <f t="shared" si="159"/>
        <v>48.65</v>
      </c>
      <c r="L1438" t="str">
        <f t="shared" si="160"/>
        <v>November</v>
      </c>
      <c r="M1438">
        <f>YEAR(C1438)</f>
        <v>2023</v>
      </c>
      <c r="N1438">
        <v>482</v>
      </c>
      <c r="O1438" t="str">
        <f>IF(N1438&gt;=200,"Platinum",IF(N1438&gt;=100,"Gold",IF(N1438&gt;=50,"Silver","Regular")))</f>
        <v>Platinum</v>
      </c>
      <c r="P1438" s="4" t="str">
        <f t="shared" si="155"/>
        <v>Wednesday</v>
      </c>
      <c r="Q1438" s="4" t="str">
        <f t="shared" si="156"/>
        <v>Small Order</v>
      </c>
      <c r="R1438" s="4" t="str">
        <f t="shared" si="157"/>
        <v>Weekday</v>
      </c>
      <c r="S1438" s="4" t="str">
        <f t="shared" si="158"/>
        <v>Regular</v>
      </c>
    </row>
    <row r="1439" spans="1:19" x14ac:dyDescent="0.3">
      <c r="A1439">
        <v>2169</v>
      </c>
      <c r="B1439" t="s">
        <v>25</v>
      </c>
      <c r="C1439" s="1">
        <v>45618</v>
      </c>
      <c r="D1439" t="s">
        <v>6</v>
      </c>
      <c r="E1439" t="s">
        <v>2</v>
      </c>
      <c r="F1439">
        <v>5</v>
      </c>
      <c r="G1439">
        <v>15.16</v>
      </c>
      <c r="H1439">
        <v>75.8</v>
      </c>
      <c r="I1439" t="str">
        <f t="shared" si="154"/>
        <v>Low</v>
      </c>
      <c r="J1439">
        <v>3.54</v>
      </c>
      <c r="K1439">
        <f t="shared" si="159"/>
        <v>72.259999999999991</v>
      </c>
      <c r="L1439" t="str">
        <f t="shared" si="160"/>
        <v>November</v>
      </c>
      <c r="M1439">
        <f>YEAR(C1439)</f>
        <v>2024</v>
      </c>
      <c r="N1439">
        <v>463</v>
      </c>
      <c r="O1439" t="str">
        <f>IF(N1439&gt;=200,"Platinum",IF(N1439&gt;=100,"Gold",IF(N1439&gt;=50,"Silver","Regular")))</f>
        <v>Platinum</v>
      </c>
      <c r="P1439" s="4" t="str">
        <f t="shared" si="155"/>
        <v>Friday</v>
      </c>
      <c r="Q1439" s="4" t="str">
        <f t="shared" si="156"/>
        <v>Medium Order</v>
      </c>
      <c r="R1439" s="4" t="str">
        <f t="shared" si="157"/>
        <v>Weekday</v>
      </c>
      <c r="S1439" s="4" t="str">
        <f t="shared" si="158"/>
        <v>Regular</v>
      </c>
    </row>
    <row r="1440" spans="1:19" x14ac:dyDescent="0.3">
      <c r="A1440">
        <v>1771</v>
      </c>
      <c r="B1440" t="s">
        <v>8</v>
      </c>
      <c r="C1440" s="1">
        <v>45813</v>
      </c>
      <c r="D1440" t="s">
        <v>34</v>
      </c>
      <c r="E1440" t="s">
        <v>35</v>
      </c>
      <c r="F1440">
        <v>5</v>
      </c>
      <c r="G1440">
        <v>18.260000000000002</v>
      </c>
      <c r="H1440">
        <v>91.3</v>
      </c>
      <c r="I1440" t="str">
        <f t="shared" si="154"/>
        <v>Low</v>
      </c>
      <c r="J1440">
        <v>4.26</v>
      </c>
      <c r="K1440">
        <f t="shared" si="159"/>
        <v>87.039999999999992</v>
      </c>
      <c r="L1440" t="str">
        <f t="shared" si="160"/>
        <v>June</v>
      </c>
      <c r="M1440">
        <f>YEAR(C1440)</f>
        <v>2025</v>
      </c>
      <c r="N1440">
        <v>486</v>
      </c>
      <c r="O1440" t="str">
        <f>IF(N1440&gt;=200,"Platinum",IF(N1440&gt;=100,"Gold",IF(N1440&gt;=50,"Silver","Regular")))</f>
        <v>Platinum</v>
      </c>
      <c r="P1440" s="4" t="str">
        <f t="shared" si="155"/>
        <v>Thursday</v>
      </c>
      <c r="Q1440" s="4" t="str">
        <f t="shared" si="156"/>
        <v>Medium Order</v>
      </c>
      <c r="R1440" s="4" t="str">
        <f t="shared" si="157"/>
        <v>Weekday</v>
      </c>
      <c r="S1440" s="4" t="str">
        <f t="shared" si="158"/>
        <v>Regular</v>
      </c>
    </row>
    <row r="1441" spans="1:19" x14ac:dyDescent="0.3">
      <c r="A1441">
        <v>8620</v>
      </c>
      <c r="B1441" t="s">
        <v>31</v>
      </c>
      <c r="C1441" s="1">
        <v>45817</v>
      </c>
      <c r="D1441" t="s">
        <v>16</v>
      </c>
      <c r="E1441" t="s">
        <v>28</v>
      </c>
      <c r="F1441">
        <v>3</v>
      </c>
      <c r="G1441">
        <v>11.32</v>
      </c>
      <c r="H1441">
        <v>33.96</v>
      </c>
      <c r="I1441" t="str">
        <f t="shared" si="154"/>
        <v>Low</v>
      </c>
      <c r="J1441">
        <v>1.58</v>
      </c>
      <c r="K1441">
        <f t="shared" si="159"/>
        <v>32.380000000000003</v>
      </c>
      <c r="L1441" t="str">
        <f t="shared" si="160"/>
        <v>June</v>
      </c>
      <c r="M1441">
        <f>YEAR(C1441)</f>
        <v>2025</v>
      </c>
      <c r="N1441">
        <v>317</v>
      </c>
      <c r="O1441" t="str">
        <f>IF(N1441&gt;=200,"Platinum",IF(N1441&gt;=100,"Gold",IF(N1441&gt;=50,"Silver","Regular")))</f>
        <v>Platinum</v>
      </c>
      <c r="P1441" s="4" t="str">
        <f t="shared" si="155"/>
        <v>Monday</v>
      </c>
      <c r="Q1441" s="4" t="str">
        <f t="shared" si="156"/>
        <v>Medium Order</v>
      </c>
      <c r="R1441" s="4" t="str">
        <f t="shared" si="157"/>
        <v>Weekday</v>
      </c>
      <c r="S1441" s="4" t="str">
        <f t="shared" si="158"/>
        <v>Regular</v>
      </c>
    </row>
    <row r="1442" spans="1:19" x14ac:dyDescent="0.3">
      <c r="A1442">
        <v>2195</v>
      </c>
      <c r="B1442" t="s">
        <v>25</v>
      </c>
      <c r="C1442" s="1">
        <v>45157</v>
      </c>
      <c r="D1442" t="s">
        <v>11</v>
      </c>
      <c r="E1442" t="s">
        <v>29</v>
      </c>
      <c r="F1442">
        <v>2</v>
      </c>
      <c r="G1442">
        <v>27.13</v>
      </c>
      <c r="H1442">
        <v>54.26</v>
      </c>
      <c r="I1442" t="str">
        <f t="shared" si="154"/>
        <v>Low</v>
      </c>
      <c r="J1442">
        <v>2.52</v>
      </c>
      <c r="K1442">
        <f t="shared" si="159"/>
        <v>51.739999999999995</v>
      </c>
      <c r="L1442" t="str">
        <f t="shared" si="160"/>
        <v>August</v>
      </c>
      <c r="M1442">
        <f>YEAR(C1442)</f>
        <v>2023</v>
      </c>
      <c r="N1442">
        <v>350</v>
      </c>
      <c r="O1442" t="str">
        <f>IF(N1442&gt;=200,"Platinum",IF(N1442&gt;=100,"Gold",IF(N1442&gt;=50,"Silver","Regular")))</f>
        <v>Platinum</v>
      </c>
      <c r="P1442" s="4" t="str">
        <f t="shared" si="155"/>
        <v>Saturday</v>
      </c>
      <c r="Q1442" s="4" t="str">
        <f t="shared" si="156"/>
        <v>Small Order</v>
      </c>
      <c r="R1442" s="4" t="str">
        <f t="shared" si="157"/>
        <v>Weekend</v>
      </c>
      <c r="S1442" s="4" t="str">
        <f t="shared" si="158"/>
        <v>Regular</v>
      </c>
    </row>
    <row r="1443" spans="1:19" x14ac:dyDescent="0.3">
      <c r="A1443">
        <v>2557</v>
      </c>
      <c r="B1443" t="s">
        <v>8</v>
      </c>
      <c r="C1443" s="1">
        <v>45387</v>
      </c>
      <c r="D1443" t="s">
        <v>6</v>
      </c>
      <c r="E1443" t="s">
        <v>29</v>
      </c>
      <c r="F1443">
        <v>4</v>
      </c>
      <c r="G1443">
        <v>12.23</v>
      </c>
      <c r="H1443">
        <v>48.92</v>
      </c>
      <c r="I1443" t="str">
        <f t="shared" si="154"/>
        <v>Low</v>
      </c>
      <c r="J1443">
        <v>2.2400000000000002</v>
      </c>
      <c r="K1443">
        <f t="shared" si="159"/>
        <v>46.68</v>
      </c>
      <c r="L1443" t="str">
        <f t="shared" si="160"/>
        <v>April</v>
      </c>
      <c r="M1443">
        <f>YEAR(C1443)</f>
        <v>2024</v>
      </c>
      <c r="N1443">
        <v>442</v>
      </c>
      <c r="O1443" t="str">
        <f>IF(N1443&gt;=200,"Platinum",IF(N1443&gt;=100,"Gold",IF(N1443&gt;=50,"Silver","Regular")))</f>
        <v>Platinum</v>
      </c>
      <c r="P1443" s="4" t="str">
        <f t="shared" si="155"/>
        <v>Friday</v>
      </c>
      <c r="Q1443" s="4" t="str">
        <f t="shared" si="156"/>
        <v>Medium Order</v>
      </c>
      <c r="R1443" s="4" t="str">
        <f t="shared" si="157"/>
        <v>Weekday</v>
      </c>
      <c r="S1443" s="4" t="str">
        <f t="shared" si="158"/>
        <v>Regular</v>
      </c>
    </row>
    <row r="1444" spans="1:19" x14ac:dyDescent="0.3">
      <c r="A1444">
        <v>7029</v>
      </c>
      <c r="B1444" t="s">
        <v>13</v>
      </c>
      <c r="C1444" s="1">
        <v>45484</v>
      </c>
      <c r="D1444" t="s">
        <v>34</v>
      </c>
      <c r="E1444" t="s">
        <v>35</v>
      </c>
      <c r="F1444">
        <v>3</v>
      </c>
      <c r="G1444">
        <v>28.36</v>
      </c>
      <c r="H1444">
        <v>85.08</v>
      </c>
      <c r="I1444" t="str">
        <f t="shared" si="154"/>
        <v>Low</v>
      </c>
      <c r="J1444">
        <v>3.87</v>
      </c>
      <c r="K1444">
        <f t="shared" si="159"/>
        <v>81.209999999999994</v>
      </c>
      <c r="L1444" t="str">
        <f t="shared" si="160"/>
        <v>July</v>
      </c>
      <c r="M1444">
        <f>YEAR(C1444)</f>
        <v>2024</v>
      </c>
      <c r="N1444">
        <v>226</v>
      </c>
      <c r="O1444" t="str">
        <f>IF(N1444&gt;=200,"Platinum",IF(N1444&gt;=100,"Gold",IF(N1444&gt;=50,"Silver","Regular")))</f>
        <v>Platinum</v>
      </c>
      <c r="P1444" s="4" t="str">
        <f t="shared" si="155"/>
        <v>Thursday</v>
      </c>
      <c r="Q1444" s="4" t="str">
        <f t="shared" si="156"/>
        <v>Medium Order</v>
      </c>
      <c r="R1444" s="4" t="str">
        <f t="shared" si="157"/>
        <v>Weekday</v>
      </c>
      <c r="S1444" s="4" t="str">
        <f t="shared" si="158"/>
        <v>Regular</v>
      </c>
    </row>
    <row r="1445" spans="1:19" x14ac:dyDescent="0.3">
      <c r="A1445">
        <v>1514</v>
      </c>
      <c r="B1445" t="s">
        <v>15</v>
      </c>
      <c r="C1445" s="1">
        <v>45812</v>
      </c>
      <c r="D1445" t="s">
        <v>34</v>
      </c>
      <c r="E1445" t="s">
        <v>14</v>
      </c>
      <c r="F1445">
        <v>4</v>
      </c>
      <c r="G1445">
        <v>16.98</v>
      </c>
      <c r="H1445">
        <v>67.92</v>
      </c>
      <c r="I1445" t="str">
        <f t="shared" si="154"/>
        <v>Low</v>
      </c>
      <c r="J1445">
        <v>3.03</v>
      </c>
      <c r="K1445">
        <f t="shared" si="159"/>
        <v>64.89</v>
      </c>
      <c r="L1445" t="str">
        <f t="shared" si="160"/>
        <v>June</v>
      </c>
      <c r="M1445">
        <f>YEAR(C1445)</f>
        <v>2025</v>
      </c>
      <c r="N1445">
        <v>196</v>
      </c>
      <c r="O1445" t="str">
        <f>IF(N1445&gt;=200,"Platinum",IF(N1445&gt;=100,"Gold",IF(N1445&gt;=50,"Silver","Regular")))</f>
        <v>Gold</v>
      </c>
      <c r="P1445" s="4" t="str">
        <f t="shared" si="155"/>
        <v>Wednesday</v>
      </c>
      <c r="Q1445" s="4" t="str">
        <f t="shared" si="156"/>
        <v>Medium Order</v>
      </c>
      <c r="R1445" s="4" t="str">
        <f t="shared" si="157"/>
        <v>Weekday</v>
      </c>
      <c r="S1445" s="4" t="str">
        <f t="shared" si="158"/>
        <v>Regular</v>
      </c>
    </row>
    <row r="1446" spans="1:19" x14ac:dyDescent="0.3">
      <c r="A1446">
        <v>7821</v>
      </c>
      <c r="B1446" t="s">
        <v>25</v>
      </c>
      <c r="C1446" s="1">
        <v>45462</v>
      </c>
      <c r="D1446" t="s">
        <v>17</v>
      </c>
      <c r="E1446" t="s">
        <v>21</v>
      </c>
      <c r="F1446">
        <v>3</v>
      </c>
      <c r="G1446">
        <v>21.25</v>
      </c>
      <c r="H1446">
        <v>63.75</v>
      </c>
      <c r="I1446" t="str">
        <f t="shared" si="154"/>
        <v>Low</v>
      </c>
      <c r="J1446">
        <v>2.84</v>
      </c>
      <c r="K1446">
        <f t="shared" si="159"/>
        <v>60.91</v>
      </c>
      <c r="L1446" t="str">
        <f t="shared" si="160"/>
        <v>June</v>
      </c>
      <c r="M1446">
        <f>YEAR(C1446)</f>
        <v>2024</v>
      </c>
      <c r="N1446">
        <v>473</v>
      </c>
      <c r="O1446" t="str">
        <f>IF(N1446&gt;=200,"Platinum",IF(N1446&gt;=100,"Gold",IF(N1446&gt;=50,"Silver","Regular")))</f>
        <v>Platinum</v>
      </c>
      <c r="P1446" s="4" t="str">
        <f t="shared" si="155"/>
        <v>Wednesday</v>
      </c>
      <c r="Q1446" s="4" t="str">
        <f t="shared" si="156"/>
        <v>Medium Order</v>
      </c>
      <c r="R1446" s="4" t="str">
        <f t="shared" si="157"/>
        <v>Weekday</v>
      </c>
      <c r="S1446" s="4" t="str">
        <f t="shared" si="158"/>
        <v>Regular</v>
      </c>
    </row>
    <row r="1447" spans="1:19" x14ac:dyDescent="0.3">
      <c r="A1447">
        <v>8685</v>
      </c>
      <c r="B1447" t="s">
        <v>31</v>
      </c>
      <c r="C1447" s="1">
        <v>45493</v>
      </c>
      <c r="D1447" t="s">
        <v>17</v>
      </c>
      <c r="E1447" t="s">
        <v>22</v>
      </c>
      <c r="F1447">
        <v>2</v>
      </c>
      <c r="G1447">
        <v>11.71</v>
      </c>
      <c r="H1447">
        <v>23.42</v>
      </c>
      <c r="I1447" t="str">
        <f t="shared" si="154"/>
        <v>Low</v>
      </c>
      <c r="J1447">
        <v>1.04</v>
      </c>
      <c r="K1447">
        <f t="shared" si="159"/>
        <v>22.380000000000003</v>
      </c>
      <c r="L1447" t="str">
        <f t="shared" si="160"/>
        <v>July</v>
      </c>
      <c r="M1447">
        <f>YEAR(C1447)</f>
        <v>2024</v>
      </c>
      <c r="N1447">
        <v>350</v>
      </c>
      <c r="O1447" t="str">
        <f>IF(N1447&gt;=200,"Platinum",IF(N1447&gt;=100,"Gold",IF(N1447&gt;=50,"Silver","Regular")))</f>
        <v>Platinum</v>
      </c>
      <c r="P1447" s="4" t="str">
        <f t="shared" si="155"/>
        <v>Saturday</v>
      </c>
      <c r="Q1447" s="4" t="str">
        <f t="shared" si="156"/>
        <v>Small Order</v>
      </c>
      <c r="R1447" s="4" t="str">
        <f t="shared" si="157"/>
        <v>Weekend</v>
      </c>
      <c r="S1447" s="4" t="str">
        <f t="shared" si="158"/>
        <v>Regular</v>
      </c>
    </row>
    <row r="1448" spans="1:19" x14ac:dyDescent="0.3">
      <c r="A1448">
        <v>7658</v>
      </c>
      <c r="B1448" t="s">
        <v>0</v>
      </c>
      <c r="C1448" s="1">
        <v>45627</v>
      </c>
      <c r="D1448" t="s">
        <v>6</v>
      </c>
      <c r="E1448" t="s">
        <v>12</v>
      </c>
      <c r="F1448">
        <v>3</v>
      </c>
      <c r="G1448">
        <v>12.09</v>
      </c>
      <c r="H1448">
        <v>36.270000000000003</v>
      </c>
      <c r="I1448" t="str">
        <f t="shared" si="154"/>
        <v>Low</v>
      </c>
      <c r="J1448">
        <v>1.61</v>
      </c>
      <c r="K1448">
        <f t="shared" si="159"/>
        <v>34.660000000000004</v>
      </c>
      <c r="L1448" t="str">
        <f t="shared" si="160"/>
        <v>December</v>
      </c>
      <c r="M1448">
        <f>YEAR(C1448)</f>
        <v>2024</v>
      </c>
      <c r="N1448">
        <v>290</v>
      </c>
      <c r="O1448" t="str">
        <f>IF(N1448&gt;=200,"Platinum",IF(N1448&gt;=100,"Gold",IF(N1448&gt;=50,"Silver","Regular")))</f>
        <v>Platinum</v>
      </c>
      <c r="P1448" s="4" t="str">
        <f t="shared" si="155"/>
        <v>Sunday</v>
      </c>
      <c r="Q1448" s="4" t="str">
        <f t="shared" si="156"/>
        <v>Medium Order</v>
      </c>
      <c r="R1448" s="4" t="str">
        <f t="shared" si="157"/>
        <v>Weekend</v>
      </c>
      <c r="S1448" s="4" t="str">
        <f t="shared" si="158"/>
        <v>Regular</v>
      </c>
    </row>
    <row r="1449" spans="1:19" x14ac:dyDescent="0.3">
      <c r="A1449">
        <v>9151</v>
      </c>
      <c r="B1449" t="s">
        <v>25</v>
      </c>
      <c r="C1449" s="1">
        <v>45430</v>
      </c>
      <c r="D1449" t="s">
        <v>16</v>
      </c>
      <c r="E1449" t="s">
        <v>21</v>
      </c>
      <c r="F1449">
        <v>2</v>
      </c>
      <c r="G1449">
        <v>26.54</v>
      </c>
      <c r="H1449">
        <v>53.08</v>
      </c>
      <c r="I1449" t="str">
        <f t="shared" si="154"/>
        <v>Low</v>
      </c>
      <c r="J1449">
        <v>2.34</v>
      </c>
      <c r="K1449">
        <f t="shared" si="159"/>
        <v>50.739999999999995</v>
      </c>
      <c r="L1449" t="str">
        <f t="shared" si="160"/>
        <v>May</v>
      </c>
      <c r="M1449">
        <f>YEAR(C1449)</f>
        <v>2024</v>
      </c>
      <c r="N1449">
        <v>43</v>
      </c>
      <c r="O1449" t="str">
        <f>IF(N1449&gt;=200,"Platinum",IF(N1449&gt;=100,"Gold",IF(N1449&gt;=50,"Silver","Regular")))</f>
        <v>Regular</v>
      </c>
      <c r="P1449" s="4" t="str">
        <f t="shared" si="155"/>
        <v>Saturday</v>
      </c>
      <c r="Q1449" s="4" t="str">
        <f t="shared" si="156"/>
        <v>Small Order</v>
      </c>
      <c r="R1449" s="4" t="str">
        <f t="shared" si="157"/>
        <v>Weekend</v>
      </c>
      <c r="S1449" s="4" t="str">
        <f t="shared" si="158"/>
        <v>Regular</v>
      </c>
    </row>
    <row r="1450" spans="1:19" x14ac:dyDescent="0.3">
      <c r="A1450">
        <v>4463</v>
      </c>
      <c r="B1450" t="s">
        <v>3</v>
      </c>
      <c r="C1450" s="1">
        <v>45845</v>
      </c>
      <c r="D1450" t="s">
        <v>6</v>
      </c>
      <c r="E1450" t="s">
        <v>29</v>
      </c>
      <c r="F1450">
        <v>3</v>
      </c>
      <c r="G1450">
        <v>29.27</v>
      </c>
      <c r="H1450">
        <v>87.81</v>
      </c>
      <c r="I1450" t="str">
        <f t="shared" si="154"/>
        <v>Low</v>
      </c>
      <c r="J1450">
        <v>3.87</v>
      </c>
      <c r="K1450">
        <f t="shared" si="159"/>
        <v>83.94</v>
      </c>
      <c r="L1450" t="str">
        <f t="shared" si="160"/>
        <v>July</v>
      </c>
      <c r="M1450">
        <f>YEAR(C1450)</f>
        <v>2025</v>
      </c>
      <c r="N1450">
        <v>8</v>
      </c>
      <c r="O1450" t="str">
        <f>IF(N1450&gt;=200,"Platinum",IF(N1450&gt;=100,"Gold",IF(N1450&gt;=50,"Silver","Regular")))</f>
        <v>Regular</v>
      </c>
      <c r="P1450" s="4" t="str">
        <f t="shared" si="155"/>
        <v>Monday</v>
      </c>
      <c r="Q1450" s="4" t="str">
        <f t="shared" si="156"/>
        <v>Medium Order</v>
      </c>
      <c r="R1450" s="4" t="str">
        <f t="shared" si="157"/>
        <v>Weekday</v>
      </c>
      <c r="S1450" s="4" t="str">
        <f t="shared" si="158"/>
        <v>Regular</v>
      </c>
    </row>
    <row r="1451" spans="1:19" x14ac:dyDescent="0.3">
      <c r="A1451">
        <v>8025</v>
      </c>
      <c r="B1451" t="s">
        <v>20</v>
      </c>
      <c r="C1451" s="1">
        <v>45382</v>
      </c>
      <c r="D1451" t="s">
        <v>6</v>
      </c>
      <c r="E1451" t="s">
        <v>12</v>
      </c>
      <c r="F1451">
        <v>4</v>
      </c>
      <c r="G1451">
        <v>18.22</v>
      </c>
      <c r="H1451">
        <v>72.88</v>
      </c>
      <c r="I1451" t="str">
        <f t="shared" si="154"/>
        <v>Low</v>
      </c>
      <c r="J1451">
        <v>3.21</v>
      </c>
      <c r="K1451">
        <f t="shared" si="159"/>
        <v>69.67</v>
      </c>
      <c r="L1451" t="str">
        <f t="shared" si="160"/>
        <v>March</v>
      </c>
      <c r="M1451">
        <f>YEAR(C1451)</f>
        <v>2024</v>
      </c>
      <c r="N1451">
        <v>90</v>
      </c>
      <c r="O1451" t="str">
        <f>IF(N1451&gt;=200,"Platinum",IF(N1451&gt;=100,"Gold",IF(N1451&gt;=50,"Silver","Regular")))</f>
        <v>Silver</v>
      </c>
      <c r="P1451" s="4" t="str">
        <f t="shared" si="155"/>
        <v>Sunday</v>
      </c>
      <c r="Q1451" s="4" t="str">
        <f t="shared" si="156"/>
        <v>Medium Order</v>
      </c>
      <c r="R1451" s="4" t="str">
        <f t="shared" si="157"/>
        <v>Weekend</v>
      </c>
      <c r="S1451" s="4" t="str">
        <f t="shared" si="158"/>
        <v>Regular</v>
      </c>
    </row>
    <row r="1452" spans="1:19" x14ac:dyDescent="0.3">
      <c r="A1452">
        <v>8417</v>
      </c>
      <c r="B1452" t="s">
        <v>15</v>
      </c>
      <c r="C1452" s="1">
        <v>45356</v>
      </c>
      <c r="D1452" t="s">
        <v>16</v>
      </c>
      <c r="E1452" t="s">
        <v>7</v>
      </c>
      <c r="F1452">
        <v>4</v>
      </c>
      <c r="G1452">
        <v>11.44</v>
      </c>
      <c r="H1452">
        <v>45.76</v>
      </c>
      <c r="I1452" t="str">
        <f t="shared" si="154"/>
        <v>Low</v>
      </c>
      <c r="J1452">
        <v>2.0099999999999998</v>
      </c>
      <c r="K1452">
        <f t="shared" si="159"/>
        <v>43.75</v>
      </c>
      <c r="L1452" t="str">
        <f t="shared" si="160"/>
        <v>March</v>
      </c>
      <c r="M1452">
        <f>YEAR(C1452)</f>
        <v>2024</v>
      </c>
      <c r="N1452">
        <v>221</v>
      </c>
      <c r="O1452" t="str">
        <f>IF(N1452&gt;=200,"Platinum",IF(N1452&gt;=100,"Gold",IF(N1452&gt;=50,"Silver","Regular")))</f>
        <v>Platinum</v>
      </c>
      <c r="P1452" s="4" t="str">
        <f t="shared" si="155"/>
        <v>Tuesday</v>
      </c>
      <c r="Q1452" s="4" t="str">
        <f t="shared" si="156"/>
        <v>Medium Order</v>
      </c>
      <c r="R1452" s="4" t="str">
        <f t="shared" si="157"/>
        <v>Weekday</v>
      </c>
      <c r="S1452" s="4" t="str">
        <f t="shared" si="158"/>
        <v>Regular</v>
      </c>
    </row>
    <row r="1453" spans="1:19" x14ac:dyDescent="0.3">
      <c r="A1453">
        <v>9254</v>
      </c>
      <c r="B1453" t="s">
        <v>19</v>
      </c>
      <c r="C1453" s="1">
        <v>45317</v>
      </c>
      <c r="D1453" t="s">
        <v>1</v>
      </c>
      <c r="E1453" t="s">
        <v>22</v>
      </c>
      <c r="F1453">
        <v>4</v>
      </c>
      <c r="G1453">
        <v>25.8</v>
      </c>
      <c r="H1453">
        <v>103.2</v>
      </c>
      <c r="I1453" t="str">
        <f t="shared" si="154"/>
        <v>Low</v>
      </c>
      <c r="J1453">
        <v>4.53</v>
      </c>
      <c r="K1453">
        <f t="shared" si="159"/>
        <v>98.67</v>
      </c>
      <c r="L1453" t="str">
        <f t="shared" si="160"/>
        <v>January</v>
      </c>
      <c r="M1453">
        <f>YEAR(C1453)</f>
        <v>2024</v>
      </c>
      <c r="N1453">
        <v>278</v>
      </c>
      <c r="O1453" t="str">
        <f>IF(N1453&gt;=200,"Platinum",IF(N1453&gt;=100,"Gold",IF(N1453&gt;=50,"Silver","Regular")))</f>
        <v>Platinum</v>
      </c>
      <c r="P1453" s="4" t="str">
        <f t="shared" si="155"/>
        <v>Friday</v>
      </c>
      <c r="Q1453" s="4" t="str">
        <f t="shared" si="156"/>
        <v>Medium Order</v>
      </c>
      <c r="R1453" s="4" t="str">
        <f t="shared" si="157"/>
        <v>Weekday</v>
      </c>
      <c r="S1453" s="4" t="str">
        <f t="shared" si="158"/>
        <v>Regular</v>
      </c>
    </row>
    <row r="1454" spans="1:19" x14ac:dyDescent="0.3">
      <c r="A1454">
        <v>3531</v>
      </c>
      <c r="B1454" t="s">
        <v>0</v>
      </c>
      <c r="C1454" s="1">
        <v>45832</v>
      </c>
      <c r="D1454" t="s">
        <v>34</v>
      </c>
      <c r="E1454" t="s">
        <v>29</v>
      </c>
      <c r="F1454">
        <v>5</v>
      </c>
      <c r="G1454">
        <v>12.57</v>
      </c>
      <c r="H1454">
        <v>62.85</v>
      </c>
      <c r="I1454" t="str">
        <f t="shared" si="154"/>
        <v>Low</v>
      </c>
      <c r="J1454">
        <v>2.74</v>
      </c>
      <c r="K1454">
        <f t="shared" si="159"/>
        <v>60.11</v>
      </c>
      <c r="L1454" t="str">
        <f t="shared" si="160"/>
        <v>June</v>
      </c>
      <c r="M1454">
        <f>YEAR(C1454)</f>
        <v>2025</v>
      </c>
      <c r="N1454">
        <v>43</v>
      </c>
      <c r="O1454" t="str">
        <f>IF(N1454&gt;=200,"Platinum",IF(N1454&gt;=100,"Gold",IF(N1454&gt;=50,"Silver","Regular")))</f>
        <v>Regular</v>
      </c>
      <c r="P1454" s="4" t="str">
        <f t="shared" si="155"/>
        <v>Tuesday</v>
      </c>
      <c r="Q1454" s="4" t="str">
        <f t="shared" si="156"/>
        <v>Medium Order</v>
      </c>
      <c r="R1454" s="4" t="str">
        <f t="shared" si="157"/>
        <v>Weekday</v>
      </c>
      <c r="S1454" s="4" t="str">
        <f t="shared" si="158"/>
        <v>Regular</v>
      </c>
    </row>
    <row r="1455" spans="1:19" x14ac:dyDescent="0.3">
      <c r="A1455">
        <v>2677</v>
      </c>
      <c r="B1455" t="s">
        <v>3</v>
      </c>
      <c r="C1455" s="1">
        <v>45716</v>
      </c>
      <c r="D1455" t="s">
        <v>11</v>
      </c>
      <c r="E1455" t="s">
        <v>28</v>
      </c>
      <c r="F1455">
        <v>5</v>
      </c>
      <c r="G1455">
        <v>13.67</v>
      </c>
      <c r="H1455">
        <v>68.349999999999994</v>
      </c>
      <c r="I1455" t="str">
        <f t="shared" si="154"/>
        <v>Low</v>
      </c>
      <c r="J1455">
        <v>2.97</v>
      </c>
      <c r="K1455">
        <f t="shared" si="159"/>
        <v>65.38</v>
      </c>
      <c r="L1455" t="str">
        <f t="shared" si="160"/>
        <v>February</v>
      </c>
      <c r="M1455">
        <f>YEAR(C1455)</f>
        <v>2025</v>
      </c>
      <c r="N1455">
        <v>16</v>
      </c>
      <c r="O1455" t="str">
        <f>IF(N1455&gt;=200,"Platinum",IF(N1455&gt;=100,"Gold",IF(N1455&gt;=50,"Silver","Regular")))</f>
        <v>Regular</v>
      </c>
      <c r="P1455" s="4" t="str">
        <f t="shared" si="155"/>
        <v>Friday</v>
      </c>
      <c r="Q1455" s="4" t="str">
        <f t="shared" si="156"/>
        <v>Medium Order</v>
      </c>
      <c r="R1455" s="4" t="str">
        <f t="shared" si="157"/>
        <v>Weekday</v>
      </c>
      <c r="S1455" s="4" t="str">
        <f t="shared" si="158"/>
        <v>Regular</v>
      </c>
    </row>
    <row r="1456" spans="1:19" x14ac:dyDescent="0.3">
      <c r="A1456">
        <v>2644</v>
      </c>
      <c r="B1456" t="s">
        <v>8</v>
      </c>
      <c r="C1456" s="1">
        <v>45824</v>
      </c>
      <c r="D1456" t="s">
        <v>17</v>
      </c>
      <c r="E1456" t="s">
        <v>18</v>
      </c>
      <c r="F1456">
        <v>2</v>
      </c>
      <c r="G1456">
        <v>19.25</v>
      </c>
      <c r="H1456">
        <v>38.5</v>
      </c>
      <c r="I1456" t="str">
        <f t="shared" si="154"/>
        <v>Low</v>
      </c>
      <c r="J1456">
        <v>1.67</v>
      </c>
      <c r="K1456">
        <f t="shared" si="159"/>
        <v>36.83</v>
      </c>
      <c r="L1456" t="str">
        <f t="shared" si="160"/>
        <v>June</v>
      </c>
      <c r="M1456">
        <f>YEAR(C1456)</f>
        <v>2025</v>
      </c>
      <c r="N1456">
        <v>20</v>
      </c>
      <c r="O1456" t="str">
        <f>IF(N1456&gt;=200,"Platinum",IF(N1456&gt;=100,"Gold",IF(N1456&gt;=50,"Silver","Regular")))</f>
        <v>Regular</v>
      </c>
      <c r="P1456" s="4" t="str">
        <f t="shared" si="155"/>
        <v>Monday</v>
      </c>
      <c r="Q1456" s="4" t="str">
        <f t="shared" si="156"/>
        <v>Small Order</v>
      </c>
      <c r="R1456" s="4" t="str">
        <f t="shared" si="157"/>
        <v>Weekday</v>
      </c>
      <c r="S1456" s="4" t="str">
        <f t="shared" si="158"/>
        <v>Regular</v>
      </c>
    </row>
    <row r="1457" spans="1:19" x14ac:dyDescent="0.3">
      <c r="A1457">
        <v>1911</v>
      </c>
      <c r="B1457" t="s">
        <v>15</v>
      </c>
      <c r="C1457" s="1">
        <v>45497</v>
      </c>
      <c r="D1457" t="s">
        <v>24</v>
      </c>
      <c r="E1457" t="s">
        <v>22</v>
      </c>
      <c r="F1457">
        <v>2</v>
      </c>
      <c r="G1457">
        <v>28.25</v>
      </c>
      <c r="H1457">
        <v>56.5</v>
      </c>
      <c r="I1457" t="str">
        <f t="shared" si="154"/>
        <v>Low</v>
      </c>
      <c r="J1457">
        <v>2.4500000000000002</v>
      </c>
      <c r="K1457">
        <f t="shared" si="159"/>
        <v>54.05</v>
      </c>
      <c r="L1457" t="str">
        <f t="shared" si="160"/>
        <v>July</v>
      </c>
      <c r="M1457">
        <f>YEAR(C1457)</f>
        <v>2024</v>
      </c>
      <c r="N1457">
        <v>497</v>
      </c>
      <c r="O1457" t="str">
        <f>IF(N1457&gt;=200,"Platinum",IF(N1457&gt;=100,"Gold",IF(N1457&gt;=50,"Silver","Regular")))</f>
        <v>Platinum</v>
      </c>
      <c r="P1457" s="4" t="str">
        <f t="shared" si="155"/>
        <v>Wednesday</v>
      </c>
      <c r="Q1457" s="4" t="str">
        <f t="shared" si="156"/>
        <v>Small Order</v>
      </c>
      <c r="R1457" s="4" t="str">
        <f t="shared" si="157"/>
        <v>Weekday</v>
      </c>
      <c r="S1457" s="4" t="str">
        <f t="shared" si="158"/>
        <v>Regular</v>
      </c>
    </row>
    <row r="1458" spans="1:19" x14ac:dyDescent="0.3">
      <c r="A1458">
        <v>1200</v>
      </c>
      <c r="B1458" t="s">
        <v>13</v>
      </c>
      <c r="C1458" s="1">
        <v>45590</v>
      </c>
      <c r="D1458" t="s">
        <v>27</v>
      </c>
      <c r="E1458" t="s">
        <v>5</v>
      </c>
      <c r="F1458">
        <v>5</v>
      </c>
      <c r="G1458">
        <v>20.91</v>
      </c>
      <c r="H1458">
        <v>104.55</v>
      </c>
      <c r="I1458" t="str">
        <f t="shared" si="154"/>
        <v>Low</v>
      </c>
      <c r="J1458">
        <v>4.53</v>
      </c>
      <c r="K1458">
        <f t="shared" si="159"/>
        <v>100.02</v>
      </c>
      <c r="L1458" t="str">
        <f t="shared" si="160"/>
        <v>October</v>
      </c>
      <c r="M1458">
        <f>YEAR(C1458)</f>
        <v>2024</v>
      </c>
      <c r="N1458">
        <v>479</v>
      </c>
      <c r="O1458" t="str">
        <f>IF(N1458&gt;=200,"Platinum",IF(N1458&gt;=100,"Gold",IF(N1458&gt;=50,"Silver","Regular")))</f>
        <v>Platinum</v>
      </c>
      <c r="P1458" s="4" t="str">
        <f t="shared" si="155"/>
        <v>Friday</v>
      </c>
      <c r="Q1458" s="4" t="str">
        <f t="shared" si="156"/>
        <v>Medium Order</v>
      </c>
      <c r="R1458" s="4" t="str">
        <f t="shared" si="157"/>
        <v>Weekday</v>
      </c>
      <c r="S1458" s="4" t="str">
        <f t="shared" si="158"/>
        <v>High Value</v>
      </c>
    </row>
    <row r="1459" spans="1:19" x14ac:dyDescent="0.3">
      <c r="A1459">
        <v>3695</v>
      </c>
      <c r="B1459" t="s">
        <v>19</v>
      </c>
      <c r="C1459" s="1">
        <v>45344</v>
      </c>
      <c r="D1459" t="s">
        <v>17</v>
      </c>
      <c r="E1459" t="s">
        <v>37</v>
      </c>
      <c r="F1459">
        <v>4</v>
      </c>
      <c r="G1459">
        <v>23.88</v>
      </c>
      <c r="H1459">
        <v>95.52</v>
      </c>
      <c r="I1459" t="str">
        <f t="shared" si="154"/>
        <v>Low</v>
      </c>
      <c r="J1459">
        <v>4.13</v>
      </c>
      <c r="K1459">
        <f t="shared" si="159"/>
        <v>91.39</v>
      </c>
      <c r="L1459" t="str">
        <f t="shared" si="160"/>
        <v>February</v>
      </c>
      <c r="M1459">
        <f>YEAR(C1459)</f>
        <v>2024</v>
      </c>
      <c r="N1459">
        <v>4</v>
      </c>
      <c r="O1459" t="str">
        <f>IF(N1459&gt;=200,"Platinum",IF(N1459&gt;=100,"Gold",IF(N1459&gt;=50,"Silver","Regular")))</f>
        <v>Regular</v>
      </c>
      <c r="P1459" s="4" t="str">
        <f t="shared" si="155"/>
        <v>Thursday</v>
      </c>
      <c r="Q1459" s="4" t="str">
        <f t="shared" si="156"/>
        <v>Medium Order</v>
      </c>
      <c r="R1459" s="4" t="str">
        <f t="shared" si="157"/>
        <v>Weekday</v>
      </c>
      <c r="S1459" s="4" t="str">
        <f t="shared" si="158"/>
        <v>Regular</v>
      </c>
    </row>
    <row r="1460" spans="1:19" x14ac:dyDescent="0.3">
      <c r="A1460">
        <v>3085</v>
      </c>
      <c r="B1460" t="s">
        <v>13</v>
      </c>
      <c r="C1460" s="1">
        <v>45294</v>
      </c>
      <c r="D1460" t="s">
        <v>34</v>
      </c>
      <c r="E1460" t="s">
        <v>18</v>
      </c>
      <c r="F1460">
        <v>3</v>
      </c>
      <c r="G1460">
        <v>26.42</v>
      </c>
      <c r="H1460">
        <v>79.260000000000005</v>
      </c>
      <c r="I1460" t="str">
        <f t="shared" si="154"/>
        <v>Low</v>
      </c>
      <c r="J1460">
        <v>3.41</v>
      </c>
      <c r="K1460">
        <f t="shared" si="159"/>
        <v>75.850000000000009</v>
      </c>
      <c r="L1460" t="str">
        <f t="shared" si="160"/>
        <v>January</v>
      </c>
      <c r="M1460">
        <f>YEAR(C1460)</f>
        <v>2024</v>
      </c>
      <c r="N1460">
        <v>4</v>
      </c>
      <c r="O1460" t="str">
        <f>IF(N1460&gt;=200,"Platinum",IF(N1460&gt;=100,"Gold",IF(N1460&gt;=50,"Silver","Regular")))</f>
        <v>Regular</v>
      </c>
      <c r="P1460" s="4" t="str">
        <f t="shared" si="155"/>
        <v>Wednesday</v>
      </c>
      <c r="Q1460" s="4" t="str">
        <f t="shared" si="156"/>
        <v>Medium Order</v>
      </c>
      <c r="R1460" s="4" t="str">
        <f t="shared" si="157"/>
        <v>Weekday</v>
      </c>
      <c r="S1460" s="4" t="str">
        <f t="shared" si="158"/>
        <v>Regular</v>
      </c>
    </row>
    <row r="1461" spans="1:19" x14ac:dyDescent="0.3">
      <c r="A1461">
        <v>7899</v>
      </c>
      <c r="B1461" t="s">
        <v>31</v>
      </c>
      <c r="C1461" s="1">
        <v>45377</v>
      </c>
      <c r="D1461" t="s">
        <v>11</v>
      </c>
      <c r="E1461" t="s">
        <v>22</v>
      </c>
      <c r="F1461">
        <v>4</v>
      </c>
      <c r="G1461">
        <v>15.91</v>
      </c>
      <c r="H1461">
        <v>63.64</v>
      </c>
      <c r="I1461" t="str">
        <f t="shared" si="154"/>
        <v>Low</v>
      </c>
      <c r="J1461">
        <v>2.7</v>
      </c>
      <c r="K1461">
        <f t="shared" si="159"/>
        <v>60.94</v>
      </c>
      <c r="L1461" t="str">
        <f t="shared" si="160"/>
        <v>March</v>
      </c>
      <c r="M1461">
        <f>YEAR(C1461)</f>
        <v>2024</v>
      </c>
      <c r="N1461">
        <v>439</v>
      </c>
      <c r="O1461" t="str">
        <f>IF(N1461&gt;=200,"Platinum",IF(N1461&gt;=100,"Gold",IF(N1461&gt;=50,"Silver","Regular")))</f>
        <v>Platinum</v>
      </c>
      <c r="P1461" s="4" t="str">
        <f t="shared" si="155"/>
        <v>Tuesday</v>
      </c>
      <c r="Q1461" s="4" t="str">
        <f t="shared" si="156"/>
        <v>Medium Order</v>
      </c>
      <c r="R1461" s="4" t="str">
        <f t="shared" si="157"/>
        <v>Weekday</v>
      </c>
      <c r="S1461" s="4" t="str">
        <f t="shared" si="158"/>
        <v>Regular</v>
      </c>
    </row>
    <row r="1462" spans="1:19" x14ac:dyDescent="0.3">
      <c r="A1462">
        <v>2816</v>
      </c>
      <c r="B1462" t="s">
        <v>15</v>
      </c>
      <c r="C1462" s="1">
        <v>45365</v>
      </c>
      <c r="D1462" t="s">
        <v>4</v>
      </c>
      <c r="E1462" t="s">
        <v>36</v>
      </c>
      <c r="F1462">
        <v>2</v>
      </c>
      <c r="G1462">
        <v>18.690000000000001</v>
      </c>
      <c r="H1462">
        <v>37.380000000000003</v>
      </c>
      <c r="I1462" t="str">
        <f t="shared" si="154"/>
        <v>Low</v>
      </c>
      <c r="J1462">
        <v>1.58</v>
      </c>
      <c r="K1462">
        <f t="shared" si="159"/>
        <v>35.800000000000004</v>
      </c>
      <c r="L1462" t="str">
        <f t="shared" si="160"/>
        <v>March</v>
      </c>
      <c r="M1462">
        <f>YEAR(C1462)</f>
        <v>2024</v>
      </c>
      <c r="N1462">
        <v>91</v>
      </c>
      <c r="O1462" t="str">
        <f>IF(N1462&gt;=200,"Platinum",IF(N1462&gt;=100,"Gold",IF(N1462&gt;=50,"Silver","Regular")))</f>
        <v>Silver</v>
      </c>
      <c r="P1462" s="4" t="str">
        <f t="shared" si="155"/>
        <v>Thursday</v>
      </c>
      <c r="Q1462" s="4" t="str">
        <f t="shared" si="156"/>
        <v>Small Order</v>
      </c>
      <c r="R1462" s="4" t="str">
        <f t="shared" si="157"/>
        <v>Weekday</v>
      </c>
      <c r="S1462" s="4" t="str">
        <f t="shared" si="158"/>
        <v>Regular</v>
      </c>
    </row>
    <row r="1463" spans="1:19" x14ac:dyDescent="0.3">
      <c r="A1463">
        <v>4827</v>
      </c>
      <c r="B1463" t="s">
        <v>8</v>
      </c>
      <c r="C1463" s="1">
        <v>45203</v>
      </c>
      <c r="D1463" t="s">
        <v>11</v>
      </c>
      <c r="E1463" t="s">
        <v>12</v>
      </c>
      <c r="F1463">
        <v>4</v>
      </c>
      <c r="G1463">
        <v>14.06</v>
      </c>
      <c r="H1463">
        <v>56.24</v>
      </c>
      <c r="I1463" t="str">
        <f t="shared" si="154"/>
        <v>Low</v>
      </c>
      <c r="J1463">
        <v>2.37</v>
      </c>
      <c r="K1463">
        <f t="shared" si="159"/>
        <v>53.870000000000005</v>
      </c>
      <c r="L1463" t="str">
        <f t="shared" si="160"/>
        <v>October</v>
      </c>
      <c r="M1463">
        <f>YEAR(C1463)</f>
        <v>2023</v>
      </c>
      <c r="N1463">
        <v>276</v>
      </c>
      <c r="O1463" t="str">
        <f>IF(N1463&gt;=200,"Platinum",IF(N1463&gt;=100,"Gold",IF(N1463&gt;=50,"Silver","Regular")))</f>
        <v>Platinum</v>
      </c>
      <c r="P1463" s="4" t="str">
        <f t="shared" si="155"/>
        <v>Wednesday</v>
      </c>
      <c r="Q1463" s="4" t="str">
        <f t="shared" si="156"/>
        <v>Medium Order</v>
      </c>
      <c r="R1463" s="4" t="str">
        <f t="shared" si="157"/>
        <v>Weekday</v>
      </c>
      <c r="S1463" s="4" t="str">
        <f t="shared" si="158"/>
        <v>Regular</v>
      </c>
    </row>
    <row r="1464" spans="1:19" x14ac:dyDescent="0.3">
      <c r="A1464">
        <v>5123</v>
      </c>
      <c r="B1464" t="s">
        <v>3</v>
      </c>
      <c r="C1464" s="1">
        <v>45336</v>
      </c>
      <c r="D1464" t="s">
        <v>34</v>
      </c>
      <c r="E1464" t="s">
        <v>30</v>
      </c>
      <c r="F1464">
        <v>5</v>
      </c>
      <c r="G1464">
        <v>13.12</v>
      </c>
      <c r="H1464">
        <v>65.599999999999994</v>
      </c>
      <c r="I1464" t="str">
        <f t="shared" si="154"/>
        <v>Low</v>
      </c>
      <c r="J1464">
        <v>2.74</v>
      </c>
      <c r="K1464">
        <f t="shared" si="159"/>
        <v>62.859999999999992</v>
      </c>
      <c r="L1464" t="str">
        <f t="shared" si="160"/>
        <v>February</v>
      </c>
      <c r="M1464">
        <f>YEAR(C1464)</f>
        <v>2024</v>
      </c>
      <c r="N1464">
        <v>4</v>
      </c>
      <c r="O1464" t="str">
        <f>IF(N1464&gt;=200,"Platinum",IF(N1464&gt;=100,"Gold",IF(N1464&gt;=50,"Silver","Regular")))</f>
        <v>Regular</v>
      </c>
      <c r="P1464" s="4" t="str">
        <f t="shared" si="155"/>
        <v>Wednesday</v>
      </c>
      <c r="Q1464" s="4" t="str">
        <f t="shared" si="156"/>
        <v>Medium Order</v>
      </c>
      <c r="R1464" s="4" t="str">
        <f t="shared" si="157"/>
        <v>Weekday</v>
      </c>
      <c r="S1464" s="4" t="str">
        <f t="shared" si="158"/>
        <v>Regular</v>
      </c>
    </row>
    <row r="1465" spans="1:19" x14ac:dyDescent="0.3">
      <c r="A1465">
        <v>6928</v>
      </c>
      <c r="B1465" t="s">
        <v>13</v>
      </c>
      <c r="C1465" s="1">
        <v>45213</v>
      </c>
      <c r="D1465" t="s">
        <v>6</v>
      </c>
      <c r="E1465" t="s">
        <v>10</v>
      </c>
      <c r="F1465">
        <v>2</v>
      </c>
      <c r="G1465">
        <v>23.58</v>
      </c>
      <c r="H1465">
        <v>47.16</v>
      </c>
      <c r="I1465" t="str">
        <f t="shared" si="154"/>
        <v>Low</v>
      </c>
      <c r="J1465">
        <v>1.95</v>
      </c>
      <c r="K1465">
        <f t="shared" si="159"/>
        <v>45.209999999999994</v>
      </c>
      <c r="L1465" t="str">
        <f t="shared" si="160"/>
        <v>October</v>
      </c>
      <c r="M1465">
        <f>YEAR(C1465)</f>
        <v>2023</v>
      </c>
      <c r="N1465">
        <v>166</v>
      </c>
      <c r="O1465" t="str">
        <f>IF(N1465&gt;=200,"Platinum",IF(N1465&gt;=100,"Gold",IF(N1465&gt;=50,"Silver","Regular")))</f>
        <v>Gold</v>
      </c>
      <c r="P1465" s="4" t="str">
        <f t="shared" si="155"/>
        <v>Saturday</v>
      </c>
      <c r="Q1465" s="4" t="str">
        <f t="shared" si="156"/>
        <v>Small Order</v>
      </c>
      <c r="R1465" s="4" t="str">
        <f t="shared" si="157"/>
        <v>Weekend</v>
      </c>
      <c r="S1465" s="4" t="str">
        <f t="shared" si="158"/>
        <v>Regular</v>
      </c>
    </row>
    <row r="1466" spans="1:19" x14ac:dyDescent="0.3">
      <c r="A1466">
        <v>9117</v>
      </c>
      <c r="B1466" t="s">
        <v>31</v>
      </c>
      <c r="C1466" s="1">
        <v>45368</v>
      </c>
      <c r="D1466" t="s">
        <v>1</v>
      </c>
      <c r="E1466" t="s">
        <v>10</v>
      </c>
      <c r="F1466">
        <v>3</v>
      </c>
      <c r="G1466">
        <v>25.06</v>
      </c>
      <c r="H1466">
        <v>75.180000000000007</v>
      </c>
      <c r="I1466" t="str">
        <f t="shared" si="154"/>
        <v>Low</v>
      </c>
      <c r="J1466">
        <v>3.09</v>
      </c>
      <c r="K1466">
        <f t="shared" si="159"/>
        <v>72.09</v>
      </c>
      <c r="L1466" t="str">
        <f t="shared" si="160"/>
        <v>March</v>
      </c>
      <c r="M1466">
        <f>YEAR(C1466)</f>
        <v>2024</v>
      </c>
      <c r="N1466">
        <v>493</v>
      </c>
      <c r="O1466" t="str">
        <f>IF(N1466&gt;=200,"Platinum",IF(N1466&gt;=100,"Gold",IF(N1466&gt;=50,"Silver","Regular")))</f>
        <v>Platinum</v>
      </c>
      <c r="P1466" s="4" t="str">
        <f t="shared" si="155"/>
        <v>Sunday</v>
      </c>
      <c r="Q1466" s="4" t="str">
        <f t="shared" si="156"/>
        <v>Medium Order</v>
      </c>
      <c r="R1466" s="4" t="str">
        <f t="shared" si="157"/>
        <v>Weekend</v>
      </c>
      <c r="S1466" s="4" t="str">
        <f t="shared" si="158"/>
        <v>Regular</v>
      </c>
    </row>
    <row r="1467" spans="1:19" x14ac:dyDescent="0.3">
      <c r="A1467">
        <v>8996</v>
      </c>
      <c r="B1467" t="s">
        <v>19</v>
      </c>
      <c r="C1467" s="1">
        <v>45399</v>
      </c>
      <c r="D1467" t="s">
        <v>23</v>
      </c>
      <c r="E1467" t="s">
        <v>12</v>
      </c>
      <c r="F1467">
        <v>3</v>
      </c>
      <c r="G1467">
        <v>14.11</v>
      </c>
      <c r="H1467">
        <v>42.33</v>
      </c>
      <c r="I1467" t="str">
        <f t="shared" si="154"/>
        <v>Low</v>
      </c>
      <c r="J1467">
        <v>1.73</v>
      </c>
      <c r="K1467">
        <f t="shared" si="159"/>
        <v>40.6</v>
      </c>
      <c r="L1467" t="str">
        <f t="shared" si="160"/>
        <v>April</v>
      </c>
      <c r="M1467">
        <f>YEAR(C1467)</f>
        <v>2024</v>
      </c>
      <c r="N1467">
        <v>283</v>
      </c>
      <c r="O1467" t="str">
        <f>IF(N1467&gt;=200,"Platinum",IF(N1467&gt;=100,"Gold",IF(N1467&gt;=50,"Silver","Regular")))</f>
        <v>Platinum</v>
      </c>
      <c r="P1467" s="4" t="str">
        <f t="shared" si="155"/>
        <v>Wednesday</v>
      </c>
      <c r="Q1467" s="4" t="str">
        <f t="shared" si="156"/>
        <v>Medium Order</v>
      </c>
      <c r="R1467" s="4" t="str">
        <f t="shared" si="157"/>
        <v>Weekday</v>
      </c>
      <c r="S1467" s="4" t="str">
        <f t="shared" si="158"/>
        <v>Regular</v>
      </c>
    </row>
    <row r="1468" spans="1:19" x14ac:dyDescent="0.3">
      <c r="A1468">
        <v>6152</v>
      </c>
      <c r="B1468" t="s">
        <v>31</v>
      </c>
      <c r="C1468" s="1">
        <v>45157</v>
      </c>
      <c r="D1468" t="s">
        <v>17</v>
      </c>
      <c r="E1468" t="s">
        <v>35</v>
      </c>
      <c r="F1468">
        <v>5</v>
      </c>
      <c r="G1468">
        <v>19.27</v>
      </c>
      <c r="H1468">
        <v>96.35</v>
      </c>
      <c r="I1468" t="str">
        <f t="shared" si="154"/>
        <v>Low</v>
      </c>
      <c r="J1468">
        <v>3.93</v>
      </c>
      <c r="K1468">
        <f t="shared" si="159"/>
        <v>92.419999999999987</v>
      </c>
      <c r="L1468" t="str">
        <f t="shared" si="160"/>
        <v>August</v>
      </c>
      <c r="M1468">
        <f>YEAR(C1468)</f>
        <v>2023</v>
      </c>
      <c r="N1468">
        <v>375</v>
      </c>
      <c r="O1468" t="str">
        <f>IF(N1468&gt;=200,"Platinum",IF(N1468&gt;=100,"Gold",IF(N1468&gt;=50,"Silver","Regular")))</f>
        <v>Platinum</v>
      </c>
      <c r="P1468" s="4" t="str">
        <f t="shared" si="155"/>
        <v>Saturday</v>
      </c>
      <c r="Q1468" s="4" t="str">
        <f t="shared" si="156"/>
        <v>Medium Order</v>
      </c>
      <c r="R1468" s="4" t="str">
        <f t="shared" si="157"/>
        <v>Weekend</v>
      </c>
      <c r="S1468" s="4" t="str">
        <f t="shared" si="158"/>
        <v>Regular</v>
      </c>
    </row>
    <row r="1469" spans="1:19" x14ac:dyDescent="0.3">
      <c r="A1469">
        <v>8613</v>
      </c>
      <c r="B1469" t="s">
        <v>31</v>
      </c>
      <c r="C1469" s="1">
        <v>45587</v>
      </c>
      <c r="D1469" t="s">
        <v>9</v>
      </c>
      <c r="E1469" t="s">
        <v>36</v>
      </c>
      <c r="F1469">
        <v>1</v>
      </c>
      <c r="G1469">
        <v>29.19</v>
      </c>
      <c r="H1469">
        <v>29.19</v>
      </c>
      <c r="I1469" t="str">
        <f t="shared" si="154"/>
        <v>Low</v>
      </c>
      <c r="J1469">
        <v>1.18</v>
      </c>
      <c r="K1469">
        <f t="shared" si="159"/>
        <v>28.01</v>
      </c>
      <c r="L1469" t="str">
        <f t="shared" si="160"/>
        <v>October</v>
      </c>
      <c r="M1469">
        <f>YEAR(C1469)</f>
        <v>2024</v>
      </c>
      <c r="N1469">
        <v>72</v>
      </c>
      <c r="O1469" t="str">
        <f>IF(N1469&gt;=200,"Platinum",IF(N1469&gt;=100,"Gold",IF(N1469&gt;=50,"Silver","Regular")))</f>
        <v>Silver</v>
      </c>
      <c r="P1469" s="4" t="str">
        <f t="shared" si="155"/>
        <v>Tuesday</v>
      </c>
      <c r="Q1469" s="4" t="str">
        <f t="shared" si="156"/>
        <v>Small Order</v>
      </c>
      <c r="R1469" s="4" t="str">
        <f t="shared" si="157"/>
        <v>Weekday</v>
      </c>
      <c r="S1469" s="4" t="str">
        <f t="shared" si="158"/>
        <v>Regular</v>
      </c>
    </row>
    <row r="1470" spans="1:19" x14ac:dyDescent="0.3">
      <c r="A1470">
        <v>7272</v>
      </c>
      <c r="B1470" t="s">
        <v>19</v>
      </c>
      <c r="C1470" s="1">
        <v>45585</v>
      </c>
      <c r="D1470" t="s">
        <v>4</v>
      </c>
      <c r="E1470" t="s">
        <v>30</v>
      </c>
      <c r="F1470">
        <v>3</v>
      </c>
      <c r="G1470">
        <v>28.6</v>
      </c>
      <c r="H1470">
        <v>85.8</v>
      </c>
      <c r="I1470" t="str">
        <f t="shared" si="154"/>
        <v>Low</v>
      </c>
      <c r="J1470">
        <v>3.46</v>
      </c>
      <c r="K1470">
        <f t="shared" si="159"/>
        <v>82.34</v>
      </c>
      <c r="L1470" t="str">
        <f t="shared" si="160"/>
        <v>October</v>
      </c>
      <c r="M1470">
        <f>YEAR(C1470)</f>
        <v>2024</v>
      </c>
      <c r="N1470">
        <v>347</v>
      </c>
      <c r="O1470" t="str">
        <f>IF(N1470&gt;=200,"Platinum",IF(N1470&gt;=100,"Gold",IF(N1470&gt;=50,"Silver","Regular")))</f>
        <v>Platinum</v>
      </c>
      <c r="P1470" s="4" t="str">
        <f t="shared" si="155"/>
        <v>Sunday</v>
      </c>
      <c r="Q1470" s="4" t="str">
        <f t="shared" si="156"/>
        <v>Medium Order</v>
      </c>
      <c r="R1470" s="4" t="str">
        <f t="shared" si="157"/>
        <v>Weekend</v>
      </c>
      <c r="S1470" s="4" t="str">
        <f t="shared" si="158"/>
        <v>Regular</v>
      </c>
    </row>
    <row r="1471" spans="1:19" x14ac:dyDescent="0.3">
      <c r="A1471">
        <v>5678</v>
      </c>
      <c r="B1471" t="s">
        <v>8</v>
      </c>
      <c r="C1471" s="1">
        <v>45684</v>
      </c>
      <c r="D1471" t="s">
        <v>1</v>
      </c>
      <c r="E1471" t="s">
        <v>37</v>
      </c>
      <c r="F1471">
        <v>4</v>
      </c>
      <c r="G1471">
        <v>11.73</v>
      </c>
      <c r="H1471">
        <v>46.92</v>
      </c>
      <c r="I1471" t="str">
        <f t="shared" si="154"/>
        <v>Low</v>
      </c>
      <c r="J1471">
        <v>1.89</v>
      </c>
      <c r="K1471">
        <f t="shared" si="159"/>
        <v>45.03</v>
      </c>
      <c r="L1471" t="str">
        <f t="shared" si="160"/>
        <v>January</v>
      </c>
      <c r="M1471">
        <f>YEAR(C1471)</f>
        <v>2025</v>
      </c>
      <c r="N1471">
        <v>98</v>
      </c>
      <c r="O1471" t="str">
        <f>IF(N1471&gt;=200,"Platinum",IF(N1471&gt;=100,"Gold",IF(N1471&gt;=50,"Silver","Regular")))</f>
        <v>Silver</v>
      </c>
      <c r="P1471" s="4" t="str">
        <f t="shared" si="155"/>
        <v>Monday</v>
      </c>
      <c r="Q1471" s="4" t="str">
        <f t="shared" si="156"/>
        <v>Medium Order</v>
      </c>
      <c r="R1471" s="4" t="str">
        <f t="shared" si="157"/>
        <v>Weekday</v>
      </c>
      <c r="S1471" s="4" t="str">
        <f t="shared" si="158"/>
        <v>Regular</v>
      </c>
    </row>
    <row r="1472" spans="1:19" x14ac:dyDescent="0.3">
      <c r="A1472">
        <v>7761</v>
      </c>
      <c r="B1472" t="s">
        <v>13</v>
      </c>
      <c r="C1472" s="1">
        <v>45468</v>
      </c>
      <c r="D1472" t="s">
        <v>23</v>
      </c>
      <c r="E1472" t="s">
        <v>26</v>
      </c>
      <c r="F1472">
        <v>5</v>
      </c>
      <c r="G1472">
        <v>19.79</v>
      </c>
      <c r="H1472">
        <v>98.95</v>
      </c>
      <c r="I1472" t="str">
        <f t="shared" si="154"/>
        <v>Low</v>
      </c>
      <c r="J1472">
        <v>3.98</v>
      </c>
      <c r="K1472">
        <f t="shared" si="159"/>
        <v>94.97</v>
      </c>
      <c r="L1472" t="str">
        <f t="shared" si="160"/>
        <v>June</v>
      </c>
      <c r="M1472">
        <f>YEAR(C1472)</f>
        <v>2024</v>
      </c>
      <c r="N1472">
        <v>75</v>
      </c>
      <c r="O1472" t="str">
        <f>IF(N1472&gt;=200,"Platinum",IF(N1472&gt;=100,"Gold",IF(N1472&gt;=50,"Silver","Regular")))</f>
        <v>Silver</v>
      </c>
      <c r="P1472" s="4" t="str">
        <f t="shared" si="155"/>
        <v>Tuesday</v>
      </c>
      <c r="Q1472" s="4" t="str">
        <f t="shared" si="156"/>
        <v>Medium Order</v>
      </c>
      <c r="R1472" s="4" t="str">
        <f t="shared" si="157"/>
        <v>Weekday</v>
      </c>
      <c r="S1472" s="4" t="str">
        <f t="shared" si="158"/>
        <v>Regular</v>
      </c>
    </row>
    <row r="1473" spans="1:19" x14ac:dyDescent="0.3">
      <c r="A1473">
        <v>5150</v>
      </c>
      <c r="B1473" t="s">
        <v>20</v>
      </c>
      <c r="C1473" s="1">
        <v>45173</v>
      </c>
      <c r="D1473" t="s">
        <v>34</v>
      </c>
      <c r="E1473" t="s">
        <v>22</v>
      </c>
      <c r="F1473">
        <v>1</v>
      </c>
      <c r="G1473">
        <v>29.26</v>
      </c>
      <c r="H1473">
        <v>29.26</v>
      </c>
      <c r="I1473" t="str">
        <f t="shared" si="154"/>
        <v>Low</v>
      </c>
      <c r="J1473">
        <v>1.17</v>
      </c>
      <c r="K1473">
        <f t="shared" si="159"/>
        <v>28.090000000000003</v>
      </c>
      <c r="L1473" t="str">
        <f t="shared" si="160"/>
        <v>September</v>
      </c>
      <c r="M1473">
        <f>YEAR(C1473)</f>
        <v>2023</v>
      </c>
      <c r="N1473">
        <v>400</v>
      </c>
      <c r="O1473" t="str">
        <f>IF(N1473&gt;=200,"Platinum",IF(N1473&gt;=100,"Gold",IF(N1473&gt;=50,"Silver","Regular")))</f>
        <v>Platinum</v>
      </c>
      <c r="P1473" s="4" t="str">
        <f t="shared" si="155"/>
        <v>Monday</v>
      </c>
      <c r="Q1473" s="4" t="str">
        <f t="shared" si="156"/>
        <v>Small Order</v>
      </c>
      <c r="R1473" s="4" t="str">
        <f t="shared" si="157"/>
        <v>Weekday</v>
      </c>
      <c r="S1473" s="4" t="str">
        <f t="shared" si="158"/>
        <v>Regular</v>
      </c>
    </row>
    <row r="1474" spans="1:19" x14ac:dyDescent="0.3">
      <c r="A1474">
        <v>7718</v>
      </c>
      <c r="B1474" t="s">
        <v>20</v>
      </c>
      <c r="C1474" s="1">
        <v>45163</v>
      </c>
      <c r="D1474" t="s">
        <v>1</v>
      </c>
      <c r="E1474" t="s">
        <v>14</v>
      </c>
      <c r="F1474">
        <v>2</v>
      </c>
      <c r="G1474">
        <v>28.54</v>
      </c>
      <c r="H1474">
        <v>57.08</v>
      </c>
      <c r="I1474" t="str">
        <f t="shared" ref="I1474:I1537" si="161">IF(J1474=0,"No Discount",IF(J1474&lt;=5,"Low",IF(J1474&lt;=10,"Medium",IF(J1474&lt;=20,"High","Very High"))))</f>
        <v>Low</v>
      </c>
      <c r="J1474">
        <v>2.2799999999999998</v>
      </c>
      <c r="K1474">
        <f t="shared" si="159"/>
        <v>54.8</v>
      </c>
      <c r="L1474" t="str">
        <f t="shared" si="160"/>
        <v>August</v>
      </c>
      <c r="M1474">
        <f>YEAR(C1474)</f>
        <v>2023</v>
      </c>
      <c r="N1474">
        <v>488</v>
      </c>
      <c r="O1474" t="str">
        <f>IF(N1474&gt;=200,"Platinum",IF(N1474&gt;=100,"Gold",IF(N1474&gt;=50,"Silver","Regular")))</f>
        <v>Platinum</v>
      </c>
      <c r="P1474" s="4" t="str">
        <f t="shared" ref="P1474:P1537" si="162">TEXT(C1474,"dddd")</f>
        <v>Friday</v>
      </c>
      <c r="Q1474" s="4" t="str">
        <f t="shared" ref="Q1474:Q1537" si="163">IF(F1474&lt;=2,"Small Order",IF(F1474&lt;=5,"Medium Order",IF(F1474&lt;=10,"Large Order","Bulk Order")))</f>
        <v>Small Order</v>
      </c>
      <c r="R1474" s="4" t="str">
        <f t="shared" ref="R1474:R1537" si="164">IF(WEEKDAY(C1474,2)&gt;5,"Weekend","Weekday")</f>
        <v>Weekday</v>
      </c>
      <c r="S1474" s="4" t="str">
        <f t="shared" ref="S1474:S1537" si="165">IF(K1474&gt;=100,"High Value","Regular")</f>
        <v>Regular</v>
      </c>
    </row>
    <row r="1475" spans="1:19" x14ac:dyDescent="0.3">
      <c r="A1475">
        <v>3924</v>
      </c>
      <c r="B1475" t="s">
        <v>31</v>
      </c>
      <c r="C1475" s="1">
        <v>45562</v>
      </c>
      <c r="D1475" t="s">
        <v>6</v>
      </c>
      <c r="E1475" t="s">
        <v>22</v>
      </c>
      <c r="F1475">
        <v>5</v>
      </c>
      <c r="G1475">
        <v>12.04</v>
      </c>
      <c r="H1475">
        <v>60.2</v>
      </c>
      <c r="I1475" t="str">
        <f t="shared" si="161"/>
        <v>Low</v>
      </c>
      <c r="J1475">
        <v>2.4</v>
      </c>
      <c r="K1475">
        <f t="shared" ref="K1475:K1538" si="166">MAX(0,H1475-J1475)</f>
        <v>57.800000000000004</v>
      </c>
      <c r="L1475" t="str">
        <f t="shared" ref="L1475:L1538" si="167">TEXT(C1475,"mmmm")</f>
        <v>September</v>
      </c>
      <c r="M1475">
        <f>YEAR(C1475)</f>
        <v>2024</v>
      </c>
      <c r="N1475">
        <v>100</v>
      </c>
      <c r="O1475" t="str">
        <f>IF(N1475&gt;=200,"Platinum",IF(N1475&gt;=100,"Gold",IF(N1475&gt;=50,"Silver","Regular")))</f>
        <v>Gold</v>
      </c>
      <c r="P1475" s="4" t="str">
        <f t="shared" si="162"/>
        <v>Friday</v>
      </c>
      <c r="Q1475" s="4" t="str">
        <f t="shared" si="163"/>
        <v>Medium Order</v>
      </c>
      <c r="R1475" s="4" t="str">
        <f t="shared" si="164"/>
        <v>Weekday</v>
      </c>
      <c r="S1475" s="4" t="str">
        <f t="shared" si="165"/>
        <v>Regular</v>
      </c>
    </row>
    <row r="1476" spans="1:19" x14ac:dyDescent="0.3">
      <c r="A1476">
        <v>2876</v>
      </c>
      <c r="B1476" t="s">
        <v>8</v>
      </c>
      <c r="C1476" s="1">
        <v>45674</v>
      </c>
      <c r="D1476" t="s">
        <v>34</v>
      </c>
      <c r="E1476" t="s">
        <v>30</v>
      </c>
      <c r="F1476">
        <v>5</v>
      </c>
      <c r="G1476">
        <v>16.48</v>
      </c>
      <c r="H1476">
        <v>82.4</v>
      </c>
      <c r="I1476" t="str">
        <f t="shared" si="161"/>
        <v>Low</v>
      </c>
      <c r="J1476">
        <v>3.26</v>
      </c>
      <c r="K1476">
        <f t="shared" si="166"/>
        <v>79.14</v>
      </c>
      <c r="L1476" t="str">
        <f t="shared" si="167"/>
        <v>January</v>
      </c>
      <c r="M1476">
        <f>YEAR(C1476)</f>
        <v>2025</v>
      </c>
      <c r="N1476">
        <v>464</v>
      </c>
      <c r="O1476" t="str">
        <f>IF(N1476&gt;=200,"Platinum",IF(N1476&gt;=100,"Gold",IF(N1476&gt;=50,"Silver","Regular")))</f>
        <v>Platinum</v>
      </c>
      <c r="P1476" s="4" t="str">
        <f t="shared" si="162"/>
        <v>Friday</v>
      </c>
      <c r="Q1476" s="4" t="str">
        <f t="shared" si="163"/>
        <v>Medium Order</v>
      </c>
      <c r="R1476" s="4" t="str">
        <f t="shared" si="164"/>
        <v>Weekday</v>
      </c>
      <c r="S1476" s="4" t="str">
        <f t="shared" si="165"/>
        <v>Regular</v>
      </c>
    </row>
    <row r="1477" spans="1:19" x14ac:dyDescent="0.3">
      <c r="A1477">
        <v>9238</v>
      </c>
      <c r="B1477" t="s">
        <v>25</v>
      </c>
      <c r="C1477" s="1">
        <v>45852</v>
      </c>
      <c r="D1477" t="s">
        <v>11</v>
      </c>
      <c r="E1477" t="s">
        <v>5</v>
      </c>
      <c r="F1477">
        <v>2</v>
      </c>
      <c r="G1477">
        <v>27.7</v>
      </c>
      <c r="H1477">
        <v>55.4</v>
      </c>
      <c r="I1477" t="str">
        <f t="shared" si="161"/>
        <v>Low</v>
      </c>
      <c r="J1477">
        <v>2.1800000000000002</v>
      </c>
      <c r="K1477">
        <f t="shared" si="166"/>
        <v>53.22</v>
      </c>
      <c r="L1477" t="str">
        <f t="shared" si="167"/>
        <v>July</v>
      </c>
      <c r="M1477">
        <f>YEAR(C1477)</f>
        <v>2025</v>
      </c>
      <c r="N1477">
        <v>390</v>
      </c>
      <c r="O1477" t="str">
        <f>IF(N1477&gt;=200,"Platinum",IF(N1477&gt;=100,"Gold",IF(N1477&gt;=50,"Silver","Regular")))</f>
        <v>Platinum</v>
      </c>
      <c r="P1477" s="4" t="str">
        <f t="shared" si="162"/>
        <v>Monday</v>
      </c>
      <c r="Q1477" s="4" t="str">
        <f t="shared" si="163"/>
        <v>Small Order</v>
      </c>
      <c r="R1477" s="4" t="str">
        <f t="shared" si="164"/>
        <v>Weekday</v>
      </c>
      <c r="S1477" s="4" t="str">
        <f t="shared" si="165"/>
        <v>Regular</v>
      </c>
    </row>
    <row r="1478" spans="1:19" x14ac:dyDescent="0.3">
      <c r="A1478">
        <v>9431</v>
      </c>
      <c r="B1478" t="s">
        <v>13</v>
      </c>
      <c r="C1478" s="1">
        <v>45785</v>
      </c>
      <c r="D1478" t="s">
        <v>11</v>
      </c>
      <c r="E1478" t="s">
        <v>26</v>
      </c>
      <c r="F1478">
        <v>4</v>
      </c>
      <c r="G1478">
        <v>24.33</v>
      </c>
      <c r="H1478">
        <v>97.32</v>
      </c>
      <c r="I1478" t="str">
        <f t="shared" si="161"/>
        <v>Low</v>
      </c>
      <c r="J1478">
        <v>3.8</v>
      </c>
      <c r="K1478">
        <f t="shared" si="166"/>
        <v>93.52</v>
      </c>
      <c r="L1478" t="str">
        <f t="shared" si="167"/>
        <v>May</v>
      </c>
      <c r="M1478">
        <f>YEAR(C1478)</f>
        <v>2025</v>
      </c>
      <c r="N1478">
        <v>70</v>
      </c>
      <c r="O1478" t="str">
        <f>IF(N1478&gt;=200,"Platinum",IF(N1478&gt;=100,"Gold",IF(N1478&gt;=50,"Silver","Regular")))</f>
        <v>Silver</v>
      </c>
      <c r="P1478" s="4" t="str">
        <f t="shared" si="162"/>
        <v>Thursday</v>
      </c>
      <c r="Q1478" s="4" t="str">
        <f t="shared" si="163"/>
        <v>Medium Order</v>
      </c>
      <c r="R1478" s="4" t="str">
        <f t="shared" si="164"/>
        <v>Weekday</v>
      </c>
      <c r="S1478" s="4" t="str">
        <f t="shared" si="165"/>
        <v>Regular</v>
      </c>
    </row>
    <row r="1479" spans="1:19" x14ac:dyDescent="0.3">
      <c r="A1479">
        <v>2163</v>
      </c>
      <c r="B1479" t="s">
        <v>49</v>
      </c>
      <c r="C1479" s="1">
        <v>45555</v>
      </c>
      <c r="D1479" t="s">
        <v>6</v>
      </c>
      <c r="E1479" t="s">
        <v>32</v>
      </c>
      <c r="F1479">
        <v>5</v>
      </c>
      <c r="G1479">
        <v>25.54</v>
      </c>
      <c r="H1479">
        <v>127.7</v>
      </c>
      <c r="I1479" t="str">
        <f t="shared" si="161"/>
        <v>Low</v>
      </c>
      <c r="J1479">
        <v>4.9800000000000004</v>
      </c>
      <c r="K1479">
        <f t="shared" si="166"/>
        <v>122.72</v>
      </c>
      <c r="L1479" t="str">
        <f t="shared" si="167"/>
        <v>September</v>
      </c>
      <c r="M1479">
        <f>YEAR(C1479)</f>
        <v>2024</v>
      </c>
      <c r="N1479">
        <v>102</v>
      </c>
      <c r="O1479" t="str">
        <f>IF(N1479&gt;=200,"Platinum",IF(N1479&gt;=100,"Gold",IF(N1479&gt;=50,"Silver","Regular")))</f>
        <v>Gold</v>
      </c>
      <c r="P1479" s="4" t="str">
        <f t="shared" si="162"/>
        <v>Friday</v>
      </c>
      <c r="Q1479" s="4" t="str">
        <f t="shared" si="163"/>
        <v>Medium Order</v>
      </c>
      <c r="R1479" s="4" t="str">
        <f t="shared" si="164"/>
        <v>Weekday</v>
      </c>
      <c r="S1479" s="4" t="str">
        <f t="shared" si="165"/>
        <v>High Value</v>
      </c>
    </row>
    <row r="1480" spans="1:19" x14ac:dyDescent="0.3">
      <c r="A1480">
        <v>3116</v>
      </c>
      <c r="B1480" t="s">
        <v>31</v>
      </c>
      <c r="C1480" s="1">
        <v>45440</v>
      </c>
      <c r="D1480" t="s">
        <v>4</v>
      </c>
      <c r="E1480" t="s">
        <v>29</v>
      </c>
      <c r="F1480">
        <v>2</v>
      </c>
      <c r="G1480">
        <v>15.17</v>
      </c>
      <c r="H1480">
        <v>30.34</v>
      </c>
      <c r="I1480" t="str">
        <f t="shared" si="161"/>
        <v>Low</v>
      </c>
      <c r="J1480">
        <v>1.18</v>
      </c>
      <c r="K1480">
        <f t="shared" si="166"/>
        <v>29.16</v>
      </c>
      <c r="L1480" t="str">
        <f t="shared" si="167"/>
        <v>May</v>
      </c>
      <c r="M1480">
        <f>YEAR(C1480)</f>
        <v>2024</v>
      </c>
      <c r="N1480">
        <v>9</v>
      </c>
      <c r="O1480" t="str">
        <f>IF(N1480&gt;=200,"Platinum",IF(N1480&gt;=100,"Gold",IF(N1480&gt;=50,"Silver","Regular")))</f>
        <v>Regular</v>
      </c>
      <c r="P1480" s="4" t="str">
        <f t="shared" si="162"/>
        <v>Tuesday</v>
      </c>
      <c r="Q1480" s="4" t="str">
        <f t="shared" si="163"/>
        <v>Small Order</v>
      </c>
      <c r="R1480" s="4" t="str">
        <f t="shared" si="164"/>
        <v>Weekday</v>
      </c>
      <c r="S1480" s="4" t="str">
        <f t="shared" si="165"/>
        <v>Regular</v>
      </c>
    </row>
    <row r="1481" spans="1:19" x14ac:dyDescent="0.3">
      <c r="A1481">
        <v>9171</v>
      </c>
      <c r="B1481" t="s">
        <v>3</v>
      </c>
      <c r="C1481" s="1">
        <v>45827</v>
      </c>
      <c r="D1481" t="s">
        <v>16</v>
      </c>
      <c r="E1481" t="s">
        <v>14</v>
      </c>
      <c r="F1481">
        <v>5</v>
      </c>
      <c r="G1481">
        <v>18.03</v>
      </c>
      <c r="H1481">
        <v>90.15</v>
      </c>
      <c r="I1481" t="str">
        <f t="shared" si="161"/>
        <v>Low</v>
      </c>
      <c r="J1481">
        <v>3.47</v>
      </c>
      <c r="K1481">
        <f t="shared" si="166"/>
        <v>86.68</v>
      </c>
      <c r="L1481" t="str">
        <f t="shared" si="167"/>
        <v>June</v>
      </c>
      <c r="M1481">
        <f>YEAR(C1481)</f>
        <v>2025</v>
      </c>
      <c r="N1481">
        <v>6</v>
      </c>
      <c r="O1481" t="str">
        <f>IF(N1481&gt;=200,"Platinum",IF(N1481&gt;=100,"Gold",IF(N1481&gt;=50,"Silver","Regular")))</f>
        <v>Regular</v>
      </c>
      <c r="P1481" s="4" t="str">
        <f t="shared" si="162"/>
        <v>Thursday</v>
      </c>
      <c r="Q1481" s="4" t="str">
        <f t="shared" si="163"/>
        <v>Medium Order</v>
      </c>
      <c r="R1481" s="4" t="str">
        <f t="shared" si="164"/>
        <v>Weekday</v>
      </c>
      <c r="S1481" s="4" t="str">
        <f t="shared" si="165"/>
        <v>Regular</v>
      </c>
    </row>
    <row r="1482" spans="1:19" x14ac:dyDescent="0.3">
      <c r="A1482">
        <v>9889</v>
      </c>
      <c r="B1482" t="s">
        <v>31</v>
      </c>
      <c r="C1482" s="1">
        <v>45503</v>
      </c>
      <c r="D1482" t="s">
        <v>17</v>
      </c>
      <c r="E1482" t="s">
        <v>26</v>
      </c>
      <c r="F1482">
        <v>3</v>
      </c>
      <c r="G1482">
        <v>27.7</v>
      </c>
      <c r="H1482">
        <v>83.1</v>
      </c>
      <c r="I1482" t="str">
        <f t="shared" si="161"/>
        <v>Low</v>
      </c>
      <c r="J1482">
        <v>3.17</v>
      </c>
      <c r="K1482">
        <f t="shared" si="166"/>
        <v>79.929999999999993</v>
      </c>
      <c r="L1482" t="str">
        <f t="shared" si="167"/>
        <v>July</v>
      </c>
      <c r="M1482">
        <f>YEAR(C1482)</f>
        <v>2024</v>
      </c>
      <c r="N1482">
        <v>67</v>
      </c>
      <c r="O1482" t="str">
        <f>IF(N1482&gt;=200,"Platinum",IF(N1482&gt;=100,"Gold",IF(N1482&gt;=50,"Silver","Regular")))</f>
        <v>Silver</v>
      </c>
      <c r="P1482" s="4" t="str">
        <f t="shared" si="162"/>
        <v>Tuesday</v>
      </c>
      <c r="Q1482" s="4" t="str">
        <f t="shared" si="163"/>
        <v>Medium Order</v>
      </c>
      <c r="R1482" s="4" t="str">
        <f t="shared" si="164"/>
        <v>Weekday</v>
      </c>
      <c r="S1482" s="4" t="str">
        <f t="shared" si="165"/>
        <v>Regular</v>
      </c>
    </row>
    <row r="1483" spans="1:19" x14ac:dyDescent="0.3">
      <c r="A1483">
        <v>9406</v>
      </c>
      <c r="B1483" t="s">
        <v>25</v>
      </c>
      <c r="C1483" s="1">
        <v>45767</v>
      </c>
      <c r="D1483" t="s">
        <v>4</v>
      </c>
      <c r="E1483" t="s">
        <v>5</v>
      </c>
      <c r="F1483">
        <v>4</v>
      </c>
      <c r="G1483">
        <v>7.74</v>
      </c>
      <c r="H1483">
        <v>30.96</v>
      </c>
      <c r="I1483" t="str">
        <f t="shared" si="161"/>
        <v>Low</v>
      </c>
      <c r="J1483">
        <v>1.18</v>
      </c>
      <c r="K1483">
        <f t="shared" si="166"/>
        <v>29.78</v>
      </c>
      <c r="L1483" t="str">
        <f t="shared" si="167"/>
        <v>April</v>
      </c>
      <c r="M1483">
        <f>YEAR(C1483)</f>
        <v>2025</v>
      </c>
      <c r="N1483">
        <v>202</v>
      </c>
      <c r="O1483" t="str">
        <f>IF(N1483&gt;=200,"Platinum",IF(N1483&gt;=100,"Gold",IF(N1483&gt;=50,"Silver","Regular")))</f>
        <v>Platinum</v>
      </c>
      <c r="P1483" s="4" t="str">
        <f t="shared" si="162"/>
        <v>Sunday</v>
      </c>
      <c r="Q1483" s="4" t="str">
        <f t="shared" si="163"/>
        <v>Medium Order</v>
      </c>
      <c r="R1483" s="4" t="str">
        <f t="shared" si="164"/>
        <v>Weekend</v>
      </c>
      <c r="S1483" s="4" t="str">
        <f t="shared" si="165"/>
        <v>Regular</v>
      </c>
    </row>
    <row r="1484" spans="1:19" x14ac:dyDescent="0.3">
      <c r="A1484">
        <v>2904</v>
      </c>
      <c r="B1484" t="s">
        <v>13</v>
      </c>
      <c r="C1484" s="1">
        <v>45673</v>
      </c>
      <c r="D1484" t="s">
        <v>6</v>
      </c>
      <c r="E1484" t="s">
        <v>33</v>
      </c>
      <c r="F1484">
        <v>5</v>
      </c>
      <c r="G1484">
        <v>18.59</v>
      </c>
      <c r="H1484">
        <v>92.95</v>
      </c>
      <c r="I1484" t="str">
        <f t="shared" si="161"/>
        <v>Low</v>
      </c>
      <c r="J1484">
        <v>3.51</v>
      </c>
      <c r="K1484">
        <f t="shared" si="166"/>
        <v>89.44</v>
      </c>
      <c r="L1484" t="str">
        <f t="shared" si="167"/>
        <v>January</v>
      </c>
      <c r="M1484">
        <f>YEAR(C1484)</f>
        <v>2025</v>
      </c>
      <c r="N1484">
        <v>490</v>
      </c>
      <c r="O1484" t="str">
        <f>IF(N1484&gt;=200,"Platinum",IF(N1484&gt;=100,"Gold",IF(N1484&gt;=50,"Silver","Regular")))</f>
        <v>Platinum</v>
      </c>
      <c r="P1484" s="4" t="str">
        <f t="shared" si="162"/>
        <v>Thursday</v>
      </c>
      <c r="Q1484" s="4" t="str">
        <f t="shared" si="163"/>
        <v>Medium Order</v>
      </c>
      <c r="R1484" s="4" t="str">
        <f t="shared" si="164"/>
        <v>Weekday</v>
      </c>
      <c r="S1484" s="4" t="str">
        <f t="shared" si="165"/>
        <v>Regular</v>
      </c>
    </row>
    <row r="1485" spans="1:19" x14ac:dyDescent="0.3">
      <c r="A1485">
        <v>8371</v>
      </c>
      <c r="B1485" t="s">
        <v>31</v>
      </c>
      <c r="C1485" s="1">
        <v>45433</v>
      </c>
      <c r="D1485" t="s">
        <v>34</v>
      </c>
      <c r="E1485" t="s">
        <v>35</v>
      </c>
      <c r="F1485">
        <v>5</v>
      </c>
      <c r="G1485">
        <v>12.16</v>
      </c>
      <c r="H1485">
        <v>60.8</v>
      </c>
      <c r="I1485" t="str">
        <f t="shared" si="161"/>
        <v>Low</v>
      </c>
      <c r="J1485">
        <v>2.27</v>
      </c>
      <c r="K1485">
        <f t="shared" si="166"/>
        <v>58.529999999999994</v>
      </c>
      <c r="L1485" t="str">
        <f t="shared" si="167"/>
        <v>May</v>
      </c>
      <c r="M1485">
        <f>YEAR(C1485)</f>
        <v>2024</v>
      </c>
      <c r="N1485">
        <v>58</v>
      </c>
      <c r="O1485" t="str">
        <f>IF(N1485&gt;=200,"Platinum",IF(N1485&gt;=100,"Gold",IF(N1485&gt;=50,"Silver","Regular")))</f>
        <v>Silver</v>
      </c>
      <c r="P1485" s="4" t="str">
        <f t="shared" si="162"/>
        <v>Tuesday</v>
      </c>
      <c r="Q1485" s="4" t="str">
        <f t="shared" si="163"/>
        <v>Medium Order</v>
      </c>
      <c r="R1485" s="4" t="str">
        <f t="shared" si="164"/>
        <v>Weekday</v>
      </c>
      <c r="S1485" s="4" t="str">
        <f t="shared" si="165"/>
        <v>Regular</v>
      </c>
    </row>
    <row r="1486" spans="1:19" x14ac:dyDescent="0.3">
      <c r="A1486">
        <v>2816</v>
      </c>
      <c r="B1486" t="s">
        <v>8</v>
      </c>
      <c r="C1486" s="1">
        <v>45794</v>
      </c>
      <c r="D1486" t="s">
        <v>27</v>
      </c>
      <c r="E1486" t="s">
        <v>2</v>
      </c>
      <c r="F1486">
        <v>5</v>
      </c>
      <c r="G1486">
        <v>26.83</v>
      </c>
      <c r="H1486">
        <v>134.15</v>
      </c>
      <c r="I1486" t="str">
        <f t="shared" si="161"/>
        <v>Low</v>
      </c>
      <c r="J1486">
        <v>4.99</v>
      </c>
      <c r="K1486">
        <f t="shared" si="166"/>
        <v>129.16</v>
      </c>
      <c r="L1486" t="str">
        <f t="shared" si="167"/>
        <v>May</v>
      </c>
      <c r="M1486">
        <f>YEAR(C1486)</f>
        <v>2025</v>
      </c>
      <c r="N1486">
        <v>299</v>
      </c>
      <c r="O1486" t="str">
        <f>IF(N1486&gt;=200,"Platinum",IF(N1486&gt;=100,"Gold",IF(N1486&gt;=50,"Silver","Regular")))</f>
        <v>Platinum</v>
      </c>
      <c r="P1486" s="4" t="str">
        <f t="shared" si="162"/>
        <v>Saturday</v>
      </c>
      <c r="Q1486" s="4" t="str">
        <f t="shared" si="163"/>
        <v>Medium Order</v>
      </c>
      <c r="R1486" s="4" t="str">
        <f t="shared" si="164"/>
        <v>Weekend</v>
      </c>
      <c r="S1486" s="4" t="str">
        <f t="shared" si="165"/>
        <v>High Value</v>
      </c>
    </row>
    <row r="1487" spans="1:19" x14ac:dyDescent="0.3">
      <c r="A1487">
        <v>9079</v>
      </c>
      <c r="B1487" t="s">
        <v>8</v>
      </c>
      <c r="C1487" s="1">
        <v>45258</v>
      </c>
      <c r="D1487" t="s">
        <v>9</v>
      </c>
      <c r="E1487" t="s">
        <v>36</v>
      </c>
      <c r="F1487">
        <v>5</v>
      </c>
      <c r="G1487">
        <v>21.96</v>
      </c>
      <c r="H1487">
        <v>109.8</v>
      </c>
      <c r="I1487" t="str">
        <f t="shared" si="161"/>
        <v>Low</v>
      </c>
      <c r="J1487">
        <v>4.07</v>
      </c>
      <c r="K1487">
        <f t="shared" si="166"/>
        <v>105.72999999999999</v>
      </c>
      <c r="L1487" t="str">
        <f t="shared" si="167"/>
        <v>November</v>
      </c>
      <c r="M1487">
        <f>YEAR(C1487)</f>
        <v>2023</v>
      </c>
      <c r="N1487">
        <v>290</v>
      </c>
      <c r="O1487" t="str">
        <f>IF(N1487&gt;=200,"Platinum",IF(N1487&gt;=100,"Gold",IF(N1487&gt;=50,"Silver","Regular")))</f>
        <v>Platinum</v>
      </c>
      <c r="P1487" s="4" t="str">
        <f t="shared" si="162"/>
        <v>Tuesday</v>
      </c>
      <c r="Q1487" s="4" t="str">
        <f t="shared" si="163"/>
        <v>Medium Order</v>
      </c>
      <c r="R1487" s="4" t="str">
        <f t="shared" si="164"/>
        <v>Weekday</v>
      </c>
      <c r="S1487" s="4" t="str">
        <f t="shared" si="165"/>
        <v>High Value</v>
      </c>
    </row>
    <row r="1488" spans="1:19" x14ac:dyDescent="0.3">
      <c r="A1488">
        <v>3339</v>
      </c>
      <c r="B1488" t="s">
        <v>3</v>
      </c>
      <c r="C1488" s="1">
        <v>45804</v>
      </c>
      <c r="D1488" t="s">
        <v>4</v>
      </c>
      <c r="E1488" t="s">
        <v>33</v>
      </c>
      <c r="F1488">
        <v>5</v>
      </c>
      <c r="G1488">
        <v>16.7</v>
      </c>
      <c r="H1488">
        <v>83.5</v>
      </c>
      <c r="I1488" t="str">
        <f t="shared" si="161"/>
        <v>Low</v>
      </c>
      <c r="J1488">
        <v>3.09</v>
      </c>
      <c r="K1488">
        <f t="shared" si="166"/>
        <v>80.41</v>
      </c>
      <c r="L1488" t="str">
        <f t="shared" si="167"/>
        <v>May</v>
      </c>
      <c r="M1488">
        <f>YEAR(C1488)</f>
        <v>2025</v>
      </c>
      <c r="N1488">
        <v>387</v>
      </c>
      <c r="O1488" t="str">
        <f>IF(N1488&gt;=200,"Platinum",IF(N1488&gt;=100,"Gold",IF(N1488&gt;=50,"Silver","Regular")))</f>
        <v>Platinum</v>
      </c>
      <c r="P1488" s="4" t="str">
        <f t="shared" si="162"/>
        <v>Tuesday</v>
      </c>
      <c r="Q1488" s="4" t="str">
        <f t="shared" si="163"/>
        <v>Medium Order</v>
      </c>
      <c r="R1488" s="4" t="str">
        <f t="shared" si="164"/>
        <v>Weekday</v>
      </c>
      <c r="S1488" s="4" t="str">
        <f t="shared" si="165"/>
        <v>Regular</v>
      </c>
    </row>
    <row r="1489" spans="1:19" x14ac:dyDescent="0.3">
      <c r="A1489">
        <v>3986</v>
      </c>
      <c r="B1489" t="s">
        <v>25</v>
      </c>
      <c r="C1489" s="1">
        <v>45775</v>
      </c>
      <c r="D1489" t="s">
        <v>27</v>
      </c>
      <c r="E1489" t="s">
        <v>32</v>
      </c>
      <c r="F1489">
        <v>3</v>
      </c>
      <c r="G1489">
        <v>26.88</v>
      </c>
      <c r="H1489">
        <v>80.64</v>
      </c>
      <c r="I1489" t="str">
        <f t="shared" si="161"/>
        <v>Low</v>
      </c>
      <c r="J1489">
        <v>2.98</v>
      </c>
      <c r="K1489">
        <f t="shared" si="166"/>
        <v>77.66</v>
      </c>
      <c r="L1489" t="str">
        <f t="shared" si="167"/>
        <v>April</v>
      </c>
      <c r="M1489">
        <f>YEAR(C1489)</f>
        <v>2025</v>
      </c>
      <c r="N1489">
        <v>213</v>
      </c>
      <c r="O1489" t="str">
        <f>IF(N1489&gt;=200,"Platinum",IF(N1489&gt;=100,"Gold",IF(N1489&gt;=50,"Silver","Regular")))</f>
        <v>Platinum</v>
      </c>
      <c r="P1489" s="4" t="str">
        <f t="shared" si="162"/>
        <v>Monday</v>
      </c>
      <c r="Q1489" s="4" t="str">
        <f t="shared" si="163"/>
        <v>Medium Order</v>
      </c>
      <c r="R1489" s="4" t="str">
        <f t="shared" si="164"/>
        <v>Weekday</v>
      </c>
      <c r="S1489" s="4" t="str">
        <f t="shared" si="165"/>
        <v>Regular</v>
      </c>
    </row>
    <row r="1490" spans="1:19" x14ac:dyDescent="0.3">
      <c r="A1490">
        <v>1857</v>
      </c>
      <c r="B1490" t="s">
        <v>3</v>
      </c>
      <c r="C1490" s="1">
        <v>45758</v>
      </c>
      <c r="D1490" t="s">
        <v>24</v>
      </c>
      <c r="E1490" t="s">
        <v>12</v>
      </c>
      <c r="F1490">
        <v>4</v>
      </c>
      <c r="G1490">
        <v>12.94</v>
      </c>
      <c r="H1490">
        <v>51.76</v>
      </c>
      <c r="I1490" t="str">
        <f t="shared" si="161"/>
        <v>Low</v>
      </c>
      <c r="J1490">
        <v>1.87</v>
      </c>
      <c r="K1490">
        <f t="shared" si="166"/>
        <v>49.89</v>
      </c>
      <c r="L1490" t="str">
        <f t="shared" si="167"/>
        <v>April</v>
      </c>
      <c r="M1490">
        <f>YEAR(C1490)</f>
        <v>2025</v>
      </c>
      <c r="N1490">
        <v>471</v>
      </c>
      <c r="O1490" t="str">
        <f>IF(N1490&gt;=200,"Platinum",IF(N1490&gt;=100,"Gold",IF(N1490&gt;=50,"Silver","Regular")))</f>
        <v>Platinum</v>
      </c>
      <c r="P1490" s="4" t="str">
        <f t="shared" si="162"/>
        <v>Friday</v>
      </c>
      <c r="Q1490" s="4" t="str">
        <f t="shared" si="163"/>
        <v>Medium Order</v>
      </c>
      <c r="R1490" s="4" t="str">
        <f t="shared" si="164"/>
        <v>Weekday</v>
      </c>
      <c r="S1490" s="4" t="str">
        <f t="shared" si="165"/>
        <v>Regular</v>
      </c>
    </row>
    <row r="1491" spans="1:19" x14ac:dyDescent="0.3">
      <c r="A1491">
        <v>8517</v>
      </c>
      <c r="B1491" t="s">
        <v>19</v>
      </c>
      <c r="C1491" s="1">
        <v>45255</v>
      </c>
      <c r="D1491" t="s">
        <v>27</v>
      </c>
      <c r="E1491" t="s">
        <v>26</v>
      </c>
      <c r="F1491">
        <v>4</v>
      </c>
      <c r="G1491">
        <v>10.45</v>
      </c>
      <c r="H1491">
        <v>41.8</v>
      </c>
      <c r="I1491" t="str">
        <f t="shared" si="161"/>
        <v>Low</v>
      </c>
      <c r="J1491">
        <v>1.51</v>
      </c>
      <c r="K1491">
        <f t="shared" si="166"/>
        <v>40.29</v>
      </c>
      <c r="L1491" t="str">
        <f t="shared" si="167"/>
        <v>November</v>
      </c>
      <c r="M1491">
        <f>YEAR(C1491)</f>
        <v>2023</v>
      </c>
      <c r="N1491">
        <v>356</v>
      </c>
      <c r="O1491" t="str">
        <f>IF(N1491&gt;=200,"Platinum",IF(N1491&gt;=100,"Gold",IF(N1491&gt;=50,"Silver","Regular")))</f>
        <v>Platinum</v>
      </c>
      <c r="P1491" s="4" t="str">
        <f t="shared" si="162"/>
        <v>Saturday</v>
      </c>
      <c r="Q1491" s="4" t="str">
        <f t="shared" si="163"/>
        <v>Medium Order</v>
      </c>
      <c r="R1491" s="4" t="str">
        <f t="shared" si="164"/>
        <v>Weekend</v>
      </c>
      <c r="S1491" s="4" t="str">
        <f t="shared" si="165"/>
        <v>Regular</v>
      </c>
    </row>
    <row r="1492" spans="1:19" x14ac:dyDescent="0.3">
      <c r="A1492">
        <v>6456</v>
      </c>
      <c r="B1492" t="s">
        <v>13</v>
      </c>
      <c r="C1492" s="1">
        <v>45769</v>
      </c>
      <c r="D1492" t="s">
        <v>9</v>
      </c>
      <c r="E1492" t="s">
        <v>29</v>
      </c>
      <c r="F1492">
        <v>3</v>
      </c>
      <c r="G1492">
        <v>26.31</v>
      </c>
      <c r="H1492">
        <v>78.930000000000007</v>
      </c>
      <c r="I1492" t="str">
        <f t="shared" si="161"/>
        <v>Low</v>
      </c>
      <c r="J1492">
        <v>2.83</v>
      </c>
      <c r="K1492">
        <f t="shared" si="166"/>
        <v>76.100000000000009</v>
      </c>
      <c r="L1492" t="str">
        <f t="shared" si="167"/>
        <v>April</v>
      </c>
      <c r="M1492">
        <f>YEAR(C1492)</f>
        <v>2025</v>
      </c>
      <c r="N1492">
        <v>412</v>
      </c>
      <c r="O1492" t="str">
        <f>IF(N1492&gt;=200,"Platinum",IF(N1492&gt;=100,"Gold",IF(N1492&gt;=50,"Silver","Regular")))</f>
        <v>Platinum</v>
      </c>
      <c r="P1492" s="4" t="str">
        <f t="shared" si="162"/>
        <v>Tuesday</v>
      </c>
      <c r="Q1492" s="4" t="str">
        <f t="shared" si="163"/>
        <v>Medium Order</v>
      </c>
      <c r="R1492" s="4" t="str">
        <f t="shared" si="164"/>
        <v>Weekday</v>
      </c>
      <c r="S1492" s="4" t="str">
        <f t="shared" si="165"/>
        <v>Regular</v>
      </c>
    </row>
    <row r="1493" spans="1:19" x14ac:dyDescent="0.3">
      <c r="A1493">
        <v>2468</v>
      </c>
      <c r="B1493" t="s">
        <v>31</v>
      </c>
      <c r="C1493" s="1">
        <v>45419</v>
      </c>
      <c r="D1493" t="s">
        <v>24</v>
      </c>
      <c r="E1493" t="s">
        <v>18</v>
      </c>
      <c r="F1493">
        <v>3</v>
      </c>
      <c r="G1493">
        <v>10.6</v>
      </c>
      <c r="H1493">
        <v>31.8</v>
      </c>
      <c r="I1493" t="str">
        <f t="shared" si="161"/>
        <v>Low</v>
      </c>
      <c r="J1493">
        <v>1.1399999999999999</v>
      </c>
      <c r="K1493">
        <f t="shared" si="166"/>
        <v>30.66</v>
      </c>
      <c r="L1493" t="str">
        <f t="shared" si="167"/>
        <v>May</v>
      </c>
      <c r="M1493">
        <f>YEAR(C1493)</f>
        <v>2024</v>
      </c>
      <c r="N1493">
        <v>110</v>
      </c>
      <c r="O1493" t="str">
        <f>IF(N1493&gt;=200,"Platinum",IF(N1493&gt;=100,"Gold",IF(N1493&gt;=50,"Silver","Regular")))</f>
        <v>Gold</v>
      </c>
      <c r="P1493" s="4" t="str">
        <f t="shared" si="162"/>
        <v>Tuesday</v>
      </c>
      <c r="Q1493" s="4" t="str">
        <f t="shared" si="163"/>
        <v>Medium Order</v>
      </c>
      <c r="R1493" s="4" t="str">
        <f t="shared" si="164"/>
        <v>Weekday</v>
      </c>
      <c r="S1493" s="4" t="str">
        <f t="shared" si="165"/>
        <v>Regular</v>
      </c>
    </row>
    <row r="1494" spans="1:19" x14ac:dyDescent="0.3">
      <c r="A1494">
        <v>7888</v>
      </c>
      <c r="B1494" t="s">
        <v>25</v>
      </c>
      <c r="C1494" s="1">
        <v>45661</v>
      </c>
      <c r="D1494" t="s">
        <v>24</v>
      </c>
      <c r="E1494" t="s">
        <v>22</v>
      </c>
      <c r="F1494">
        <v>5</v>
      </c>
      <c r="G1494">
        <v>16.2</v>
      </c>
      <c r="H1494">
        <v>81</v>
      </c>
      <c r="I1494" t="str">
        <f t="shared" si="161"/>
        <v>Low</v>
      </c>
      <c r="J1494">
        <v>2.87</v>
      </c>
      <c r="K1494">
        <f t="shared" si="166"/>
        <v>78.13</v>
      </c>
      <c r="L1494" t="str">
        <f t="shared" si="167"/>
        <v>January</v>
      </c>
      <c r="M1494">
        <f>YEAR(C1494)</f>
        <v>2025</v>
      </c>
      <c r="N1494">
        <v>455</v>
      </c>
      <c r="O1494" t="str">
        <f>IF(N1494&gt;=200,"Platinum",IF(N1494&gt;=100,"Gold",IF(N1494&gt;=50,"Silver","Regular")))</f>
        <v>Platinum</v>
      </c>
      <c r="P1494" s="4" t="str">
        <f t="shared" si="162"/>
        <v>Saturday</v>
      </c>
      <c r="Q1494" s="4" t="str">
        <f t="shared" si="163"/>
        <v>Medium Order</v>
      </c>
      <c r="R1494" s="4" t="str">
        <f t="shared" si="164"/>
        <v>Weekend</v>
      </c>
      <c r="S1494" s="4" t="str">
        <f t="shared" si="165"/>
        <v>Regular</v>
      </c>
    </row>
    <row r="1495" spans="1:19" x14ac:dyDescent="0.3">
      <c r="A1495">
        <v>5582</v>
      </c>
      <c r="B1495" t="s">
        <v>13</v>
      </c>
      <c r="C1495" s="1">
        <v>45786</v>
      </c>
      <c r="D1495" t="s">
        <v>23</v>
      </c>
      <c r="E1495" t="s">
        <v>5</v>
      </c>
      <c r="F1495">
        <v>3</v>
      </c>
      <c r="G1495">
        <v>21.05</v>
      </c>
      <c r="H1495">
        <v>63.15</v>
      </c>
      <c r="I1495" t="str">
        <f t="shared" si="161"/>
        <v>Low</v>
      </c>
      <c r="J1495">
        <v>2.23</v>
      </c>
      <c r="K1495">
        <f t="shared" si="166"/>
        <v>60.92</v>
      </c>
      <c r="L1495" t="str">
        <f t="shared" si="167"/>
        <v>May</v>
      </c>
      <c r="M1495">
        <f>YEAR(C1495)</f>
        <v>2025</v>
      </c>
      <c r="N1495">
        <v>256</v>
      </c>
      <c r="O1495" t="str">
        <f>IF(N1495&gt;=200,"Platinum",IF(N1495&gt;=100,"Gold",IF(N1495&gt;=50,"Silver","Regular")))</f>
        <v>Platinum</v>
      </c>
      <c r="P1495" s="4" t="str">
        <f t="shared" si="162"/>
        <v>Friday</v>
      </c>
      <c r="Q1495" s="4" t="str">
        <f t="shared" si="163"/>
        <v>Medium Order</v>
      </c>
      <c r="R1495" s="4" t="str">
        <f t="shared" si="164"/>
        <v>Weekday</v>
      </c>
      <c r="S1495" s="4" t="str">
        <f t="shared" si="165"/>
        <v>Regular</v>
      </c>
    </row>
    <row r="1496" spans="1:19" x14ac:dyDescent="0.3">
      <c r="A1496">
        <v>3881</v>
      </c>
      <c r="B1496" t="s">
        <v>3</v>
      </c>
      <c r="C1496" s="1">
        <v>45769</v>
      </c>
      <c r="D1496" t="s">
        <v>6</v>
      </c>
      <c r="E1496" t="s">
        <v>36</v>
      </c>
      <c r="F1496">
        <v>2</v>
      </c>
      <c r="G1496">
        <v>26.2</v>
      </c>
      <c r="H1496">
        <v>52.4</v>
      </c>
      <c r="I1496" t="str">
        <f t="shared" si="161"/>
        <v>Low</v>
      </c>
      <c r="J1496">
        <v>1.85</v>
      </c>
      <c r="K1496">
        <f t="shared" si="166"/>
        <v>50.55</v>
      </c>
      <c r="L1496" t="str">
        <f t="shared" si="167"/>
        <v>April</v>
      </c>
      <c r="M1496">
        <f>YEAR(C1496)</f>
        <v>2025</v>
      </c>
      <c r="N1496">
        <v>170</v>
      </c>
      <c r="O1496" t="str">
        <f>IF(N1496&gt;=200,"Platinum",IF(N1496&gt;=100,"Gold",IF(N1496&gt;=50,"Silver","Regular")))</f>
        <v>Gold</v>
      </c>
      <c r="P1496" s="4" t="str">
        <f t="shared" si="162"/>
        <v>Tuesday</v>
      </c>
      <c r="Q1496" s="4" t="str">
        <f t="shared" si="163"/>
        <v>Small Order</v>
      </c>
      <c r="R1496" s="4" t="str">
        <f t="shared" si="164"/>
        <v>Weekday</v>
      </c>
      <c r="S1496" s="4" t="str">
        <f t="shared" si="165"/>
        <v>Regular</v>
      </c>
    </row>
    <row r="1497" spans="1:19" x14ac:dyDescent="0.3">
      <c r="A1497">
        <v>5735</v>
      </c>
      <c r="B1497" t="s">
        <v>13</v>
      </c>
      <c r="C1497" s="1">
        <v>45692</v>
      </c>
      <c r="D1497" t="s">
        <v>9</v>
      </c>
      <c r="E1497" t="s">
        <v>28</v>
      </c>
      <c r="F1497">
        <v>5</v>
      </c>
      <c r="G1497">
        <v>8.17</v>
      </c>
      <c r="H1497">
        <v>40.85</v>
      </c>
      <c r="I1497" t="str">
        <f t="shared" si="161"/>
        <v>Low</v>
      </c>
      <c r="J1497">
        <v>1.44</v>
      </c>
      <c r="K1497">
        <f t="shared" si="166"/>
        <v>39.410000000000004</v>
      </c>
      <c r="L1497" t="str">
        <f t="shared" si="167"/>
        <v>February</v>
      </c>
      <c r="M1497">
        <f>YEAR(C1497)</f>
        <v>2025</v>
      </c>
      <c r="N1497">
        <v>138</v>
      </c>
      <c r="O1497" t="str">
        <f>IF(N1497&gt;=200,"Platinum",IF(N1497&gt;=100,"Gold",IF(N1497&gt;=50,"Silver","Regular")))</f>
        <v>Gold</v>
      </c>
      <c r="P1497" s="4" t="str">
        <f t="shared" si="162"/>
        <v>Tuesday</v>
      </c>
      <c r="Q1497" s="4" t="str">
        <f t="shared" si="163"/>
        <v>Medium Order</v>
      </c>
      <c r="R1497" s="4" t="str">
        <f t="shared" si="164"/>
        <v>Weekday</v>
      </c>
      <c r="S1497" s="4" t="str">
        <f t="shared" si="165"/>
        <v>Regular</v>
      </c>
    </row>
    <row r="1498" spans="1:19" x14ac:dyDescent="0.3">
      <c r="A1498">
        <v>2789</v>
      </c>
      <c r="B1498" t="s">
        <v>13</v>
      </c>
      <c r="C1498" s="1">
        <v>45623</v>
      </c>
      <c r="D1498" t="s">
        <v>6</v>
      </c>
      <c r="E1498" t="s">
        <v>26</v>
      </c>
      <c r="F1498">
        <v>5</v>
      </c>
      <c r="G1498">
        <v>24.94</v>
      </c>
      <c r="H1498">
        <v>124.7</v>
      </c>
      <c r="I1498" t="str">
        <f t="shared" si="161"/>
        <v>Low</v>
      </c>
      <c r="J1498">
        <v>4.3899999999999997</v>
      </c>
      <c r="K1498">
        <f t="shared" si="166"/>
        <v>120.31</v>
      </c>
      <c r="L1498" t="str">
        <f t="shared" si="167"/>
        <v>November</v>
      </c>
      <c r="M1498">
        <f>YEAR(C1498)</f>
        <v>2024</v>
      </c>
      <c r="N1498">
        <v>18</v>
      </c>
      <c r="O1498" t="str">
        <f>IF(N1498&gt;=200,"Platinum",IF(N1498&gt;=100,"Gold",IF(N1498&gt;=50,"Silver","Regular")))</f>
        <v>Regular</v>
      </c>
      <c r="P1498" s="4" t="str">
        <f t="shared" si="162"/>
        <v>Wednesday</v>
      </c>
      <c r="Q1498" s="4" t="str">
        <f t="shared" si="163"/>
        <v>Medium Order</v>
      </c>
      <c r="R1498" s="4" t="str">
        <f t="shared" si="164"/>
        <v>Weekday</v>
      </c>
      <c r="S1498" s="4" t="str">
        <f t="shared" si="165"/>
        <v>High Value</v>
      </c>
    </row>
    <row r="1499" spans="1:19" x14ac:dyDescent="0.3">
      <c r="A1499">
        <v>9935</v>
      </c>
      <c r="B1499" t="s">
        <v>0</v>
      </c>
      <c r="C1499" s="1">
        <v>45212</v>
      </c>
      <c r="D1499" t="s">
        <v>11</v>
      </c>
      <c r="E1499" t="s">
        <v>12</v>
      </c>
      <c r="F1499">
        <v>5</v>
      </c>
      <c r="G1499">
        <v>8.66</v>
      </c>
      <c r="H1499">
        <v>43.3</v>
      </c>
      <c r="I1499" t="str">
        <f t="shared" si="161"/>
        <v>Low</v>
      </c>
      <c r="J1499">
        <v>1.5</v>
      </c>
      <c r="K1499">
        <f t="shared" si="166"/>
        <v>41.8</v>
      </c>
      <c r="L1499" t="str">
        <f t="shared" si="167"/>
        <v>October</v>
      </c>
      <c r="M1499">
        <f>YEAR(C1499)</f>
        <v>2023</v>
      </c>
      <c r="N1499">
        <v>22</v>
      </c>
      <c r="O1499" t="str">
        <f>IF(N1499&gt;=200,"Platinum",IF(N1499&gt;=100,"Gold",IF(N1499&gt;=50,"Silver","Regular")))</f>
        <v>Regular</v>
      </c>
      <c r="P1499" s="4" t="str">
        <f t="shared" si="162"/>
        <v>Friday</v>
      </c>
      <c r="Q1499" s="4" t="str">
        <f t="shared" si="163"/>
        <v>Medium Order</v>
      </c>
      <c r="R1499" s="4" t="str">
        <f t="shared" si="164"/>
        <v>Weekday</v>
      </c>
      <c r="S1499" s="4" t="str">
        <f t="shared" si="165"/>
        <v>Regular</v>
      </c>
    </row>
    <row r="1500" spans="1:19" x14ac:dyDescent="0.3">
      <c r="A1500">
        <v>5729</v>
      </c>
      <c r="B1500" t="s">
        <v>3</v>
      </c>
      <c r="C1500" s="1">
        <v>45275</v>
      </c>
      <c r="D1500" t="s">
        <v>27</v>
      </c>
      <c r="E1500" t="s">
        <v>33</v>
      </c>
      <c r="F1500">
        <v>2</v>
      </c>
      <c r="G1500">
        <v>18.899999999999999</v>
      </c>
      <c r="H1500">
        <v>37.799999999999997</v>
      </c>
      <c r="I1500" t="str">
        <f t="shared" si="161"/>
        <v>Low</v>
      </c>
      <c r="J1500">
        <v>1.3</v>
      </c>
      <c r="K1500">
        <f t="shared" si="166"/>
        <v>36.5</v>
      </c>
      <c r="L1500" t="str">
        <f t="shared" si="167"/>
        <v>December</v>
      </c>
      <c r="M1500">
        <f>YEAR(C1500)</f>
        <v>2023</v>
      </c>
      <c r="N1500">
        <v>225</v>
      </c>
      <c r="O1500" t="str">
        <f>IF(N1500&gt;=200,"Platinum",IF(N1500&gt;=100,"Gold",IF(N1500&gt;=50,"Silver","Regular")))</f>
        <v>Platinum</v>
      </c>
      <c r="P1500" s="4" t="str">
        <f t="shared" si="162"/>
        <v>Friday</v>
      </c>
      <c r="Q1500" s="4" t="str">
        <f t="shared" si="163"/>
        <v>Small Order</v>
      </c>
      <c r="R1500" s="4" t="str">
        <f t="shared" si="164"/>
        <v>Weekday</v>
      </c>
      <c r="S1500" s="4" t="str">
        <f t="shared" si="165"/>
        <v>Regular</v>
      </c>
    </row>
    <row r="1501" spans="1:19" x14ac:dyDescent="0.3">
      <c r="A1501">
        <v>9185</v>
      </c>
      <c r="B1501" t="s">
        <v>25</v>
      </c>
      <c r="C1501" s="1">
        <v>45812</v>
      </c>
      <c r="D1501" t="s">
        <v>6</v>
      </c>
      <c r="E1501" t="s">
        <v>18</v>
      </c>
      <c r="F1501">
        <v>4</v>
      </c>
      <c r="G1501">
        <v>19.41</v>
      </c>
      <c r="H1501">
        <v>77.64</v>
      </c>
      <c r="I1501" t="str">
        <f t="shared" si="161"/>
        <v>Low</v>
      </c>
      <c r="J1501">
        <v>2.65</v>
      </c>
      <c r="K1501">
        <f t="shared" si="166"/>
        <v>74.989999999999995</v>
      </c>
      <c r="L1501" t="str">
        <f t="shared" si="167"/>
        <v>June</v>
      </c>
      <c r="M1501">
        <f>YEAR(C1501)</f>
        <v>2025</v>
      </c>
      <c r="N1501">
        <v>303</v>
      </c>
      <c r="O1501" t="str">
        <f>IF(N1501&gt;=200,"Platinum",IF(N1501&gt;=100,"Gold",IF(N1501&gt;=50,"Silver","Regular")))</f>
        <v>Platinum</v>
      </c>
      <c r="P1501" s="4" t="str">
        <f t="shared" si="162"/>
        <v>Wednesday</v>
      </c>
      <c r="Q1501" s="4" t="str">
        <f t="shared" si="163"/>
        <v>Medium Order</v>
      </c>
      <c r="R1501" s="4" t="str">
        <f t="shared" si="164"/>
        <v>Weekday</v>
      </c>
      <c r="S1501" s="4" t="str">
        <f t="shared" si="165"/>
        <v>Regular</v>
      </c>
    </row>
    <row r="1502" spans="1:19" x14ac:dyDescent="0.3">
      <c r="A1502">
        <v>4770</v>
      </c>
      <c r="B1502" t="s">
        <v>13</v>
      </c>
      <c r="C1502" s="1">
        <v>45602</v>
      </c>
      <c r="D1502" t="s">
        <v>27</v>
      </c>
      <c r="E1502" t="s">
        <v>28</v>
      </c>
      <c r="F1502">
        <v>5</v>
      </c>
      <c r="G1502">
        <v>14.39</v>
      </c>
      <c r="H1502">
        <v>71.95</v>
      </c>
      <c r="I1502" t="str">
        <f t="shared" si="161"/>
        <v>Low</v>
      </c>
      <c r="J1502">
        <v>2.4500000000000002</v>
      </c>
      <c r="K1502">
        <f t="shared" si="166"/>
        <v>69.5</v>
      </c>
      <c r="L1502" t="str">
        <f t="shared" si="167"/>
        <v>November</v>
      </c>
      <c r="M1502">
        <f>YEAR(C1502)</f>
        <v>2024</v>
      </c>
      <c r="N1502">
        <v>27</v>
      </c>
      <c r="O1502" t="str">
        <f>IF(N1502&gt;=200,"Platinum",IF(N1502&gt;=100,"Gold",IF(N1502&gt;=50,"Silver","Regular")))</f>
        <v>Regular</v>
      </c>
      <c r="P1502" s="4" t="str">
        <f t="shared" si="162"/>
        <v>Wednesday</v>
      </c>
      <c r="Q1502" s="4" t="str">
        <f t="shared" si="163"/>
        <v>Medium Order</v>
      </c>
      <c r="R1502" s="4" t="str">
        <f t="shared" si="164"/>
        <v>Weekday</v>
      </c>
      <c r="S1502" s="4" t="str">
        <f t="shared" si="165"/>
        <v>Regular</v>
      </c>
    </row>
    <row r="1503" spans="1:19" x14ac:dyDescent="0.3">
      <c r="A1503">
        <v>4770</v>
      </c>
      <c r="B1503" t="s">
        <v>13</v>
      </c>
      <c r="C1503" s="1">
        <v>45616</v>
      </c>
      <c r="D1503" t="s">
        <v>27</v>
      </c>
      <c r="E1503" t="s">
        <v>7</v>
      </c>
      <c r="F1503">
        <v>3</v>
      </c>
      <c r="G1503">
        <v>27.35</v>
      </c>
      <c r="H1503">
        <v>82.05</v>
      </c>
      <c r="I1503" t="str">
        <f t="shared" si="161"/>
        <v>Low</v>
      </c>
      <c r="J1503">
        <v>2.77</v>
      </c>
      <c r="K1503">
        <f t="shared" si="166"/>
        <v>79.28</v>
      </c>
      <c r="L1503" t="str">
        <f t="shared" si="167"/>
        <v>November</v>
      </c>
      <c r="M1503">
        <f>YEAR(C1503)</f>
        <v>2024</v>
      </c>
      <c r="N1503">
        <v>246</v>
      </c>
      <c r="O1503" t="str">
        <f>IF(N1503&gt;=200,"Platinum",IF(N1503&gt;=100,"Gold",IF(N1503&gt;=50,"Silver","Regular")))</f>
        <v>Platinum</v>
      </c>
      <c r="P1503" s="4" t="str">
        <f t="shared" si="162"/>
        <v>Wednesday</v>
      </c>
      <c r="Q1503" s="4" t="str">
        <f t="shared" si="163"/>
        <v>Medium Order</v>
      </c>
      <c r="R1503" s="4" t="str">
        <f t="shared" si="164"/>
        <v>Weekday</v>
      </c>
      <c r="S1503" s="4" t="str">
        <f t="shared" si="165"/>
        <v>Regular</v>
      </c>
    </row>
    <row r="1504" spans="1:19" x14ac:dyDescent="0.3">
      <c r="A1504">
        <v>2657</v>
      </c>
      <c r="B1504" t="s">
        <v>20</v>
      </c>
      <c r="C1504" s="1">
        <v>45539</v>
      </c>
      <c r="D1504" t="s">
        <v>23</v>
      </c>
      <c r="E1504" t="s">
        <v>21</v>
      </c>
      <c r="F1504">
        <v>5</v>
      </c>
      <c r="G1504">
        <v>20.69</v>
      </c>
      <c r="H1504">
        <v>103.45</v>
      </c>
      <c r="I1504" t="str">
        <f t="shared" si="161"/>
        <v>Low</v>
      </c>
      <c r="J1504">
        <v>3.49</v>
      </c>
      <c r="K1504">
        <f t="shared" si="166"/>
        <v>99.960000000000008</v>
      </c>
      <c r="L1504" t="str">
        <f t="shared" si="167"/>
        <v>September</v>
      </c>
      <c r="M1504">
        <f>YEAR(C1504)</f>
        <v>2024</v>
      </c>
      <c r="N1504">
        <v>78</v>
      </c>
      <c r="O1504" t="str">
        <f>IF(N1504&gt;=200,"Platinum",IF(N1504&gt;=100,"Gold",IF(N1504&gt;=50,"Silver","Regular")))</f>
        <v>Silver</v>
      </c>
      <c r="P1504" s="4" t="str">
        <f t="shared" si="162"/>
        <v>Wednesday</v>
      </c>
      <c r="Q1504" s="4" t="str">
        <f t="shared" si="163"/>
        <v>Medium Order</v>
      </c>
      <c r="R1504" s="4" t="str">
        <f t="shared" si="164"/>
        <v>Weekday</v>
      </c>
      <c r="S1504" s="4" t="str">
        <f t="shared" si="165"/>
        <v>Regular</v>
      </c>
    </row>
    <row r="1505" spans="1:19" x14ac:dyDescent="0.3">
      <c r="A1505">
        <v>4450</v>
      </c>
      <c r="B1505" t="s">
        <v>25</v>
      </c>
      <c r="C1505" s="1">
        <v>45702</v>
      </c>
      <c r="D1505" t="s">
        <v>16</v>
      </c>
      <c r="E1505" t="s">
        <v>22</v>
      </c>
      <c r="F1505">
        <v>4</v>
      </c>
      <c r="G1505">
        <v>23.3</v>
      </c>
      <c r="H1505">
        <v>93.2</v>
      </c>
      <c r="I1505" t="str">
        <f t="shared" si="161"/>
        <v>Low</v>
      </c>
      <c r="J1505">
        <v>3.11</v>
      </c>
      <c r="K1505">
        <f t="shared" si="166"/>
        <v>90.09</v>
      </c>
      <c r="L1505" t="str">
        <f t="shared" si="167"/>
        <v>February</v>
      </c>
      <c r="M1505">
        <f>YEAR(C1505)</f>
        <v>2025</v>
      </c>
      <c r="N1505">
        <v>398</v>
      </c>
      <c r="O1505" t="str">
        <f>IF(N1505&gt;=200,"Platinum",IF(N1505&gt;=100,"Gold",IF(N1505&gt;=50,"Silver","Regular")))</f>
        <v>Platinum</v>
      </c>
      <c r="P1505" s="4" t="str">
        <f t="shared" si="162"/>
        <v>Friday</v>
      </c>
      <c r="Q1505" s="4" t="str">
        <f t="shared" si="163"/>
        <v>Medium Order</v>
      </c>
      <c r="R1505" s="4" t="str">
        <f t="shared" si="164"/>
        <v>Weekday</v>
      </c>
      <c r="S1505" s="4" t="str">
        <f t="shared" si="165"/>
        <v>Regular</v>
      </c>
    </row>
    <row r="1506" spans="1:19" x14ac:dyDescent="0.3">
      <c r="A1506">
        <v>8529</v>
      </c>
      <c r="B1506" t="s">
        <v>19</v>
      </c>
      <c r="C1506" s="1">
        <v>45157</v>
      </c>
      <c r="D1506" t="s">
        <v>4</v>
      </c>
      <c r="E1506" t="s">
        <v>36</v>
      </c>
      <c r="F1506">
        <v>5</v>
      </c>
      <c r="G1506">
        <v>18.579999999999998</v>
      </c>
      <c r="H1506">
        <v>92.9</v>
      </c>
      <c r="I1506" t="str">
        <f t="shared" si="161"/>
        <v>Low</v>
      </c>
      <c r="J1506">
        <v>3.08</v>
      </c>
      <c r="K1506">
        <f t="shared" si="166"/>
        <v>89.820000000000007</v>
      </c>
      <c r="L1506" t="str">
        <f t="shared" si="167"/>
        <v>August</v>
      </c>
      <c r="M1506">
        <f>YEAR(C1506)</f>
        <v>2023</v>
      </c>
      <c r="N1506">
        <v>289</v>
      </c>
      <c r="O1506" t="str">
        <f>IF(N1506&gt;=200,"Platinum",IF(N1506&gt;=100,"Gold",IF(N1506&gt;=50,"Silver","Regular")))</f>
        <v>Platinum</v>
      </c>
      <c r="P1506" s="4" t="str">
        <f t="shared" si="162"/>
        <v>Saturday</v>
      </c>
      <c r="Q1506" s="4" t="str">
        <f t="shared" si="163"/>
        <v>Medium Order</v>
      </c>
      <c r="R1506" s="4" t="str">
        <f t="shared" si="164"/>
        <v>Weekend</v>
      </c>
      <c r="S1506" s="4" t="str">
        <f t="shared" si="165"/>
        <v>Regular</v>
      </c>
    </row>
    <row r="1507" spans="1:19" x14ac:dyDescent="0.3">
      <c r="A1507">
        <v>4015</v>
      </c>
      <c r="B1507" t="s">
        <v>0</v>
      </c>
      <c r="C1507" s="1">
        <v>45857</v>
      </c>
      <c r="D1507" t="s">
        <v>16</v>
      </c>
      <c r="E1507" t="s">
        <v>36</v>
      </c>
      <c r="F1507">
        <v>4</v>
      </c>
      <c r="G1507">
        <v>28.9</v>
      </c>
      <c r="H1507">
        <v>115.6</v>
      </c>
      <c r="I1507" t="str">
        <f t="shared" si="161"/>
        <v>Low</v>
      </c>
      <c r="J1507">
        <v>3.83</v>
      </c>
      <c r="K1507">
        <f t="shared" si="166"/>
        <v>111.77</v>
      </c>
      <c r="L1507" t="str">
        <f t="shared" si="167"/>
        <v>July</v>
      </c>
      <c r="M1507">
        <f>YEAR(C1507)</f>
        <v>2025</v>
      </c>
      <c r="N1507">
        <v>310</v>
      </c>
      <c r="O1507" t="str">
        <f>IF(N1507&gt;=200,"Platinum",IF(N1507&gt;=100,"Gold",IF(N1507&gt;=50,"Silver","Regular")))</f>
        <v>Platinum</v>
      </c>
      <c r="P1507" s="4" t="str">
        <f t="shared" si="162"/>
        <v>Saturday</v>
      </c>
      <c r="Q1507" s="4" t="str">
        <f t="shared" si="163"/>
        <v>Medium Order</v>
      </c>
      <c r="R1507" s="4" t="str">
        <f t="shared" si="164"/>
        <v>Weekend</v>
      </c>
      <c r="S1507" s="4" t="str">
        <f t="shared" si="165"/>
        <v>High Value</v>
      </c>
    </row>
    <row r="1508" spans="1:19" x14ac:dyDescent="0.3">
      <c r="A1508">
        <v>7797</v>
      </c>
      <c r="B1508" t="s">
        <v>20</v>
      </c>
      <c r="C1508" s="1">
        <v>45461</v>
      </c>
      <c r="D1508" t="s">
        <v>24</v>
      </c>
      <c r="E1508" t="s">
        <v>5</v>
      </c>
      <c r="F1508">
        <v>4</v>
      </c>
      <c r="G1508">
        <v>23.59</v>
      </c>
      <c r="H1508">
        <v>94.36</v>
      </c>
      <c r="I1508" t="str">
        <f t="shared" si="161"/>
        <v>Low</v>
      </c>
      <c r="J1508">
        <v>3.08</v>
      </c>
      <c r="K1508">
        <f t="shared" si="166"/>
        <v>91.28</v>
      </c>
      <c r="L1508" t="str">
        <f t="shared" si="167"/>
        <v>June</v>
      </c>
      <c r="M1508">
        <f>YEAR(C1508)</f>
        <v>2024</v>
      </c>
      <c r="N1508">
        <v>371</v>
      </c>
      <c r="O1508" t="str">
        <f>IF(N1508&gt;=200,"Platinum",IF(N1508&gt;=100,"Gold",IF(N1508&gt;=50,"Silver","Regular")))</f>
        <v>Platinum</v>
      </c>
      <c r="P1508" s="4" t="str">
        <f t="shared" si="162"/>
        <v>Tuesday</v>
      </c>
      <c r="Q1508" s="4" t="str">
        <f t="shared" si="163"/>
        <v>Medium Order</v>
      </c>
      <c r="R1508" s="4" t="str">
        <f t="shared" si="164"/>
        <v>Weekday</v>
      </c>
      <c r="S1508" s="4" t="str">
        <f t="shared" si="165"/>
        <v>Regular</v>
      </c>
    </row>
    <row r="1509" spans="1:19" x14ac:dyDescent="0.3">
      <c r="A1509">
        <v>5891</v>
      </c>
      <c r="B1509" t="s">
        <v>15</v>
      </c>
      <c r="C1509" s="1">
        <v>45795</v>
      </c>
      <c r="D1509" t="s">
        <v>34</v>
      </c>
      <c r="E1509" t="s">
        <v>10</v>
      </c>
      <c r="F1509">
        <v>5</v>
      </c>
      <c r="G1509">
        <v>20.11</v>
      </c>
      <c r="H1509">
        <v>100.55</v>
      </c>
      <c r="I1509" t="str">
        <f t="shared" si="161"/>
        <v>Low</v>
      </c>
      <c r="J1509">
        <v>3.27</v>
      </c>
      <c r="K1509">
        <f t="shared" si="166"/>
        <v>97.28</v>
      </c>
      <c r="L1509" t="str">
        <f t="shared" si="167"/>
        <v>May</v>
      </c>
      <c r="M1509">
        <f>YEAR(C1509)</f>
        <v>2025</v>
      </c>
      <c r="N1509">
        <v>355</v>
      </c>
      <c r="O1509" t="str">
        <f>IF(N1509&gt;=200,"Platinum",IF(N1509&gt;=100,"Gold",IF(N1509&gt;=50,"Silver","Regular")))</f>
        <v>Platinum</v>
      </c>
      <c r="P1509" s="4" t="str">
        <f t="shared" si="162"/>
        <v>Sunday</v>
      </c>
      <c r="Q1509" s="4" t="str">
        <f t="shared" si="163"/>
        <v>Medium Order</v>
      </c>
      <c r="R1509" s="4" t="str">
        <f t="shared" si="164"/>
        <v>Weekend</v>
      </c>
      <c r="S1509" s="4" t="str">
        <f t="shared" si="165"/>
        <v>Regular</v>
      </c>
    </row>
    <row r="1510" spans="1:19" x14ac:dyDescent="0.3">
      <c r="A1510">
        <v>6400</v>
      </c>
      <c r="B1510" t="s">
        <v>0</v>
      </c>
      <c r="C1510" s="1">
        <v>45665</v>
      </c>
      <c r="D1510" t="s">
        <v>11</v>
      </c>
      <c r="E1510" t="s">
        <v>36</v>
      </c>
      <c r="F1510">
        <v>4</v>
      </c>
      <c r="G1510">
        <v>25.52</v>
      </c>
      <c r="H1510">
        <v>102.08</v>
      </c>
      <c r="I1510" t="str">
        <f t="shared" si="161"/>
        <v>Low</v>
      </c>
      <c r="J1510">
        <v>3.3</v>
      </c>
      <c r="K1510">
        <f t="shared" si="166"/>
        <v>98.78</v>
      </c>
      <c r="L1510" t="str">
        <f t="shared" si="167"/>
        <v>January</v>
      </c>
      <c r="M1510">
        <f>YEAR(C1510)</f>
        <v>2025</v>
      </c>
      <c r="N1510">
        <v>144</v>
      </c>
      <c r="O1510" t="str">
        <f>IF(N1510&gt;=200,"Platinum",IF(N1510&gt;=100,"Gold",IF(N1510&gt;=50,"Silver","Regular")))</f>
        <v>Gold</v>
      </c>
      <c r="P1510" s="4" t="str">
        <f t="shared" si="162"/>
        <v>Wednesday</v>
      </c>
      <c r="Q1510" s="4" t="str">
        <f t="shared" si="163"/>
        <v>Medium Order</v>
      </c>
      <c r="R1510" s="4" t="str">
        <f t="shared" si="164"/>
        <v>Weekday</v>
      </c>
      <c r="S1510" s="4" t="str">
        <f t="shared" si="165"/>
        <v>Regular</v>
      </c>
    </row>
    <row r="1511" spans="1:19" x14ac:dyDescent="0.3">
      <c r="A1511">
        <v>7209</v>
      </c>
      <c r="B1511" t="s">
        <v>31</v>
      </c>
      <c r="C1511" s="1">
        <v>45406</v>
      </c>
      <c r="D1511" t="s">
        <v>27</v>
      </c>
      <c r="E1511" t="s">
        <v>5</v>
      </c>
      <c r="F1511">
        <v>3</v>
      </c>
      <c r="G1511">
        <v>14.29</v>
      </c>
      <c r="H1511">
        <v>42.87</v>
      </c>
      <c r="I1511" t="str">
        <f t="shared" si="161"/>
        <v>Low</v>
      </c>
      <c r="J1511">
        <v>1.38</v>
      </c>
      <c r="K1511">
        <f t="shared" si="166"/>
        <v>41.489999999999995</v>
      </c>
      <c r="L1511" t="str">
        <f t="shared" si="167"/>
        <v>April</v>
      </c>
      <c r="M1511">
        <f>YEAR(C1511)</f>
        <v>2024</v>
      </c>
      <c r="N1511">
        <v>382</v>
      </c>
      <c r="O1511" t="str">
        <f>IF(N1511&gt;=200,"Platinum",IF(N1511&gt;=100,"Gold",IF(N1511&gt;=50,"Silver","Regular")))</f>
        <v>Platinum</v>
      </c>
      <c r="P1511" s="4" t="str">
        <f t="shared" si="162"/>
        <v>Wednesday</v>
      </c>
      <c r="Q1511" s="4" t="str">
        <f t="shared" si="163"/>
        <v>Medium Order</v>
      </c>
      <c r="R1511" s="4" t="str">
        <f t="shared" si="164"/>
        <v>Weekday</v>
      </c>
      <c r="S1511" s="4" t="str">
        <f t="shared" si="165"/>
        <v>Regular</v>
      </c>
    </row>
    <row r="1512" spans="1:19" x14ac:dyDescent="0.3">
      <c r="A1512">
        <v>7179</v>
      </c>
      <c r="B1512" t="s">
        <v>20</v>
      </c>
      <c r="C1512" s="1">
        <v>45574</v>
      </c>
      <c r="D1512" t="s">
        <v>17</v>
      </c>
      <c r="E1512" t="s">
        <v>10</v>
      </c>
      <c r="F1512">
        <v>3</v>
      </c>
      <c r="G1512">
        <v>24.49</v>
      </c>
      <c r="H1512">
        <v>73.47</v>
      </c>
      <c r="I1512" t="str">
        <f t="shared" si="161"/>
        <v>Low</v>
      </c>
      <c r="J1512">
        <v>2.36</v>
      </c>
      <c r="K1512">
        <f t="shared" si="166"/>
        <v>71.11</v>
      </c>
      <c r="L1512" t="str">
        <f t="shared" si="167"/>
        <v>October</v>
      </c>
      <c r="M1512">
        <f>YEAR(C1512)</f>
        <v>2024</v>
      </c>
      <c r="N1512">
        <v>302</v>
      </c>
      <c r="O1512" t="str">
        <f>IF(N1512&gt;=200,"Platinum",IF(N1512&gt;=100,"Gold",IF(N1512&gt;=50,"Silver","Regular")))</f>
        <v>Platinum</v>
      </c>
      <c r="P1512" s="4" t="str">
        <f t="shared" si="162"/>
        <v>Wednesday</v>
      </c>
      <c r="Q1512" s="4" t="str">
        <f t="shared" si="163"/>
        <v>Medium Order</v>
      </c>
      <c r="R1512" s="4" t="str">
        <f t="shared" si="164"/>
        <v>Weekday</v>
      </c>
      <c r="S1512" s="4" t="str">
        <f t="shared" si="165"/>
        <v>Regular</v>
      </c>
    </row>
    <row r="1513" spans="1:19" x14ac:dyDescent="0.3">
      <c r="A1513">
        <v>7126</v>
      </c>
      <c r="B1513" t="s">
        <v>15</v>
      </c>
      <c r="C1513" s="1">
        <v>45737</v>
      </c>
      <c r="D1513" t="s">
        <v>6</v>
      </c>
      <c r="E1513" t="s">
        <v>22</v>
      </c>
      <c r="F1513">
        <v>5</v>
      </c>
      <c r="G1513">
        <v>18.690000000000001</v>
      </c>
      <c r="H1513">
        <v>93.45</v>
      </c>
      <c r="I1513" t="str">
        <f t="shared" si="161"/>
        <v>Low</v>
      </c>
      <c r="J1513">
        <v>2.98</v>
      </c>
      <c r="K1513">
        <f t="shared" si="166"/>
        <v>90.47</v>
      </c>
      <c r="L1513" t="str">
        <f t="shared" si="167"/>
        <v>March</v>
      </c>
      <c r="M1513">
        <f>YEAR(C1513)</f>
        <v>2025</v>
      </c>
      <c r="N1513">
        <v>194</v>
      </c>
      <c r="O1513" t="str">
        <f>IF(N1513&gt;=200,"Platinum",IF(N1513&gt;=100,"Gold",IF(N1513&gt;=50,"Silver","Regular")))</f>
        <v>Gold</v>
      </c>
      <c r="P1513" s="4" t="str">
        <f t="shared" si="162"/>
        <v>Friday</v>
      </c>
      <c r="Q1513" s="4" t="str">
        <f t="shared" si="163"/>
        <v>Medium Order</v>
      </c>
      <c r="R1513" s="4" t="str">
        <f t="shared" si="164"/>
        <v>Weekday</v>
      </c>
      <c r="S1513" s="4" t="str">
        <f t="shared" si="165"/>
        <v>Regular</v>
      </c>
    </row>
    <row r="1514" spans="1:19" x14ac:dyDescent="0.3">
      <c r="A1514">
        <v>1672</v>
      </c>
      <c r="B1514" t="s">
        <v>0</v>
      </c>
      <c r="C1514" s="1">
        <v>45414</v>
      </c>
      <c r="D1514" t="s">
        <v>27</v>
      </c>
      <c r="E1514" t="s">
        <v>28</v>
      </c>
      <c r="F1514">
        <v>3</v>
      </c>
      <c r="G1514">
        <v>28.07</v>
      </c>
      <c r="H1514">
        <v>84.21</v>
      </c>
      <c r="I1514" t="str">
        <f t="shared" si="161"/>
        <v>Low</v>
      </c>
      <c r="J1514">
        <v>2.68</v>
      </c>
      <c r="K1514">
        <f t="shared" si="166"/>
        <v>81.529999999999987</v>
      </c>
      <c r="L1514" t="str">
        <f t="shared" si="167"/>
        <v>May</v>
      </c>
      <c r="M1514">
        <f>YEAR(C1514)</f>
        <v>2024</v>
      </c>
      <c r="N1514">
        <v>67</v>
      </c>
      <c r="O1514" t="str">
        <f>IF(N1514&gt;=200,"Platinum",IF(N1514&gt;=100,"Gold",IF(N1514&gt;=50,"Silver","Regular")))</f>
        <v>Silver</v>
      </c>
      <c r="P1514" s="4" t="str">
        <f t="shared" si="162"/>
        <v>Thursday</v>
      </c>
      <c r="Q1514" s="4" t="str">
        <f t="shared" si="163"/>
        <v>Medium Order</v>
      </c>
      <c r="R1514" s="4" t="str">
        <f t="shared" si="164"/>
        <v>Weekday</v>
      </c>
      <c r="S1514" s="4" t="str">
        <f t="shared" si="165"/>
        <v>Regular</v>
      </c>
    </row>
    <row r="1515" spans="1:19" x14ac:dyDescent="0.3">
      <c r="A1515">
        <v>9366</v>
      </c>
      <c r="B1515" t="s">
        <v>25</v>
      </c>
      <c r="C1515" s="1">
        <v>45725</v>
      </c>
      <c r="D1515" t="s">
        <v>23</v>
      </c>
      <c r="E1515" t="s">
        <v>21</v>
      </c>
      <c r="F1515">
        <v>3</v>
      </c>
      <c r="G1515">
        <v>27.03</v>
      </c>
      <c r="H1515">
        <v>81.09</v>
      </c>
      <c r="I1515" t="str">
        <f t="shared" si="161"/>
        <v>Low</v>
      </c>
      <c r="J1515">
        <v>2.58</v>
      </c>
      <c r="K1515">
        <f t="shared" si="166"/>
        <v>78.510000000000005</v>
      </c>
      <c r="L1515" t="str">
        <f t="shared" si="167"/>
        <v>March</v>
      </c>
      <c r="M1515">
        <f>YEAR(C1515)</f>
        <v>2025</v>
      </c>
      <c r="N1515">
        <v>419</v>
      </c>
      <c r="O1515" t="str">
        <f>IF(N1515&gt;=200,"Platinum",IF(N1515&gt;=100,"Gold",IF(N1515&gt;=50,"Silver","Regular")))</f>
        <v>Platinum</v>
      </c>
      <c r="P1515" s="4" t="str">
        <f t="shared" si="162"/>
        <v>Sunday</v>
      </c>
      <c r="Q1515" s="4" t="str">
        <f t="shared" si="163"/>
        <v>Medium Order</v>
      </c>
      <c r="R1515" s="4" t="str">
        <f t="shared" si="164"/>
        <v>Weekend</v>
      </c>
      <c r="S1515" s="4" t="str">
        <f t="shared" si="165"/>
        <v>Regular</v>
      </c>
    </row>
    <row r="1516" spans="1:19" x14ac:dyDescent="0.3">
      <c r="A1516">
        <v>6241</v>
      </c>
      <c r="B1516" t="s">
        <v>8</v>
      </c>
      <c r="C1516" s="1">
        <v>45355</v>
      </c>
      <c r="D1516" t="s">
        <v>11</v>
      </c>
      <c r="E1516" t="s">
        <v>26</v>
      </c>
      <c r="F1516">
        <v>5</v>
      </c>
      <c r="G1516">
        <v>13.43</v>
      </c>
      <c r="H1516">
        <v>67.150000000000006</v>
      </c>
      <c r="I1516" t="str">
        <f t="shared" si="161"/>
        <v>Low</v>
      </c>
      <c r="J1516">
        <v>2.13</v>
      </c>
      <c r="K1516">
        <f t="shared" si="166"/>
        <v>65.02000000000001</v>
      </c>
      <c r="L1516" t="str">
        <f t="shared" si="167"/>
        <v>March</v>
      </c>
      <c r="M1516">
        <f>YEAR(C1516)</f>
        <v>2024</v>
      </c>
      <c r="N1516">
        <v>62</v>
      </c>
      <c r="O1516" t="str">
        <f>IF(N1516&gt;=200,"Platinum",IF(N1516&gt;=100,"Gold",IF(N1516&gt;=50,"Silver","Regular")))</f>
        <v>Silver</v>
      </c>
      <c r="P1516" s="4" t="str">
        <f t="shared" si="162"/>
        <v>Monday</v>
      </c>
      <c r="Q1516" s="4" t="str">
        <f t="shared" si="163"/>
        <v>Medium Order</v>
      </c>
      <c r="R1516" s="4" t="str">
        <f t="shared" si="164"/>
        <v>Weekday</v>
      </c>
      <c r="S1516" s="4" t="str">
        <f t="shared" si="165"/>
        <v>Regular</v>
      </c>
    </row>
    <row r="1517" spans="1:19" x14ac:dyDescent="0.3">
      <c r="A1517">
        <v>5668</v>
      </c>
      <c r="B1517" t="s">
        <v>13</v>
      </c>
      <c r="C1517" s="1">
        <v>45729</v>
      </c>
      <c r="D1517" t="s">
        <v>17</v>
      </c>
      <c r="E1517" t="s">
        <v>35</v>
      </c>
      <c r="F1517">
        <v>4</v>
      </c>
      <c r="G1517">
        <v>8.7200000000000006</v>
      </c>
      <c r="H1517">
        <v>34.880000000000003</v>
      </c>
      <c r="I1517" t="str">
        <f t="shared" si="161"/>
        <v>Low</v>
      </c>
      <c r="J1517">
        <v>1.0900000000000001</v>
      </c>
      <c r="K1517">
        <f t="shared" si="166"/>
        <v>33.79</v>
      </c>
      <c r="L1517" t="str">
        <f t="shared" si="167"/>
        <v>March</v>
      </c>
      <c r="M1517">
        <f>YEAR(C1517)</f>
        <v>2025</v>
      </c>
      <c r="N1517">
        <v>356</v>
      </c>
      <c r="O1517" t="str">
        <f>IF(N1517&gt;=200,"Platinum",IF(N1517&gt;=100,"Gold",IF(N1517&gt;=50,"Silver","Regular")))</f>
        <v>Platinum</v>
      </c>
      <c r="P1517" s="4" t="str">
        <f t="shared" si="162"/>
        <v>Thursday</v>
      </c>
      <c r="Q1517" s="4" t="str">
        <f t="shared" si="163"/>
        <v>Medium Order</v>
      </c>
      <c r="R1517" s="4" t="str">
        <f t="shared" si="164"/>
        <v>Weekday</v>
      </c>
      <c r="S1517" s="4" t="str">
        <f t="shared" si="165"/>
        <v>Regular</v>
      </c>
    </row>
    <row r="1518" spans="1:19" x14ac:dyDescent="0.3">
      <c r="A1518">
        <v>1841</v>
      </c>
      <c r="B1518" t="s">
        <v>8</v>
      </c>
      <c r="C1518" s="1">
        <v>45341</v>
      </c>
      <c r="D1518" t="s">
        <v>17</v>
      </c>
      <c r="E1518" t="s">
        <v>2</v>
      </c>
      <c r="F1518">
        <v>3</v>
      </c>
      <c r="G1518">
        <v>27.4</v>
      </c>
      <c r="H1518">
        <v>82.2</v>
      </c>
      <c r="I1518" t="str">
        <f t="shared" si="161"/>
        <v>Low</v>
      </c>
      <c r="J1518">
        <v>2.5499999999999998</v>
      </c>
      <c r="K1518">
        <f t="shared" si="166"/>
        <v>79.650000000000006</v>
      </c>
      <c r="L1518" t="str">
        <f t="shared" si="167"/>
        <v>February</v>
      </c>
      <c r="M1518">
        <f>YEAR(C1518)</f>
        <v>2024</v>
      </c>
      <c r="N1518">
        <v>468</v>
      </c>
      <c r="O1518" t="str">
        <f>IF(N1518&gt;=200,"Platinum",IF(N1518&gt;=100,"Gold",IF(N1518&gt;=50,"Silver","Regular")))</f>
        <v>Platinum</v>
      </c>
      <c r="P1518" s="4" t="str">
        <f t="shared" si="162"/>
        <v>Monday</v>
      </c>
      <c r="Q1518" s="4" t="str">
        <f t="shared" si="163"/>
        <v>Medium Order</v>
      </c>
      <c r="R1518" s="4" t="str">
        <f t="shared" si="164"/>
        <v>Weekday</v>
      </c>
      <c r="S1518" s="4" t="str">
        <f t="shared" si="165"/>
        <v>Regular</v>
      </c>
    </row>
    <row r="1519" spans="1:19" x14ac:dyDescent="0.3">
      <c r="A1519">
        <v>6049</v>
      </c>
      <c r="B1519" t="s">
        <v>13</v>
      </c>
      <c r="C1519" s="1">
        <v>45706</v>
      </c>
      <c r="D1519" t="s">
        <v>34</v>
      </c>
      <c r="E1519" t="s">
        <v>32</v>
      </c>
      <c r="F1519">
        <v>3</v>
      </c>
      <c r="G1519">
        <v>14.5</v>
      </c>
      <c r="H1519">
        <v>43.5</v>
      </c>
      <c r="I1519" t="str">
        <f t="shared" si="161"/>
        <v>Low</v>
      </c>
      <c r="J1519">
        <v>1.34</v>
      </c>
      <c r="K1519">
        <f t="shared" si="166"/>
        <v>42.16</v>
      </c>
      <c r="L1519" t="str">
        <f t="shared" si="167"/>
        <v>February</v>
      </c>
      <c r="M1519">
        <f>YEAR(C1519)</f>
        <v>2025</v>
      </c>
      <c r="N1519">
        <v>328</v>
      </c>
      <c r="O1519" t="str">
        <f>IF(N1519&gt;=200,"Platinum",IF(N1519&gt;=100,"Gold",IF(N1519&gt;=50,"Silver","Regular")))</f>
        <v>Platinum</v>
      </c>
      <c r="P1519" s="4" t="str">
        <f t="shared" si="162"/>
        <v>Tuesday</v>
      </c>
      <c r="Q1519" s="4" t="str">
        <f t="shared" si="163"/>
        <v>Medium Order</v>
      </c>
      <c r="R1519" s="4" t="str">
        <f t="shared" si="164"/>
        <v>Weekday</v>
      </c>
      <c r="S1519" s="4" t="str">
        <f t="shared" si="165"/>
        <v>Regular</v>
      </c>
    </row>
    <row r="1520" spans="1:19" x14ac:dyDescent="0.3">
      <c r="A1520">
        <v>9618</v>
      </c>
      <c r="B1520" t="s">
        <v>25</v>
      </c>
      <c r="C1520" s="1">
        <v>45567</v>
      </c>
      <c r="D1520" t="s">
        <v>17</v>
      </c>
      <c r="E1520" t="s">
        <v>18</v>
      </c>
      <c r="F1520">
        <v>4</v>
      </c>
      <c r="G1520">
        <v>19.28</v>
      </c>
      <c r="H1520">
        <v>77.12</v>
      </c>
      <c r="I1520" t="str">
        <f t="shared" si="161"/>
        <v>Low</v>
      </c>
      <c r="J1520">
        <v>2.37</v>
      </c>
      <c r="K1520">
        <f t="shared" si="166"/>
        <v>74.75</v>
      </c>
      <c r="L1520" t="str">
        <f t="shared" si="167"/>
        <v>October</v>
      </c>
      <c r="M1520">
        <f>YEAR(C1520)</f>
        <v>2024</v>
      </c>
      <c r="N1520">
        <v>47</v>
      </c>
      <c r="O1520" t="str">
        <f>IF(N1520&gt;=200,"Platinum",IF(N1520&gt;=100,"Gold",IF(N1520&gt;=50,"Silver","Regular")))</f>
        <v>Regular</v>
      </c>
      <c r="P1520" s="4" t="str">
        <f t="shared" si="162"/>
        <v>Wednesday</v>
      </c>
      <c r="Q1520" s="4" t="str">
        <f t="shared" si="163"/>
        <v>Medium Order</v>
      </c>
      <c r="R1520" s="4" t="str">
        <f t="shared" si="164"/>
        <v>Weekday</v>
      </c>
      <c r="S1520" s="4" t="str">
        <f t="shared" si="165"/>
        <v>Regular</v>
      </c>
    </row>
    <row r="1521" spans="1:19" x14ac:dyDescent="0.3">
      <c r="A1521">
        <v>5902</v>
      </c>
      <c r="B1521" t="s">
        <v>8</v>
      </c>
      <c r="C1521" s="1">
        <v>45251</v>
      </c>
      <c r="D1521" t="s">
        <v>6</v>
      </c>
      <c r="E1521" t="s">
        <v>14</v>
      </c>
      <c r="F1521">
        <v>5</v>
      </c>
      <c r="G1521">
        <v>23.43</v>
      </c>
      <c r="H1521">
        <v>117.15</v>
      </c>
      <c r="I1521" t="str">
        <f t="shared" si="161"/>
        <v>Low</v>
      </c>
      <c r="J1521">
        <v>3.6</v>
      </c>
      <c r="K1521">
        <f t="shared" si="166"/>
        <v>113.55000000000001</v>
      </c>
      <c r="L1521" t="str">
        <f t="shared" si="167"/>
        <v>November</v>
      </c>
      <c r="M1521">
        <f>YEAR(C1521)</f>
        <v>2023</v>
      </c>
      <c r="N1521">
        <v>91</v>
      </c>
      <c r="O1521" t="str">
        <f>IF(N1521&gt;=200,"Platinum",IF(N1521&gt;=100,"Gold",IF(N1521&gt;=50,"Silver","Regular")))</f>
        <v>Silver</v>
      </c>
      <c r="P1521" s="4" t="str">
        <f t="shared" si="162"/>
        <v>Tuesday</v>
      </c>
      <c r="Q1521" s="4" t="str">
        <f t="shared" si="163"/>
        <v>Medium Order</v>
      </c>
      <c r="R1521" s="4" t="str">
        <f t="shared" si="164"/>
        <v>Weekday</v>
      </c>
      <c r="S1521" s="4" t="str">
        <f t="shared" si="165"/>
        <v>High Value</v>
      </c>
    </row>
    <row r="1522" spans="1:19" x14ac:dyDescent="0.3">
      <c r="A1522">
        <v>8136</v>
      </c>
      <c r="B1522" t="s">
        <v>20</v>
      </c>
      <c r="C1522" s="1">
        <v>45786</v>
      </c>
      <c r="D1522" t="s">
        <v>23</v>
      </c>
      <c r="E1522" t="s">
        <v>14</v>
      </c>
      <c r="F1522">
        <v>5</v>
      </c>
      <c r="G1522">
        <v>29.45</v>
      </c>
      <c r="H1522">
        <v>147.25</v>
      </c>
      <c r="I1522" t="str">
        <f t="shared" si="161"/>
        <v>Low</v>
      </c>
      <c r="J1522">
        <v>4.51</v>
      </c>
      <c r="K1522">
        <f t="shared" si="166"/>
        <v>142.74</v>
      </c>
      <c r="L1522" t="str">
        <f t="shared" si="167"/>
        <v>May</v>
      </c>
      <c r="M1522">
        <f>YEAR(C1522)</f>
        <v>2025</v>
      </c>
      <c r="N1522">
        <v>488</v>
      </c>
      <c r="O1522" t="str">
        <f>IF(N1522&gt;=200,"Platinum",IF(N1522&gt;=100,"Gold",IF(N1522&gt;=50,"Silver","Regular")))</f>
        <v>Platinum</v>
      </c>
      <c r="P1522" s="4" t="str">
        <f t="shared" si="162"/>
        <v>Friday</v>
      </c>
      <c r="Q1522" s="4" t="str">
        <f t="shared" si="163"/>
        <v>Medium Order</v>
      </c>
      <c r="R1522" s="4" t="str">
        <f t="shared" si="164"/>
        <v>Weekday</v>
      </c>
      <c r="S1522" s="4" t="str">
        <f t="shared" si="165"/>
        <v>High Value</v>
      </c>
    </row>
    <row r="1523" spans="1:19" x14ac:dyDescent="0.3">
      <c r="A1523">
        <v>3194</v>
      </c>
      <c r="B1523" t="s">
        <v>15</v>
      </c>
      <c r="C1523" s="1">
        <v>45830</v>
      </c>
      <c r="D1523" t="s">
        <v>1</v>
      </c>
      <c r="E1523" t="s">
        <v>21</v>
      </c>
      <c r="F1523">
        <v>4</v>
      </c>
      <c r="G1523">
        <v>25.76</v>
      </c>
      <c r="H1523">
        <v>103.04</v>
      </c>
      <c r="I1523" t="str">
        <f t="shared" si="161"/>
        <v>Low</v>
      </c>
      <c r="J1523">
        <v>3.15</v>
      </c>
      <c r="K1523">
        <f t="shared" si="166"/>
        <v>99.89</v>
      </c>
      <c r="L1523" t="str">
        <f t="shared" si="167"/>
        <v>June</v>
      </c>
      <c r="M1523">
        <f>YEAR(C1523)</f>
        <v>2025</v>
      </c>
      <c r="N1523">
        <v>388</v>
      </c>
      <c r="O1523" t="str">
        <f>IF(N1523&gt;=200,"Platinum",IF(N1523&gt;=100,"Gold",IF(N1523&gt;=50,"Silver","Regular")))</f>
        <v>Platinum</v>
      </c>
      <c r="P1523" s="4" t="str">
        <f t="shared" si="162"/>
        <v>Sunday</v>
      </c>
      <c r="Q1523" s="4" t="str">
        <f t="shared" si="163"/>
        <v>Medium Order</v>
      </c>
      <c r="R1523" s="4" t="str">
        <f t="shared" si="164"/>
        <v>Weekend</v>
      </c>
      <c r="S1523" s="4" t="str">
        <f t="shared" si="165"/>
        <v>Regular</v>
      </c>
    </row>
    <row r="1524" spans="1:19" x14ac:dyDescent="0.3">
      <c r="A1524">
        <v>1510</v>
      </c>
      <c r="B1524" t="s">
        <v>0</v>
      </c>
      <c r="C1524" s="1">
        <v>45192</v>
      </c>
      <c r="D1524" t="s">
        <v>1</v>
      </c>
      <c r="E1524" t="s">
        <v>37</v>
      </c>
      <c r="F1524">
        <v>4</v>
      </c>
      <c r="G1524">
        <v>29.81</v>
      </c>
      <c r="H1524">
        <v>119.24</v>
      </c>
      <c r="I1524" t="str">
        <f t="shared" si="161"/>
        <v>Low</v>
      </c>
      <c r="J1524">
        <v>3.64</v>
      </c>
      <c r="K1524">
        <f t="shared" si="166"/>
        <v>115.6</v>
      </c>
      <c r="L1524" t="str">
        <f t="shared" si="167"/>
        <v>September</v>
      </c>
      <c r="M1524">
        <f>YEAR(C1524)</f>
        <v>2023</v>
      </c>
      <c r="N1524">
        <v>82</v>
      </c>
      <c r="O1524" t="str">
        <f>IF(N1524&gt;=200,"Platinum",IF(N1524&gt;=100,"Gold",IF(N1524&gt;=50,"Silver","Regular")))</f>
        <v>Silver</v>
      </c>
      <c r="P1524" s="4" t="str">
        <f t="shared" si="162"/>
        <v>Saturday</v>
      </c>
      <c r="Q1524" s="4" t="str">
        <f t="shared" si="163"/>
        <v>Medium Order</v>
      </c>
      <c r="R1524" s="4" t="str">
        <f t="shared" si="164"/>
        <v>Weekend</v>
      </c>
      <c r="S1524" s="4" t="str">
        <f t="shared" si="165"/>
        <v>High Value</v>
      </c>
    </row>
    <row r="1525" spans="1:19" x14ac:dyDescent="0.3">
      <c r="A1525">
        <v>9641</v>
      </c>
      <c r="B1525" t="s">
        <v>15</v>
      </c>
      <c r="C1525" s="1">
        <v>45470</v>
      </c>
      <c r="D1525" t="s">
        <v>24</v>
      </c>
      <c r="E1525" t="s">
        <v>7</v>
      </c>
      <c r="F1525">
        <v>5</v>
      </c>
      <c r="G1525">
        <v>25.72</v>
      </c>
      <c r="H1525">
        <v>128.6</v>
      </c>
      <c r="I1525" t="str">
        <f t="shared" si="161"/>
        <v>Low</v>
      </c>
      <c r="J1525">
        <v>3.91</v>
      </c>
      <c r="K1525">
        <f t="shared" si="166"/>
        <v>124.69</v>
      </c>
      <c r="L1525" t="str">
        <f t="shared" si="167"/>
        <v>June</v>
      </c>
      <c r="M1525">
        <f>YEAR(C1525)</f>
        <v>2024</v>
      </c>
      <c r="N1525">
        <v>464</v>
      </c>
      <c r="O1525" t="str">
        <f>IF(N1525&gt;=200,"Platinum",IF(N1525&gt;=100,"Gold",IF(N1525&gt;=50,"Silver","Regular")))</f>
        <v>Platinum</v>
      </c>
      <c r="P1525" s="4" t="str">
        <f t="shared" si="162"/>
        <v>Thursday</v>
      </c>
      <c r="Q1525" s="4" t="str">
        <f t="shared" si="163"/>
        <v>Medium Order</v>
      </c>
      <c r="R1525" s="4" t="str">
        <f t="shared" si="164"/>
        <v>Weekday</v>
      </c>
      <c r="S1525" s="4" t="str">
        <f t="shared" si="165"/>
        <v>High Value</v>
      </c>
    </row>
    <row r="1526" spans="1:19" x14ac:dyDescent="0.3">
      <c r="A1526">
        <v>6909</v>
      </c>
      <c r="B1526" t="s">
        <v>31</v>
      </c>
      <c r="C1526" s="1">
        <v>45227</v>
      </c>
      <c r="D1526" t="s">
        <v>24</v>
      </c>
      <c r="E1526" t="s">
        <v>36</v>
      </c>
      <c r="F1526">
        <v>4</v>
      </c>
      <c r="G1526">
        <v>24.1</v>
      </c>
      <c r="H1526">
        <v>96.4</v>
      </c>
      <c r="I1526" t="str">
        <f t="shared" si="161"/>
        <v>Low</v>
      </c>
      <c r="J1526">
        <v>2.92</v>
      </c>
      <c r="K1526">
        <f t="shared" si="166"/>
        <v>93.48</v>
      </c>
      <c r="L1526" t="str">
        <f t="shared" si="167"/>
        <v>October</v>
      </c>
      <c r="M1526">
        <f>YEAR(C1526)</f>
        <v>2023</v>
      </c>
      <c r="N1526">
        <v>200</v>
      </c>
      <c r="O1526" t="str">
        <f>IF(N1526&gt;=200,"Platinum",IF(N1526&gt;=100,"Gold",IF(N1526&gt;=50,"Silver","Regular")))</f>
        <v>Platinum</v>
      </c>
      <c r="P1526" s="4" t="str">
        <f t="shared" si="162"/>
        <v>Saturday</v>
      </c>
      <c r="Q1526" s="4" t="str">
        <f t="shared" si="163"/>
        <v>Medium Order</v>
      </c>
      <c r="R1526" s="4" t="str">
        <f t="shared" si="164"/>
        <v>Weekend</v>
      </c>
      <c r="S1526" s="4" t="str">
        <f t="shared" si="165"/>
        <v>Regular</v>
      </c>
    </row>
    <row r="1527" spans="1:19" x14ac:dyDescent="0.3">
      <c r="A1527">
        <v>5658</v>
      </c>
      <c r="B1527" t="s">
        <v>15</v>
      </c>
      <c r="C1527" s="1">
        <v>45509</v>
      </c>
      <c r="D1527" t="s">
        <v>24</v>
      </c>
      <c r="E1527" t="s">
        <v>32</v>
      </c>
      <c r="F1527">
        <v>4</v>
      </c>
      <c r="G1527">
        <v>27.17</v>
      </c>
      <c r="H1527">
        <v>108.68</v>
      </c>
      <c r="I1527" t="str">
        <f t="shared" si="161"/>
        <v>Low</v>
      </c>
      <c r="J1527">
        <v>3.28</v>
      </c>
      <c r="K1527">
        <f t="shared" si="166"/>
        <v>105.4</v>
      </c>
      <c r="L1527" t="str">
        <f t="shared" si="167"/>
        <v>August</v>
      </c>
      <c r="M1527">
        <f>YEAR(C1527)</f>
        <v>2024</v>
      </c>
      <c r="N1527">
        <v>365</v>
      </c>
      <c r="O1527" t="str">
        <f>IF(N1527&gt;=200,"Platinum",IF(N1527&gt;=100,"Gold",IF(N1527&gt;=50,"Silver","Regular")))</f>
        <v>Platinum</v>
      </c>
      <c r="P1527" s="4" t="str">
        <f t="shared" si="162"/>
        <v>Monday</v>
      </c>
      <c r="Q1527" s="4" t="str">
        <f t="shared" si="163"/>
        <v>Medium Order</v>
      </c>
      <c r="R1527" s="4" t="str">
        <f t="shared" si="164"/>
        <v>Weekday</v>
      </c>
      <c r="S1527" s="4" t="str">
        <f t="shared" si="165"/>
        <v>High Value</v>
      </c>
    </row>
    <row r="1528" spans="1:19" x14ac:dyDescent="0.3">
      <c r="A1528">
        <v>3144</v>
      </c>
      <c r="B1528" t="s">
        <v>13</v>
      </c>
      <c r="C1528" s="1">
        <v>45666</v>
      </c>
      <c r="D1528" t="s">
        <v>27</v>
      </c>
      <c r="E1528" t="s">
        <v>14</v>
      </c>
      <c r="F1528">
        <v>5</v>
      </c>
      <c r="G1528">
        <v>17.190000000000001</v>
      </c>
      <c r="H1528">
        <v>85.95</v>
      </c>
      <c r="I1528" t="str">
        <f t="shared" si="161"/>
        <v>Low</v>
      </c>
      <c r="J1528">
        <v>2.59</v>
      </c>
      <c r="K1528">
        <f t="shared" si="166"/>
        <v>83.36</v>
      </c>
      <c r="L1528" t="str">
        <f t="shared" si="167"/>
        <v>January</v>
      </c>
      <c r="M1528">
        <f>YEAR(C1528)</f>
        <v>2025</v>
      </c>
      <c r="N1528">
        <v>342</v>
      </c>
      <c r="O1528" t="str">
        <f>IF(N1528&gt;=200,"Platinum",IF(N1528&gt;=100,"Gold",IF(N1528&gt;=50,"Silver","Regular")))</f>
        <v>Platinum</v>
      </c>
      <c r="P1528" s="4" t="str">
        <f t="shared" si="162"/>
        <v>Thursday</v>
      </c>
      <c r="Q1528" s="4" t="str">
        <f t="shared" si="163"/>
        <v>Medium Order</v>
      </c>
      <c r="R1528" s="4" t="str">
        <f t="shared" si="164"/>
        <v>Weekday</v>
      </c>
      <c r="S1528" s="4" t="str">
        <f t="shared" si="165"/>
        <v>Regular</v>
      </c>
    </row>
    <row r="1529" spans="1:19" x14ac:dyDescent="0.3">
      <c r="A1529">
        <v>6442</v>
      </c>
      <c r="B1529" t="s">
        <v>31</v>
      </c>
      <c r="C1529" s="1">
        <v>45752</v>
      </c>
      <c r="D1529" t="s">
        <v>34</v>
      </c>
      <c r="E1529" t="s">
        <v>28</v>
      </c>
      <c r="F1529">
        <v>3</v>
      </c>
      <c r="G1529">
        <v>17.059999999999999</v>
      </c>
      <c r="H1529">
        <v>51.18</v>
      </c>
      <c r="I1529" t="str">
        <f t="shared" si="161"/>
        <v>Low</v>
      </c>
      <c r="J1529">
        <v>1.52</v>
      </c>
      <c r="K1529">
        <f t="shared" si="166"/>
        <v>49.66</v>
      </c>
      <c r="L1529" t="str">
        <f t="shared" si="167"/>
        <v>April</v>
      </c>
      <c r="M1529">
        <f>YEAR(C1529)</f>
        <v>2025</v>
      </c>
      <c r="N1529">
        <v>188</v>
      </c>
      <c r="O1529" t="str">
        <f>IF(N1529&gt;=200,"Platinum",IF(N1529&gt;=100,"Gold",IF(N1529&gt;=50,"Silver","Regular")))</f>
        <v>Gold</v>
      </c>
      <c r="P1529" s="4" t="str">
        <f t="shared" si="162"/>
        <v>Saturday</v>
      </c>
      <c r="Q1529" s="4" t="str">
        <f t="shared" si="163"/>
        <v>Medium Order</v>
      </c>
      <c r="R1529" s="4" t="str">
        <f t="shared" si="164"/>
        <v>Weekend</v>
      </c>
      <c r="S1529" s="4" t="str">
        <f t="shared" si="165"/>
        <v>Regular</v>
      </c>
    </row>
    <row r="1530" spans="1:19" x14ac:dyDescent="0.3">
      <c r="A1530">
        <v>8311</v>
      </c>
      <c r="B1530" t="s">
        <v>0</v>
      </c>
      <c r="C1530" s="1">
        <v>45311</v>
      </c>
      <c r="D1530" t="s">
        <v>27</v>
      </c>
      <c r="E1530" t="s">
        <v>28</v>
      </c>
      <c r="F1530">
        <v>4</v>
      </c>
      <c r="G1530">
        <v>20.49</v>
      </c>
      <c r="H1530">
        <v>81.96</v>
      </c>
      <c r="I1530" t="str">
        <f t="shared" si="161"/>
        <v>Low</v>
      </c>
      <c r="J1530">
        <v>2.4300000000000002</v>
      </c>
      <c r="K1530">
        <f t="shared" si="166"/>
        <v>79.529999999999987</v>
      </c>
      <c r="L1530" t="str">
        <f t="shared" si="167"/>
        <v>January</v>
      </c>
      <c r="M1530">
        <f>YEAR(C1530)</f>
        <v>2024</v>
      </c>
      <c r="N1530">
        <v>180</v>
      </c>
      <c r="O1530" t="str">
        <f>IF(N1530&gt;=200,"Platinum",IF(N1530&gt;=100,"Gold",IF(N1530&gt;=50,"Silver","Regular")))</f>
        <v>Gold</v>
      </c>
      <c r="P1530" s="4" t="str">
        <f t="shared" si="162"/>
        <v>Saturday</v>
      </c>
      <c r="Q1530" s="4" t="str">
        <f t="shared" si="163"/>
        <v>Medium Order</v>
      </c>
      <c r="R1530" s="4" t="str">
        <f t="shared" si="164"/>
        <v>Weekend</v>
      </c>
      <c r="S1530" s="4" t="str">
        <f t="shared" si="165"/>
        <v>Regular</v>
      </c>
    </row>
    <row r="1531" spans="1:19" x14ac:dyDescent="0.3">
      <c r="A1531">
        <v>3449</v>
      </c>
      <c r="B1531" t="s">
        <v>13</v>
      </c>
      <c r="C1531" s="1">
        <v>45571</v>
      </c>
      <c r="D1531" t="s">
        <v>16</v>
      </c>
      <c r="E1531" t="s">
        <v>12</v>
      </c>
      <c r="F1531">
        <v>2</v>
      </c>
      <c r="G1531">
        <v>29.06</v>
      </c>
      <c r="H1531">
        <v>58.12</v>
      </c>
      <c r="I1531" t="str">
        <f t="shared" si="161"/>
        <v>Low</v>
      </c>
      <c r="J1531">
        <v>1.72</v>
      </c>
      <c r="K1531">
        <f t="shared" si="166"/>
        <v>56.4</v>
      </c>
      <c r="L1531" t="str">
        <f t="shared" si="167"/>
        <v>October</v>
      </c>
      <c r="M1531">
        <f>YEAR(C1531)</f>
        <v>2024</v>
      </c>
      <c r="N1531">
        <v>286</v>
      </c>
      <c r="O1531" t="str">
        <f>IF(N1531&gt;=200,"Platinum",IF(N1531&gt;=100,"Gold",IF(N1531&gt;=50,"Silver","Regular")))</f>
        <v>Platinum</v>
      </c>
      <c r="P1531" s="4" t="str">
        <f t="shared" si="162"/>
        <v>Sunday</v>
      </c>
      <c r="Q1531" s="4" t="str">
        <f t="shared" si="163"/>
        <v>Small Order</v>
      </c>
      <c r="R1531" s="4" t="str">
        <f t="shared" si="164"/>
        <v>Weekend</v>
      </c>
      <c r="S1531" s="4" t="str">
        <f t="shared" si="165"/>
        <v>Regular</v>
      </c>
    </row>
    <row r="1532" spans="1:19" x14ac:dyDescent="0.3">
      <c r="A1532">
        <v>2402</v>
      </c>
      <c r="B1532" t="s">
        <v>19</v>
      </c>
      <c r="C1532" s="1">
        <v>45551</v>
      </c>
      <c r="D1532" t="s">
        <v>16</v>
      </c>
      <c r="E1532" t="s">
        <v>30</v>
      </c>
      <c r="F1532">
        <v>3</v>
      </c>
      <c r="G1532">
        <v>20.29</v>
      </c>
      <c r="H1532">
        <v>60.87</v>
      </c>
      <c r="I1532" t="str">
        <f t="shared" si="161"/>
        <v>Low</v>
      </c>
      <c r="J1532">
        <v>1.8</v>
      </c>
      <c r="K1532">
        <f t="shared" si="166"/>
        <v>59.07</v>
      </c>
      <c r="L1532" t="str">
        <f t="shared" si="167"/>
        <v>September</v>
      </c>
      <c r="M1532">
        <f>YEAR(C1532)</f>
        <v>2024</v>
      </c>
      <c r="N1532">
        <v>426</v>
      </c>
      <c r="O1532" t="str">
        <f>IF(N1532&gt;=200,"Platinum",IF(N1532&gt;=100,"Gold",IF(N1532&gt;=50,"Silver","Regular")))</f>
        <v>Platinum</v>
      </c>
      <c r="P1532" s="4" t="str">
        <f t="shared" si="162"/>
        <v>Monday</v>
      </c>
      <c r="Q1532" s="4" t="str">
        <f t="shared" si="163"/>
        <v>Medium Order</v>
      </c>
      <c r="R1532" s="4" t="str">
        <f t="shared" si="164"/>
        <v>Weekday</v>
      </c>
      <c r="S1532" s="4" t="str">
        <f t="shared" si="165"/>
        <v>Regular</v>
      </c>
    </row>
    <row r="1533" spans="1:19" x14ac:dyDescent="0.3">
      <c r="A1533">
        <v>6050</v>
      </c>
      <c r="B1533" t="s">
        <v>0</v>
      </c>
      <c r="C1533" s="1">
        <v>45428</v>
      </c>
      <c r="D1533" t="s">
        <v>9</v>
      </c>
      <c r="E1533" t="s">
        <v>32</v>
      </c>
      <c r="F1533">
        <v>4</v>
      </c>
      <c r="G1533">
        <v>18.46</v>
      </c>
      <c r="H1533">
        <v>73.84</v>
      </c>
      <c r="I1533" t="str">
        <f t="shared" si="161"/>
        <v>Low</v>
      </c>
      <c r="J1533">
        <v>2.1800000000000002</v>
      </c>
      <c r="K1533">
        <f t="shared" si="166"/>
        <v>71.66</v>
      </c>
      <c r="L1533" t="str">
        <f t="shared" si="167"/>
        <v>May</v>
      </c>
      <c r="M1533">
        <f>YEAR(C1533)</f>
        <v>2024</v>
      </c>
      <c r="N1533">
        <v>421</v>
      </c>
      <c r="O1533" t="str">
        <f>IF(N1533&gt;=200,"Platinum",IF(N1533&gt;=100,"Gold",IF(N1533&gt;=50,"Silver","Regular")))</f>
        <v>Platinum</v>
      </c>
      <c r="P1533" s="4" t="str">
        <f t="shared" si="162"/>
        <v>Thursday</v>
      </c>
      <c r="Q1533" s="4" t="str">
        <f t="shared" si="163"/>
        <v>Medium Order</v>
      </c>
      <c r="R1533" s="4" t="str">
        <f t="shared" si="164"/>
        <v>Weekday</v>
      </c>
      <c r="S1533" s="4" t="str">
        <f t="shared" si="165"/>
        <v>Regular</v>
      </c>
    </row>
    <row r="1534" spans="1:19" x14ac:dyDescent="0.3">
      <c r="A1534">
        <v>6896</v>
      </c>
      <c r="B1534" t="s">
        <v>13</v>
      </c>
      <c r="C1534" s="1">
        <v>45736</v>
      </c>
      <c r="D1534" t="s">
        <v>23</v>
      </c>
      <c r="E1534" t="s">
        <v>36</v>
      </c>
      <c r="F1534">
        <v>4</v>
      </c>
      <c r="G1534">
        <v>18.420000000000002</v>
      </c>
      <c r="H1534">
        <v>73.680000000000007</v>
      </c>
      <c r="I1534" t="str">
        <f t="shared" si="161"/>
        <v>Low</v>
      </c>
      <c r="J1534">
        <v>2.16</v>
      </c>
      <c r="K1534">
        <f t="shared" si="166"/>
        <v>71.52000000000001</v>
      </c>
      <c r="L1534" t="str">
        <f t="shared" si="167"/>
        <v>March</v>
      </c>
      <c r="M1534">
        <f>YEAR(C1534)</f>
        <v>2025</v>
      </c>
      <c r="N1534">
        <v>351</v>
      </c>
      <c r="O1534" t="str">
        <f>IF(N1534&gt;=200,"Platinum",IF(N1534&gt;=100,"Gold",IF(N1534&gt;=50,"Silver","Regular")))</f>
        <v>Platinum</v>
      </c>
      <c r="P1534" s="4" t="str">
        <f t="shared" si="162"/>
        <v>Thursday</v>
      </c>
      <c r="Q1534" s="4" t="str">
        <f t="shared" si="163"/>
        <v>Medium Order</v>
      </c>
      <c r="R1534" s="4" t="str">
        <f t="shared" si="164"/>
        <v>Weekday</v>
      </c>
      <c r="S1534" s="4" t="str">
        <f t="shared" si="165"/>
        <v>Regular</v>
      </c>
    </row>
    <row r="1535" spans="1:19" x14ac:dyDescent="0.3">
      <c r="A1535">
        <v>9728</v>
      </c>
      <c r="B1535" t="s">
        <v>3</v>
      </c>
      <c r="C1535" s="1">
        <v>45477</v>
      </c>
      <c r="D1535" t="s">
        <v>16</v>
      </c>
      <c r="E1535" t="s">
        <v>18</v>
      </c>
      <c r="F1535">
        <v>4</v>
      </c>
      <c r="G1535">
        <v>28.67</v>
      </c>
      <c r="H1535">
        <v>114.68</v>
      </c>
      <c r="I1535" t="str">
        <f t="shared" si="161"/>
        <v>Low</v>
      </c>
      <c r="J1535">
        <v>3.35</v>
      </c>
      <c r="K1535">
        <f t="shared" si="166"/>
        <v>111.33000000000001</v>
      </c>
      <c r="L1535" t="str">
        <f t="shared" si="167"/>
        <v>July</v>
      </c>
      <c r="M1535">
        <f>YEAR(C1535)</f>
        <v>2024</v>
      </c>
      <c r="N1535">
        <v>394</v>
      </c>
      <c r="O1535" t="str">
        <f>IF(N1535&gt;=200,"Platinum",IF(N1535&gt;=100,"Gold",IF(N1535&gt;=50,"Silver","Regular")))</f>
        <v>Platinum</v>
      </c>
      <c r="P1535" s="4" t="str">
        <f t="shared" si="162"/>
        <v>Thursday</v>
      </c>
      <c r="Q1535" s="4" t="str">
        <f t="shared" si="163"/>
        <v>Medium Order</v>
      </c>
      <c r="R1535" s="4" t="str">
        <f t="shared" si="164"/>
        <v>Weekday</v>
      </c>
      <c r="S1535" s="4" t="str">
        <f t="shared" si="165"/>
        <v>High Value</v>
      </c>
    </row>
    <row r="1536" spans="1:19" x14ac:dyDescent="0.3">
      <c r="A1536">
        <v>2381</v>
      </c>
      <c r="B1536" t="s">
        <v>8</v>
      </c>
      <c r="C1536" s="1">
        <v>45536</v>
      </c>
      <c r="D1536" t="s">
        <v>9</v>
      </c>
      <c r="E1536" t="s">
        <v>26</v>
      </c>
      <c r="F1536">
        <v>5</v>
      </c>
      <c r="G1536">
        <v>15.22</v>
      </c>
      <c r="H1536">
        <v>76.099999999999994</v>
      </c>
      <c r="I1536" t="str">
        <f t="shared" si="161"/>
        <v>Low</v>
      </c>
      <c r="J1536">
        <v>2.2200000000000002</v>
      </c>
      <c r="K1536">
        <f t="shared" si="166"/>
        <v>73.88</v>
      </c>
      <c r="L1536" t="str">
        <f t="shared" si="167"/>
        <v>September</v>
      </c>
      <c r="M1536">
        <f>YEAR(C1536)</f>
        <v>2024</v>
      </c>
      <c r="N1536">
        <v>421</v>
      </c>
      <c r="O1536" t="str">
        <f>IF(N1536&gt;=200,"Platinum",IF(N1536&gt;=100,"Gold",IF(N1536&gt;=50,"Silver","Regular")))</f>
        <v>Platinum</v>
      </c>
      <c r="P1536" s="4" t="str">
        <f t="shared" si="162"/>
        <v>Sunday</v>
      </c>
      <c r="Q1536" s="4" t="str">
        <f t="shared" si="163"/>
        <v>Medium Order</v>
      </c>
      <c r="R1536" s="4" t="str">
        <f t="shared" si="164"/>
        <v>Weekend</v>
      </c>
      <c r="S1536" s="4" t="str">
        <f t="shared" si="165"/>
        <v>Regular</v>
      </c>
    </row>
    <row r="1537" spans="1:19" x14ac:dyDescent="0.3">
      <c r="A1537">
        <v>4792</v>
      </c>
      <c r="B1537" t="s">
        <v>20</v>
      </c>
      <c r="C1537" s="1">
        <v>45841</v>
      </c>
      <c r="D1537" t="s">
        <v>24</v>
      </c>
      <c r="E1537" t="s">
        <v>28</v>
      </c>
      <c r="F1537">
        <v>3</v>
      </c>
      <c r="G1537">
        <v>13.9</v>
      </c>
      <c r="H1537">
        <v>41.7</v>
      </c>
      <c r="I1537" t="str">
        <f t="shared" si="161"/>
        <v>Low</v>
      </c>
      <c r="J1537">
        <v>1.21</v>
      </c>
      <c r="K1537">
        <f t="shared" si="166"/>
        <v>40.49</v>
      </c>
      <c r="L1537" t="str">
        <f t="shared" si="167"/>
        <v>July</v>
      </c>
      <c r="M1537">
        <f>YEAR(C1537)</f>
        <v>2025</v>
      </c>
      <c r="N1537">
        <v>373</v>
      </c>
      <c r="O1537" t="str">
        <f>IF(N1537&gt;=200,"Platinum",IF(N1537&gt;=100,"Gold",IF(N1537&gt;=50,"Silver","Regular")))</f>
        <v>Platinum</v>
      </c>
      <c r="P1537" s="4" t="str">
        <f t="shared" si="162"/>
        <v>Thursday</v>
      </c>
      <c r="Q1537" s="4" t="str">
        <f t="shared" si="163"/>
        <v>Medium Order</v>
      </c>
      <c r="R1537" s="4" t="str">
        <f t="shared" si="164"/>
        <v>Weekday</v>
      </c>
      <c r="S1537" s="4" t="str">
        <f t="shared" si="165"/>
        <v>Regular</v>
      </c>
    </row>
    <row r="1538" spans="1:19" x14ac:dyDescent="0.3">
      <c r="A1538">
        <v>8612</v>
      </c>
      <c r="B1538" t="s">
        <v>0</v>
      </c>
      <c r="C1538" s="1">
        <v>45685</v>
      </c>
      <c r="D1538" t="s">
        <v>16</v>
      </c>
      <c r="E1538" t="s">
        <v>5</v>
      </c>
      <c r="F1538">
        <v>4</v>
      </c>
      <c r="G1538">
        <v>25.6</v>
      </c>
      <c r="H1538">
        <v>102.4</v>
      </c>
      <c r="I1538" t="str">
        <f t="shared" ref="I1538:I1601" si="168">IF(J1538=0,"No Discount",IF(J1538&lt;=5,"Low",IF(J1538&lt;=10,"Medium",IF(J1538&lt;=20,"High","Very High"))))</f>
        <v>Low</v>
      </c>
      <c r="J1538">
        <v>2.95</v>
      </c>
      <c r="K1538">
        <f t="shared" si="166"/>
        <v>99.45</v>
      </c>
      <c r="L1538" t="str">
        <f t="shared" si="167"/>
        <v>January</v>
      </c>
      <c r="M1538">
        <f>YEAR(C1538)</f>
        <v>2025</v>
      </c>
      <c r="N1538">
        <v>377</v>
      </c>
      <c r="O1538" t="str">
        <f>IF(N1538&gt;=200,"Platinum",IF(N1538&gt;=100,"Gold",IF(N1538&gt;=50,"Silver","Regular")))</f>
        <v>Platinum</v>
      </c>
      <c r="P1538" s="4" t="str">
        <f t="shared" ref="P1538:P1601" si="169">TEXT(C1538,"dddd")</f>
        <v>Tuesday</v>
      </c>
      <c r="Q1538" s="4" t="str">
        <f t="shared" ref="Q1538:Q1601" si="170">IF(F1538&lt;=2,"Small Order",IF(F1538&lt;=5,"Medium Order",IF(F1538&lt;=10,"Large Order","Bulk Order")))</f>
        <v>Medium Order</v>
      </c>
      <c r="R1538" s="4" t="str">
        <f t="shared" ref="R1538:R1601" si="171">IF(WEEKDAY(C1538,2)&gt;5,"Weekend","Weekday")</f>
        <v>Weekday</v>
      </c>
      <c r="S1538" s="4" t="str">
        <f t="shared" ref="S1538:S1601" si="172">IF(K1538&gt;=100,"High Value","Regular")</f>
        <v>Regular</v>
      </c>
    </row>
    <row r="1539" spans="1:19" x14ac:dyDescent="0.3">
      <c r="A1539">
        <v>4621</v>
      </c>
      <c r="B1539" t="s">
        <v>25</v>
      </c>
      <c r="C1539" s="1">
        <v>45491</v>
      </c>
      <c r="D1539" t="s">
        <v>11</v>
      </c>
      <c r="E1539" t="s">
        <v>10</v>
      </c>
      <c r="F1539">
        <v>5</v>
      </c>
      <c r="G1539">
        <v>24.86</v>
      </c>
      <c r="H1539">
        <v>124.3</v>
      </c>
      <c r="I1539" t="str">
        <f t="shared" si="168"/>
        <v>Low</v>
      </c>
      <c r="J1539">
        <v>3.58</v>
      </c>
      <c r="K1539">
        <f t="shared" ref="K1539:K1602" si="173">MAX(0,H1539-J1539)</f>
        <v>120.72</v>
      </c>
      <c r="L1539" t="str">
        <f t="shared" ref="L1539:L1602" si="174">TEXT(C1539,"mmmm")</f>
        <v>July</v>
      </c>
      <c r="M1539">
        <f>YEAR(C1539)</f>
        <v>2024</v>
      </c>
      <c r="N1539">
        <v>312</v>
      </c>
      <c r="O1539" t="str">
        <f>IF(N1539&gt;=200,"Platinum",IF(N1539&gt;=100,"Gold",IF(N1539&gt;=50,"Silver","Regular")))</f>
        <v>Platinum</v>
      </c>
      <c r="P1539" s="4" t="str">
        <f t="shared" si="169"/>
        <v>Thursday</v>
      </c>
      <c r="Q1539" s="4" t="str">
        <f t="shared" si="170"/>
        <v>Medium Order</v>
      </c>
      <c r="R1539" s="4" t="str">
        <f t="shared" si="171"/>
        <v>Weekday</v>
      </c>
      <c r="S1539" s="4" t="str">
        <f t="shared" si="172"/>
        <v>High Value</v>
      </c>
    </row>
    <row r="1540" spans="1:19" x14ac:dyDescent="0.3">
      <c r="A1540">
        <v>1858</v>
      </c>
      <c r="B1540" t="s">
        <v>13</v>
      </c>
      <c r="C1540" s="1">
        <v>45243</v>
      </c>
      <c r="D1540" t="s">
        <v>24</v>
      </c>
      <c r="E1540" t="s">
        <v>29</v>
      </c>
      <c r="F1540">
        <v>5</v>
      </c>
      <c r="G1540">
        <v>27.2</v>
      </c>
      <c r="H1540">
        <v>136</v>
      </c>
      <c r="I1540" t="str">
        <f t="shared" si="168"/>
        <v>Low</v>
      </c>
      <c r="J1540">
        <v>3.89</v>
      </c>
      <c r="K1540">
        <f t="shared" si="173"/>
        <v>132.11000000000001</v>
      </c>
      <c r="L1540" t="str">
        <f t="shared" si="174"/>
        <v>November</v>
      </c>
      <c r="M1540">
        <f>YEAR(C1540)</f>
        <v>2023</v>
      </c>
      <c r="N1540">
        <v>237</v>
      </c>
      <c r="O1540" t="str">
        <f>IF(N1540&gt;=200,"Platinum",IF(N1540&gt;=100,"Gold",IF(N1540&gt;=50,"Silver","Regular")))</f>
        <v>Platinum</v>
      </c>
      <c r="P1540" s="4" t="str">
        <f t="shared" si="169"/>
        <v>Monday</v>
      </c>
      <c r="Q1540" s="4" t="str">
        <f t="shared" si="170"/>
        <v>Medium Order</v>
      </c>
      <c r="R1540" s="4" t="str">
        <f t="shared" si="171"/>
        <v>Weekday</v>
      </c>
      <c r="S1540" s="4" t="str">
        <f t="shared" si="172"/>
        <v>High Value</v>
      </c>
    </row>
    <row r="1541" spans="1:19" x14ac:dyDescent="0.3">
      <c r="A1541">
        <v>4920</v>
      </c>
      <c r="B1541" t="s">
        <v>0</v>
      </c>
      <c r="C1541" s="1">
        <v>45696</v>
      </c>
      <c r="D1541" t="s">
        <v>11</v>
      </c>
      <c r="E1541" t="s">
        <v>35</v>
      </c>
      <c r="F1541">
        <v>2</v>
      </c>
      <c r="G1541">
        <v>28.74</v>
      </c>
      <c r="H1541">
        <v>57.48</v>
      </c>
      <c r="I1541" t="str">
        <f t="shared" si="168"/>
        <v>Low</v>
      </c>
      <c r="J1541">
        <v>1.64</v>
      </c>
      <c r="K1541">
        <f t="shared" si="173"/>
        <v>55.839999999999996</v>
      </c>
      <c r="L1541" t="str">
        <f t="shared" si="174"/>
        <v>February</v>
      </c>
      <c r="M1541">
        <f>YEAR(C1541)</f>
        <v>2025</v>
      </c>
      <c r="N1541">
        <v>266</v>
      </c>
      <c r="O1541" t="str">
        <f>IF(N1541&gt;=200,"Platinum",IF(N1541&gt;=100,"Gold",IF(N1541&gt;=50,"Silver","Regular")))</f>
        <v>Platinum</v>
      </c>
      <c r="P1541" s="4" t="str">
        <f t="shared" si="169"/>
        <v>Saturday</v>
      </c>
      <c r="Q1541" s="4" t="str">
        <f t="shared" si="170"/>
        <v>Small Order</v>
      </c>
      <c r="R1541" s="4" t="str">
        <f t="shared" si="171"/>
        <v>Weekend</v>
      </c>
      <c r="S1541" s="4" t="str">
        <f t="shared" si="172"/>
        <v>Regular</v>
      </c>
    </row>
    <row r="1542" spans="1:19" x14ac:dyDescent="0.3">
      <c r="A1542">
        <v>2193</v>
      </c>
      <c r="B1542" t="s">
        <v>20</v>
      </c>
      <c r="C1542" s="1">
        <v>45498</v>
      </c>
      <c r="D1542" t="s">
        <v>6</v>
      </c>
      <c r="E1542" t="s">
        <v>29</v>
      </c>
      <c r="F1542">
        <v>4</v>
      </c>
      <c r="G1542">
        <v>13.72</v>
      </c>
      <c r="H1542">
        <v>54.88</v>
      </c>
      <c r="I1542" t="str">
        <f t="shared" si="168"/>
        <v>Low</v>
      </c>
      <c r="J1542">
        <v>1.56</v>
      </c>
      <c r="K1542">
        <f t="shared" si="173"/>
        <v>53.32</v>
      </c>
      <c r="L1542" t="str">
        <f t="shared" si="174"/>
        <v>July</v>
      </c>
      <c r="M1542">
        <f>YEAR(C1542)</f>
        <v>2024</v>
      </c>
      <c r="N1542">
        <v>276</v>
      </c>
      <c r="O1542" t="str">
        <f>IF(N1542&gt;=200,"Platinum",IF(N1542&gt;=100,"Gold",IF(N1542&gt;=50,"Silver","Regular")))</f>
        <v>Platinum</v>
      </c>
      <c r="P1542" s="4" t="str">
        <f t="shared" si="169"/>
        <v>Thursday</v>
      </c>
      <c r="Q1542" s="4" t="str">
        <f t="shared" si="170"/>
        <v>Medium Order</v>
      </c>
      <c r="R1542" s="4" t="str">
        <f t="shared" si="171"/>
        <v>Weekday</v>
      </c>
      <c r="S1542" s="4" t="str">
        <f t="shared" si="172"/>
        <v>Regular</v>
      </c>
    </row>
    <row r="1543" spans="1:19" x14ac:dyDescent="0.3">
      <c r="A1543">
        <v>1488</v>
      </c>
      <c r="B1543" t="s">
        <v>0</v>
      </c>
      <c r="C1543" s="1">
        <v>45217</v>
      </c>
      <c r="D1543" t="s">
        <v>1</v>
      </c>
      <c r="E1543" t="s">
        <v>14</v>
      </c>
      <c r="F1543">
        <v>3</v>
      </c>
      <c r="G1543">
        <v>29.56</v>
      </c>
      <c r="H1543">
        <v>88.68</v>
      </c>
      <c r="I1543" t="str">
        <f t="shared" si="168"/>
        <v>Low</v>
      </c>
      <c r="J1543">
        <v>2.52</v>
      </c>
      <c r="K1543">
        <f t="shared" si="173"/>
        <v>86.160000000000011</v>
      </c>
      <c r="L1543" t="str">
        <f t="shared" si="174"/>
        <v>October</v>
      </c>
      <c r="M1543">
        <f>YEAR(C1543)</f>
        <v>2023</v>
      </c>
      <c r="N1543">
        <v>437</v>
      </c>
      <c r="O1543" t="str">
        <f>IF(N1543&gt;=200,"Platinum",IF(N1543&gt;=100,"Gold",IF(N1543&gt;=50,"Silver","Regular")))</f>
        <v>Platinum</v>
      </c>
      <c r="P1543" s="4" t="str">
        <f t="shared" si="169"/>
        <v>Wednesday</v>
      </c>
      <c r="Q1543" s="4" t="str">
        <f t="shared" si="170"/>
        <v>Medium Order</v>
      </c>
      <c r="R1543" s="4" t="str">
        <f t="shared" si="171"/>
        <v>Weekday</v>
      </c>
      <c r="S1543" s="4" t="str">
        <f t="shared" si="172"/>
        <v>Regular</v>
      </c>
    </row>
    <row r="1544" spans="1:19" x14ac:dyDescent="0.3">
      <c r="A1544">
        <v>8861</v>
      </c>
      <c r="B1544" t="s">
        <v>0</v>
      </c>
      <c r="C1544" s="1">
        <v>45415</v>
      </c>
      <c r="D1544" t="s">
        <v>4</v>
      </c>
      <c r="E1544" t="s">
        <v>18</v>
      </c>
      <c r="F1544">
        <v>5</v>
      </c>
      <c r="G1544">
        <v>22.11</v>
      </c>
      <c r="H1544">
        <v>110.55</v>
      </c>
      <c r="I1544" t="str">
        <f t="shared" si="168"/>
        <v>Low</v>
      </c>
      <c r="J1544">
        <v>3.12</v>
      </c>
      <c r="K1544">
        <f t="shared" si="173"/>
        <v>107.42999999999999</v>
      </c>
      <c r="L1544" t="str">
        <f t="shared" si="174"/>
        <v>May</v>
      </c>
      <c r="M1544">
        <f>YEAR(C1544)</f>
        <v>2024</v>
      </c>
      <c r="N1544">
        <v>156</v>
      </c>
      <c r="O1544" t="str">
        <f>IF(N1544&gt;=200,"Platinum",IF(N1544&gt;=100,"Gold",IF(N1544&gt;=50,"Silver","Regular")))</f>
        <v>Gold</v>
      </c>
      <c r="P1544" s="4" t="str">
        <f t="shared" si="169"/>
        <v>Friday</v>
      </c>
      <c r="Q1544" s="4" t="str">
        <f t="shared" si="170"/>
        <v>Medium Order</v>
      </c>
      <c r="R1544" s="4" t="str">
        <f t="shared" si="171"/>
        <v>Weekday</v>
      </c>
      <c r="S1544" s="4" t="str">
        <f t="shared" si="172"/>
        <v>High Value</v>
      </c>
    </row>
    <row r="1545" spans="1:19" x14ac:dyDescent="0.3">
      <c r="A1545">
        <v>6039</v>
      </c>
      <c r="B1545" t="s">
        <v>8</v>
      </c>
      <c r="C1545" s="1">
        <v>45607</v>
      </c>
      <c r="D1545" t="s">
        <v>11</v>
      </c>
      <c r="E1545" t="s">
        <v>36</v>
      </c>
      <c r="F1545">
        <v>3</v>
      </c>
      <c r="G1545">
        <v>22.74</v>
      </c>
      <c r="H1545">
        <v>68.22</v>
      </c>
      <c r="I1545" t="str">
        <f t="shared" si="168"/>
        <v>Low</v>
      </c>
      <c r="J1545">
        <v>1.91</v>
      </c>
      <c r="K1545">
        <f t="shared" si="173"/>
        <v>66.31</v>
      </c>
      <c r="L1545" t="str">
        <f t="shared" si="174"/>
        <v>November</v>
      </c>
      <c r="M1545">
        <f>YEAR(C1545)</f>
        <v>2024</v>
      </c>
      <c r="N1545">
        <v>84</v>
      </c>
      <c r="O1545" t="str">
        <f>IF(N1545&gt;=200,"Platinum",IF(N1545&gt;=100,"Gold",IF(N1545&gt;=50,"Silver","Regular")))</f>
        <v>Silver</v>
      </c>
      <c r="P1545" s="4" t="str">
        <f t="shared" si="169"/>
        <v>Monday</v>
      </c>
      <c r="Q1545" s="4" t="str">
        <f t="shared" si="170"/>
        <v>Medium Order</v>
      </c>
      <c r="R1545" s="4" t="str">
        <f t="shared" si="171"/>
        <v>Weekday</v>
      </c>
      <c r="S1545" s="4" t="str">
        <f t="shared" si="172"/>
        <v>Regular</v>
      </c>
    </row>
    <row r="1546" spans="1:19" x14ac:dyDescent="0.3">
      <c r="A1546">
        <v>7686</v>
      </c>
      <c r="B1546" t="s">
        <v>20</v>
      </c>
      <c r="C1546" s="1">
        <v>45874</v>
      </c>
      <c r="D1546" t="s">
        <v>24</v>
      </c>
      <c r="E1546" t="s">
        <v>18</v>
      </c>
      <c r="F1546">
        <v>3</v>
      </c>
      <c r="G1546">
        <v>18.86</v>
      </c>
      <c r="H1546">
        <v>56.58</v>
      </c>
      <c r="I1546" t="str">
        <f t="shared" si="168"/>
        <v>Low</v>
      </c>
      <c r="J1546">
        <v>1.58</v>
      </c>
      <c r="K1546">
        <f t="shared" si="173"/>
        <v>55</v>
      </c>
      <c r="L1546" t="str">
        <f t="shared" si="174"/>
        <v>August</v>
      </c>
      <c r="M1546">
        <f>YEAR(C1546)</f>
        <v>2025</v>
      </c>
      <c r="N1546">
        <v>411</v>
      </c>
      <c r="O1546" t="str">
        <f>IF(N1546&gt;=200,"Platinum",IF(N1546&gt;=100,"Gold",IF(N1546&gt;=50,"Silver","Regular")))</f>
        <v>Platinum</v>
      </c>
      <c r="P1546" s="4" t="str">
        <f t="shared" si="169"/>
        <v>Tuesday</v>
      </c>
      <c r="Q1546" s="4" t="str">
        <f t="shared" si="170"/>
        <v>Medium Order</v>
      </c>
      <c r="R1546" s="4" t="str">
        <f t="shared" si="171"/>
        <v>Weekday</v>
      </c>
      <c r="S1546" s="4" t="str">
        <f t="shared" si="172"/>
        <v>Regular</v>
      </c>
    </row>
    <row r="1547" spans="1:19" x14ac:dyDescent="0.3">
      <c r="A1547">
        <v>8140</v>
      </c>
      <c r="B1547" t="s">
        <v>25</v>
      </c>
      <c r="C1547" s="1">
        <v>45522</v>
      </c>
      <c r="D1547" t="s">
        <v>9</v>
      </c>
      <c r="E1547" t="s">
        <v>22</v>
      </c>
      <c r="F1547">
        <v>5</v>
      </c>
      <c r="G1547">
        <v>21.01</v>
      </c>
      <c r="H1547">
        <v>105.05</v>
      </c>
      <c r="I1547" t="str">
        <f t="shared" si="168"/>
        <v>Low</v>
      </c>
      <c r="J1547">
        <v>2.93</v>
      </c>
      <c r="K1547">
        <f t="shared" si="173"/>
        <v>102.11999999999999</v>
      </c>
      <c r="L1547" t="str">
        <f t="shared" si="174"/>
        <v>August</v>
      </c>
      <c r="M1547">
        <f>YEAR(C1547)</f>
        <v>2024</v>
      </c>
      <c r="N1547">
        <v>77</v>
      </c>
      <c r="O1547" t="str">
        <f>IF(N1547&gt;=200,"Platinum",IF(N1547&gt;=100,"Gold",IF(N1547&gt;=50,"Silver","Regular")))</f>
        <v>Silver</v>
      </c>
      <c r="P1547" s="4" t="str">
        <f t="shared" si="169"/>
        <v>Sunday</v>
      </c>
      <c r="Q1547" s="4" t="str">
        <f t="shared" si="170"/>
        <v>Medium Order</v>
      </c>
      <c r="R1547" s="4" t="str">
        <f t="shared" si="171"/>
        <v>Weekend</v>
      </c>
      <c r="S1547" s="4" t="str">
        <f t="shared" si="172"/>
        <v>High Value</v>
      </c>
    </row>
    <row r="1548" spans="1:19" x14ac:dyDescent="0.3">
      <c r="A1548">
        <v>6925</v>
      </c>
      <c r="B1548" t="s">
        <v>31</v>
      </c>
      <c r="C1548" s="1">
        <v>45593</v>
      </c>
      <c r="D1548" t="s">
        <v>23</v>
      </c>
      <c r="E1548" t="s">
        <v>5</v>
      </c>
      <c r="F1548">
        <v>4</v>
      </c>
      <c r="G1548">
        <v>14.95</v>
      </c>
      <c r="H1548">
        <v>59.8</v>
      </c>
      <c r="I1548" t="str">
        <f t="shared" si="168"/>
        <v>Low</v>
      </c>
      <c r="J1548">
        <v>1.66</v>
      </c>
      <c r="K1548">
        <f t="shared" si="173"/>
        <v>58.14</v>
      </c>
      <c r="L1548" t="str">
        <f t="shared" si="174"/>
        <v>October</v>
      </c>
      <c r="M1548">
        <f>YEAR(C1548)</f>
        <v>2024</v>
      </c>
      <c r="N1548">
        <v>442</v>
      </c>
      <c r="O1548" t="str">
        <f>IF(N1548&gt;=200,"Platinum",IF(N1548&gt;=100,"Gold",IF(N1548&gt;=50,"Silver","Regular")))</f>
        <v>Platinum</v>
      </c>
      <c r="P1548" s="4" t="str">
        <f t="shared" si="169"/>
        <v>Monday</v>
      </c>
      <c r="Q1548" s="4" t="str">
        <f t="shared" si="170"/>
        <v>Medium Order</v>
      </c>
      <c r="R1548" s="4" t="str">
        <f t="shared" si="171"/>
        <v>Weekday</v>
      </c>
      <c r="S1548" s="4" t="str">
        <f t="shared" si="172"/>
        <v>Regular</v>
      </c>
    </row>
    <row r="1549" spans="1:19" x14ac:dyDescent="0.3">
      <c r="A1549">
        <v>8939</v>
      </c>
      <c r="B1549" t="s">
        <v>13</v>
      </c>
      <c r="C1549" s="1">
        <v>45251</v>
      </c>
      <c r="D1549" t="s">
        <v>17</v>
      </c>
      <c r="E1549" t="s">
        <v>2</v>
      </c>
      <c r="F1549">
        <v>4</v>
      </c>
      <c r="G1549">
        <v>19.29</v>
      </c>
      <c r="H1549">
        <v>77.16</v>
      </c>
      <c r="I1549" t="str">
        <f t="shared" si="168"/>
        <v>Low</v>
      </c>
      <c r="J1549">
        <v>2.14</v>
      </c>
      <c r="K1549">
        <f t="shared" si="173"/>
        <v>75.02</v>
      </c>
      <c r="L1549" t="str">
        <f t="shared" si="174"/>
        <v>November</v>
      </c>
      <c r="M1549">
        <f>YEAR(C1549)</f>
        <v>2023</v>
      </c>
      <c r="N1549">
        <v>168</v>
      </c>
      <c r="O1549" t="str">
        <f>IF(N1549&gt;=200,"Platinum",IF(N1549&gt;=100,"Gold",IF(N1549&gt;=50,"Silver","Regular")))</f>
        <v>Gold</v>
      </c>
      <c r="P1549" s="4" t="str">
        <f t="shared" si="169"/>
        <v>Tuesday</v>
      </c>
      <c r="Q1549" s="4" t="str">
        <f t="shared" si="170"/>
        <v>Medium Order</v>
      </c>
      <c r="R1549" s="4" t="str">
        <f t="shared" si="171"/>
        <v>Weekday</v>
      </c>
      <c r="S1549" s="4" t="str">
        <f t="shared" si="172"/>
        <v>Regular</v>
      </c>
    </row>
    <row r="1550" spans="1:19" x14ac:dyDescent="0.3">
      <c r="A1550">
        <v>1725</v>
      </c>
      <c r="B1550" t="s">
        <v>49</v>
      </c>
      <c r="C1550" s="1">
        <v>45582</v>
      </c>
      <c r="D1550" t="s">
        <v>23</v>
      </c>
      <c r="E1550" t="s">
        <v>26</v>
      </c>
      <c r="F1550">
        <v>5</v>
      </c>
      <c r="G1550">
        <v>28.98</v>
      </c>
      <c r="H1550">
        <v>144.9</v>
      </c>
      <c r="I1550" t="str">
        <f t="shared" si="168"/>
        <v>Low</v>
      </c>
      <c r="J1550">
        <v>4.01</v>
      </c>
      <c r="K1550">
        <f t="shared" si="173"/>
        <v>140.89000000000001</v>
      </c>
      <c r="L1550" t="str">
        <f t="shared" si="174"/>
        <v>October</v>
      </c>
      <c r="M1550">
        <f>YEAR(C1550)</f>
        <v>2024</v>
      </c>
      <c r="N1550">
        <v>482</v>
      </c>
      <c r="O1550" t="str">
        <f>IF(N1550&gt;=200,"Platinum",IF(N1550&gt;=100,"Gold",IF(N1550&gt;=50,"Silver","Regular")))</f>
        <v>Platinum</v>
      </c>
      <c r="P1550" s="4" t="str">
        <f t="shared" si="169"/>
        <v>Thursday</v>
      </c>
      <c r="Q1550" s="4" t="str">
        <f t="shared" si="170"/>
        <v>Medium Order</v>
      </c>
      <c r="R1550" s="4" t="str">
        <f t="shared" si="171"/>
        <v>Weekday</v>
      </c>
      <c r="S1550" s="4" t="str">
        <f t="shared" si="172"/>
        <v>High Value</v>
      </c>
    </row>
    <row r="1551" spans="1:19" x14ac:dyDescent="0.3">
      <c r="A1551">
        <v>7367</v>
      </c>
      <c r="B1551" t="s">
        <v>20</v>
      </c>
      <c r="C1551" s="1">
        <v>45619</v>
      </c>
      <c r="D1551" t="s">
        <v>16</v>
      </c>
      <c r="E1551" t="s">
        <v>5</v>
      </c>
      <c r="F1551">
        <v>5</v>
      </c>
      <c r="G1551">
        <v>29.86</v>
      </c>
      <c r="H1551">
        <v>149.30000000000001</v>
      </c>
      <c r="I1551" t="str">
        <f t="shared" si="168"/>
        <v>Low</v>
      </c>
      <c r="J1551">
        <v>4.13</v>
      </c>
      <c r="K1551">
        <f t="shared" si="173"/>
        <v>145.17000000000002</v>
      </c>
      <c r="L1551" t="str">
        <f t="shared" si="174"/>
        <v>November</v>
      </c>
      <c r="M1551">
        <f>YEAR(C1551)</f>
        <v>2024</v>
      </c>
      <c r="N1551">
        <v>441</v>
      </c>
      <c r="O1551" t="str">
        <f>IF(N1551&gt;=200,"Platinum",IF(N1551&gt;=100,"Gold",IF(N1551&gt;=50,"Silver","Regular")))</f>
        <v>Platinum</v>
      </c>
      <c r="P1551" s="4" t="str">
        <f t="shared" si="169"/>
        <v>Saturday</v>
      </c>
      <c r="Q1551" s="4" t="str">
        <f t="shared" si="170"/>
        <v>Medium Order</v>
      </c>
      <c r="R1551" s="4" t="str">
        <f t="shared" si="171"/>
        <v>Weekend</v>
      </c>
      <c r="S1551" s="4" t="str">
        <f t="shared" si="172"/>
        <v>High Value</v>
      </c>
    </row>
    <row r="1552" spans="1:19" x14ac:dyDescent="0.3">
      <c r="A1552">
        <v>1056</v>
      </c>
      <c r="B1552" t="s">
        <v>3</v>
      </c>
      <c r="C1552" s="1">
        <v>45732</v>
      </c>
      <c r="D1552" t="s">
        <v>9</v>
      </c>
      <c r="E1552" t="s">
        <v>33</v>
      </c>
      <c r="F1552">
        <v>5</v>
      </c>
      <c r="G1552">
        <v>19.68</v>
      </c>
      <c r="H1552">
        <v>98.4</v>
      </c>
      <c r="I1552" t="str">
        <f t="shared" si="168"/>
        <v>Low</v>
      </c>
      <c r="J1552">
        <v>2.72</v>
      </c>
      <c r="K1552">
        <f t="shared" si="173"/>
        <v>95.68</v>
      </c>
      <c r="L1552" t="str">
        <f t="shared" si="174"/>
        <v>March</v>
      </c>
      <c r="M1552">
        <f>YEAR(C1552)</f>
        <v>2025</v>
      </c>
      <c r="N1552">
        <v>424</v>
      </c>
      <c r="O1552" t="str">
        <f>IF(N1552&gt;=200,"Platinum",IF(N1552&gt;=100,"Gold",IF(N1552&gt;=50,"Silver","Regular")))</f>
        <v>Platinum</v>
      </c>
      <c r="P1552" s="4" t="str">
        <f t="shared" si="169"/>
        <v>Sunday</v>
      </c>
      <c r="Q1552" s="4" t="str">
        <f t="shared" si="170"/>
        <v>Medium Order</v>
      </c>
      <c r="R1552" s="4" t="str">
        <f t="shared" si="171"/>
        <v>Weekend</v>
      </c>
      <c r="S1552" s="4" t="str">
        <f t="shared" si="172"/>
        <v>Regular</v>
      </c>
    </row>
    <row r="1553" spans="1:19" x14ac:dyDescent="0.3">
      <c r="A1553">
        <v>5720</v>
      </c>
      <c r="B1553" t="s">
        <v>19</v>
      </c>
      <c r="C1553" s="1">
        <v>45329</v>
      </c>
      <c r="D1553" t="s">
        <v>11</v>
      </c>
      <c r="E1553" t="s">
        <v>5</v>
      </c>
      <c r="F1553">
        <v>3</v>
      </c>
      <c r="G1553">
        <v>27.17</v>
      </c>
      <c r="H1553">
        <v>81.510000000000005</v>
      </c>
      <c r="I1553" t="str">
        <f t="shared" si="168"/>
        <v>Low</v>
      </c>
      <c r="J1553">
        <v>2.25</v>
      </c>
      <c r="K1553">
        <f t="shared" si="173"/>
        <v>79.260000000000005</v>
      </c>
      <c r="L1553" t="str">
        <f t="shared" si="174"/>
        <v>February</v>
      </c>
      <c r="M1553">
        <f>YEAR(C1553)</f>
        <v>2024</v>
      </c>
      <c r="N1553">
        <v>134</v>
      </c>
      <c r="O1553" t="str">
        <f>IF(N1553&gt;=200,"Platinum",IF(N1553&gt;=100,"Gold",IF(N1553&gt;=50,"Silver","Regular")))</f>
        <v>Gold</v>
      </c>
      <c r="P1553" s="4" t="str">
        <f t="shared" si="169"/>
        <v>Wednesday</v>
      </c>
      <c r="Q1553" s="4" t="str">
        <f t="shared" si="170"/>
        <v>Medium Order</v>
      </c>
      <c r="R1553" s="4" t="str">
        <f t="shared" si="171"/>
        <v>Weekday</v>
      </c>
      <c r="S1553" s="4" t="str">
        <f t="shared" si="172"/>
        <v>Regular</v>
      </c>
    </row>
    <row r="1554" spans="1:19" x14ac:dyDescent="0.3">
      <c r="A1554">
        <v>2680</v>
      </c>
      <c r="B1554" t="s">
        <v>15</v>
      </c>
      <c r="C1554" s="1">
        <v>45207</v>
      </c>
      <c r="D1554" t="s">
        <v>4</v>
      </c>
      <c r="E1554" t="s">
        <v>30</v>
      </c>
      <c r="F1554">
        <v>4</v>
      </c>
      <c r="G1554">
        <v>25.01</v>
      </c>
      <c r="H1554">
        <v>100.04</v>
      </c>
      <c r="I1554" t="str">
        <f t="shared" si="168"/>
        <v>Low</v>
      </c>
      <c r="J1554">
        <v>2.7</v>
      </c>
      <c r="K1554">
        <f t="shared" si="173"/>
        <v>97.34</v>
      </c>
      <c r="L1554" t="str">
        <f t="shared" si="174"/>
        <v>October</v>
      </c>
      <c r="M1554">
        <f>YEAR(C1554)</f>
        <v>2023</v>
      </c>
      <c r="N1554">
        <v>41</v>
      </c>
      <c r="O1554" t="str">
        <f>IF(N1554&gt;=200,"Platinum",IF(N1554&gt;=100,"Gold",IF(N1554&gt;=50,"Silver","Regular")))</f>
        <v>Regular</v>
      </c>
      <c r="P1554" s="4" t="str">
        <f t="shared" si="169"/>
        <v>Sunday</v>
      </c>
      <c r="Q1554" s="4" t="str">
        <f t="shared" si="170"/>
        <v>Medium Order</v>
      </c>
      <c r="R1554" s="4" t="str">
        <f t="shared" si="171"/>
        <v>Weekend</v>
      </c>
      <c r="S1554" s="4" t="str">
        <f t="shared" si="172"/>
        <v>Regular</v>
      </c>
    </row>
    <row r="1555" spans="1:19" x14ac:dyDescent="0.3">
      <c r="A1555">
        <v>5533</v>
      </c>
      <c r="B1555" t="s">
        <v>15</v>
      </c>
      <c r="C1555" s="1">
        <v>45179</v>
      </c>
      <c r="D1555" t="s">
        <v>23</v>
      </c>
      <c r="E1555" t="s">
        <v>36</v>
      </c>
      <c r="F1555">
        <v>4</v>
      </c>
      <c r="G1555">
        <v>18.84</v>
      </c>
      <c r="H1555">
        <v>75.36</v>
      </c>
      <c r="I1555" t="str">
        <f t="shared" si="168"/>
        <v>Low</v>
      </c>
      <c r="J1555">
        <v>2.02</v>
      </c>
      <c r="K1555">
        <f t="shared" si="173"/>
        <v>73.34</v>
      </c>
      <c r="L1555" t="str">
        <f t="shared" si="174"/>
        <v>September</v>
      </c>
      <c r="M1555">
        <f>YEAR(C1555)</f>
        <v>2023</v>
      </c>
      <c r="N1555">
        <v>463</v>
      </c>
      <c r="O1555" t="str">
        <f>IF(N1555&gt;=200,"Platinum",IF(N1555&gt;=100,"Gold",IF(N1555&gt;=50,"Silver","Regular")))</f>
        <v>Platinum</v>
      </c>
      <c r="P1555" s="4" t="str">
        <f t="shared" si="169"/>
        <v>Sunday</v>
      </c>
      <c r="Q1555" s="4" t="str">
        <f t="shared" si="170"/>
        <v>Medium Order</v>
      </c>
      <c r="R1555" s="4" t="str">
        <f t="shared" si="171"/>
        <v>Weekend</v>
      </c>
      <c r="S1555" s="4" t="str">
        <f t="shared" si="172"/>
        <v>Regular</v>
      </c>
    </row>
    <row r="1556" spans="1:19" x14ac:dyDescent="0.3">
      <c r="A1556">
        <v>3504</v>
      </c>
      <c r="B1556" t="s">
        <v>31</v>
      </c>
      <c r="C1556" s="1">
        <v>45735</v>
      </c>
      <c r="D1556" t="s">
        <v>11</v>
      </c>
      <c r="E1556" t="s">
        <v>12</v>
      </c>
      <c r="F1556">
        <v>3</v>
      </c>
      <c r="G1556">
        <v>15.59</v>
      </c>
      <c r="H1556">
        <v>46.77</v>
      </c>
      <c r="I1556" t="str">
        <f t="shared" si="168"/>
        <v>Low</v>
      </c>
      <c r="J1556">
        <v>1.25</v>
      </c>
      <c r="K1556">
        <f t="shared" si="173"/>
        <v>45.52</v>
      </c>
      <c r="L1556" t="str">
        <f t="shared" si="174"/>
        <v>March</v>
      </c>
      <c r="M1556">
        <f>YEAR(C1556)</f>
        <v>2025</v>
      </c>
      <c r="N1556">
        <v>216</v>
      </c>
      <c r="O1556" t="str">
        <f>IF(N1556&gt;=200,"Platinum",IF(N1556&gt;=100,"Gold",IF(N1556&gt;=50,"Silver","Regular")))</f>
        <v>Platinum</v>
      </c>
      <c r="P1556" s="4" t="str">
        <f t="shared" si="169"/>
        <v>Wednesday</v>
      </c>
      <c r="Q1556" s="4" t="str">
        <f t="shared" si="170"/>
        <v>Medium Order</v>
      </c>
      <c r="R1556" s="4" t="str">
        <f t="shared" si="171"/>
        <v>Weekday</v>
      </c>
      <c r="S1556" s="4" t="str">
        <f t="shared" si="172"/>
        <v>Regular</v>
      </c>
    </row>
    <row r="1557" spans="1:19" x14ac:dyDescent="0.3">
      <c r="A1557">
        <v>3532</v>
      </c>
      <c r="B1557" t="s">
        <v>15</v>
      </c>
      <c r="C1557" s="1">
        <v>45864</v>
      </c>
      <c r="D1557" t="s">
        <v>11</v>
      </c>
      <c r="E1557" t="s">
        <v>12</v>
      </c>
      <c r="F1557">
        <v>4</v>
      </c>
      <c r="G1557">
        <v>23.12</v>
      </c>
      <c r="H1557">
        <v>92.48</v>
      </c>
      <c r="I1557" t="str">
        <f t="shared" si="168"/>
        <v>Low</v>
      </c>
      <c r="J1557">
        <v>2.4700000000000002</v>
      </c>
      <c r="K1557">
        <f t="shared" si="173"/>
        <v>90.01</v>
      </c>
      <c r="L1557" t="str">
        <f t="shared" si="174"/>
        <v>July</v>
      </c>
      <c r="M1557">
        <f>YEAR(C1557)</f>
        <v>2025</v>
      </c>
      <c r="N1557">
        <v>293</v>
      </c>
      <c r="O1557" t="str">
        <f>IF(N1557&gt;=200,"Platinum",IF(N1557&gt;=100,"Gold",IF(N1557&gt;=50,"Silver","Regular")))</f>
        <v>Platinum</v>
      </c>
      <c r="P1557" s="4" t="str">
        <f t="shared" si="169"/>
        <v>Saturday</v>
      </c>
      <c r="Q1557" s="4" t="str">
        <f t="shared" si="170"/>
        <v>Medium Order</v>
      </c>
      <c r="R1557" s="4" t="str">
        <f t="shared" si="171"/>
        <v>Weekend</v>
      </c>
      <c r="S1557" s="4" t="str">
        <f t="shared" si="172"/>
        <v>Regular</v>
      </c>
    </row>
    <row r="1558" spans="1:19" x14ac:dyDescent="0.3">
      <c r="A1558">
        <v>7311</v>
      </c>
      <c r="B1558" t="s">
        <v>0</v>
      </c>
      <c r="C1558" s="1">
        <v>45154</v>
      </c>
      <c r="D1558" t="s">
        <v>9</v>
      </c>
      <c r="E1558" t="s">
        <v>21</v>
      </c>
      <c r="F1558">
        <v>2</v>
      </c>
      <c r="G1558">
        <v>24.72</v>
      </c>
      <c r="H1558">
        <v>49.44</v>
      </c>
      <c r="I1558" t="str">
        <f t="shared" si="168"/>
        <v>Low</v>
      </c>
      <c r="J1558">
        <v>1.31</v>
      </c>
      <c r="K1558">
        <f t="shared" si="173"/>
        <v>48.129999999999995</v>
      </c>
      <c r="L1558" t="str">
        <f t="shared" si="174"/>
        <v>August</v>
      </c>
      <c r="M1558">
        <f>YEAR(C1558)</f>
        <v>2023</v>
      </c>
      <c r="N1558">
        <v>448</v>
      </c>
      <c r="O1558" t="str">
        <f>IF(N1558&gt;=200,"Platinum",IF(N1558&gt;=100,"Gold",IF(N1558&gt;=50,"Silver","Regular")))</f>
        <v>Platinum</v>
      </c>
      <c r="P1558" s="4" t="str">
        <f t="shared" si="169"/>
        <v>Wednesday</v>
      </c>
      <c r="Q1558" s="4" t="str">
        <f t="shared" si="170"/>
        <v>Small Order</v>
      </c>
      <c r="R1558" s="4" t="str">
        <f t="shared" si="171"/>
        <v>Weekday</v>
      </c>
      <c r="S1558" s="4" t="str">
        <f t="shared" si="172"/>
        <v>Regular</v>
      </c>
    </row>
    <row r="1559" spans="1:19" x14ac:dyDescent="0.3">
      <c r="A1559">
        <v>5775</v>
      </c>
      <c r="B1559" t="s">
        <v>3</v>
      </c>
      <c r="C1559" s="1">
        <v>45715</v>
      </c>
      <c r="D1559" t="s">
        <v>9</v>
      </c>
      <c r="E1559" t="s">
        <v>21</v>
      </c>
      <c r="F1559">
        <v>4</v>
      </c>
      <c r="G1559">
        <v>21.47</v>
      </c>
      <c r="H1559">
        <v>85.88</v>
      </c>
      <c r="I1559" t="str">
        <f t="shared" si="168"/>
        <v>Low</v>
      </c>
      <c r="J1559">
        <v>2.27</v>
      </c>
      <c r="K1559">
        <f t="shared" si="173"/>
        <v>83.61</v>
      </c>
      <c r="L1559" t="str">
        <f t="shared" si="174"/>
        <v>February</v>
      </c>
      <c r="M1559">
        <f>YEAR(C1559)</f>
        <v>2025</v>
      </c>
      <c r="N1559">
        <v>181</v>
      </c>
      <c r="O1559" t="str">
        <f>IF(N1559&gt;=200,"Platinum",IF(N1559&gt;=100,"Gold",IF(N1559&gt;=50,"Silver","Regular")))</f>
        <v>Gold</v>
      </c>
      <c r="P1559" s="4" t="str">
        <f t="shared" si="169"/>
        <v>Thursday</v>
      </c>
      <c r="Q1559" s="4" t="str">
        <f t="shared" si="170"/>
        <v>Medium Order</v>
      </c>
      <c r="R1559" s="4" t="str">
        <f t="shared" si="171"/>
        <v>Weekday</v>
      </c>
      <c r="S1559" s="4" t="str">
        <f t="shared" si="172"/>
        <v>Regular</v>
      </c>
    </row>
    <row r="1560" spans="1:19" x14ac:dyDescent="0.3">
      <c r="A1560">
        <v>4470</v>
      </c>
      <c r="B1560" t="s">
        <v>8</v>
      </c>
      <c r="C1560" s="1">
        <v>45529</v>
      </c>
      <c r="D1560" t="s">
        <v>16</v>
      </c>
      <c r="E1560" t="s">
        <v>5</v>
      </c>
      <c r="F1560">
        <v>4</v>
      </c>
      <c r="G1560">
        <v>18.14</v>
      </c>
      <c r="H1560">
        <v>72.56</v>
      </c>
      <c r="I1560" t="str">
        <f t="shared" si="168"/>
        <v>Low</v>
      </c>
      <c r="J1560">
        <v>1.91</v>
      </c>
      <c r="K1560">
        <f t="shared" si="173"/>
        <v>70.650000000000006</v>
      </c>
      <c r="L1560" t="str">
        <f t="shared" si="174"/>
        <v>August</v>
      </c>
      <c r="M1560">
        <f>YEAR(C1560)</f>
        <v>2024</v>
      </c>
      <c r="N1560">
        <v>127</v>
      </c>
      <c r="O1560" t="str">
        <f>IF(N1560&gt;=200,"Platinum",IF(N1560&gt;=100,"Gold",IF(N1560&gt;=50,"Silver","Regular")))</f>
        <v>Gold</v>
      </c>
      <c r="P1560" s="4" t="str">
        <f t="shared" si="169"/>
        <v>Sunday</v>
      </c>
      <c r="Q1560" s="4" t="str">
        <f t="shared" si="170"/>
        <v>Medium Order</v>
      </c>
      <c r="R1560" s="4" t="str">
        <f t="shared" si="171"/>
        <v>Weekend</v>
      </c>
      <c r="S1560" s="4" t="str">
        <f t="shared" si="172"/>
        <v>Regular</v>
      </c>
    </row>
    <row r="1561" spans="1:19" x14ac:dyDescent="0.3">
      <c r="A1561">
        <v>6890</v>
      </c>
      <c r="B1561" t="s">
        <v>8</v>
      </c>
      <c r="C1561" s="1">
        <v>45683</v>
      </c>
      <c r="D1561" t="s">
        <v>11</v>
      </c>
      <c r="E1561" t="s">
        <v>30</v>
      </c>
      <c r="F1561">
        <v>4</v>
      </c>
      <c r="G1561">
        <v>13.94</v>
      </c>
      <c r="H1561">
        <v>55.76</v>
      </c>
      <c r="I1561" t="str">
        <f t="shared" si="168"/>
        <v>Low</v>
      </c>
      <c r="J1561">
        <v>1.45</v>
      </c>
      <c r="K1561">
        <f t="shared" si="173"/>
        <v>54.309999999999995</v>
      </c>
      <c r="L1561" t="str">
        <f t="shared" si="174"/>
        <v>January</v>
      </c>
      <c r="M1561">
        <f>YEAR(C1561)</f>
        <v>2025</v>
      </c>
      <c r="N1561">
        <v>407</v>
      </c>
      <c r="O1561" t="str">
        <f>IF(N1561&gt;=200,"Platinum",IF(N1561&gt;=100,"Gold",IF(N1561&gt;=50,"Silver","Regular")))</f>
        <v>Platinum</v>
      </c>
      <c r="P1561" s="4" t="str">
        <f t="shared" si="169"/>
        <v>Sunday</v>
      </c>
      <c r="Q1561" s="4" t="str">
        <f t="shared" si="170"/>
        <v>Medium Order</v>
      </c>
      <c r="R1561" s="4" t="str">
        <f t="shared" si="171"/>
        <v>Weekend</v>
      </c>
      <c r="S1561" s="4" t="str">
        <f t="shared" si="172"/>
        <v>Regular</v>
      </c>
    </row>
    <row r="1562" spans="1:19" x14ac:dyDescent="0.3">
      <c r="A1562">
        <v>4397</v>
      </c>
      <c r="B1562" t="s">
        <v>20</v>
      </c>
      <c r="C1562" s="1">
        <v>45580</v>
      </c>
      <c r="D1562" t="s">
        <v>9</v>
      </c>
      <c r="E1562" t="s">
        <v>7</v>
      </c>
      <c r="F1562">
        <v>5</v>
      </c>
      <c r="G1562">
        <v>23.71</v>
      </c>
      <c r="H1562">
        <v>118.55</v>
      </c>
      <c r="I1562" t="str">
        <f t="shared" si="168"/>
        <v>Low</v>
      </c>
      <c r="J1562">
        <v>3.08</v>
      </c>
      <c r="K1562">
        <f t="shared" si="173"/>
        <v>115.47</v>
      </c>
      <c r="L1562" t="str">
        <f t="shared" si="174"/>
        <v>October</v>
      </c>
      <c r="M1562">
        <f>YEAR(C1562)</f>
        <v>2024</v>
      </c>
      <c r="N1562">
        <v>271</v>
      </c>
      <c r="O1562" t="str">
        <f>IF(N1562&gt;=200,"Platinum",IF(N1562&gt;=100,"Gold",IF(N1562&gt;=50,"Silver","Regular")))</f>
        <v>Platinum</v>
      </c>
      <c r="P1562" s="4" t="str">
        <f t="shared" si="169"/>
        <v>Tuesday</v>
      </c>
      <c r="Q1562" s="4" t="str">
        <f t="shared" si="170"/>
        <v>Medium Order</v>
      </c>
      <c r="R1562" s="4" t="str">
        <f t="shared" si="171"/>
        <v>Weekday</v>
      </c>
      <c r="S1562" s="4" t="str">
        <f t="shared" si="172"/>
        <v>High Value</v>
      </c>
    </row>
    <row r="1563" spans="1:19" x14ac:dyDescent="0.3">
      <c r="A1563">
        <v>7038</v>
      </c>
      <c r="B1563" t="s">
        <v>13</v>
      </c>
      <c r="C1563" s="1">
        <v>45667</v>
      </c>
      <c r="D1563" t="s">
        <v>16</v>
      </c>
      <c r="E1563" t="s">
        <v>36</v>
      </c>
      <c r="F1563">
        <v>5</v>
      </c>
      <c r="G1563">
        <v>19.09</v>
      </c>
      <c r="H1563">
        <v>95.45</v>
      </c>
      <c r="I1563" t="str">
        <f t="shared" si="168"/>
        <v>Low</v>
      </c>
      <c r="J1563">
        <v>2.4700000000000002</v>
      </c>
      <c r="K1563">
        <f t="shared" si="173"/>
        <v>92.98</v>
      </c>
      <c r="L1563" t="str">
        <f t="shared" si="174"/>
        <v>January</v>
      </c>
      <c r="M1563">
        <f>YEAR(C1563)</f>
        <v>2025</v>
      </c>
      <c r="N1563">
        <v>302</v>
      </c>
      <c r="O1563" t="str">
        <f>IF(N1563&gt;=200,"Platinum",IF(N1563&gt;=100,"Gold",IF(N1563&gt;=50,"Silver","Regular")))</f>
        <v>Platinum</v>
      </c>
      <c r="P1563" s="4" t="str">
        <f t="shared" si="169"/>
        <v>Friday</v>
      </c>
      <c r="Q1563" s="4" t="str">
        <f t="shared" si="170"/>
        <v>Medium Order</v>
      </c>
      <c r="R1563" s="4" t="str">
        <f t="shared" si="171"/>
        <v>Weekday</v>
      </c>
      <c r="S1563" s="4" t="str">
        <f t="shared" si="172"/>
        <v>Regular</v>
      </c>
    </row>
    <row r="1564" spans="1:19" x14ac:dyDescent="0.3">
      <c r="A1564">
        <v>4996</v>
      </c>
      <c r="B1564" t="s">
        <v>8</v>
      </c>
      <c r="C1564" s="1">
        <v>45545</v>
      </c>
      <c r="D1564" t="s">
        <v>24</v>
      </c>
      <c r="E1564" t="s">
        <v>2</v>
      </c>
      <c r="F1564">
        <v>4</v>
      </c>
      <c r="G1564">
        <v>18.36</v>
      </c>
      <c r="H1564">
        <v>73.44</v>
      </c>
      <c r="I1564" t="str">
        <f t="shared" si="168"/>
        <v>Low</v>
      </c>
      <c r="J1564">
        <v>1.89</v>
      </c>
      <c r="K1564">
        <f t="shared" si="173"/>
        <v>71.55</v>
      </c>
      <c r="L1564" t="str">
        <f t="shared" si="174"/>
        <v>September</v>
      </c>
      <c r="M1564">
        <f>YEAR(C1564)</f>
        <v>2024</v>
      </c>
      <c r="N1564">
        <v>499</v>
      </c>
      <c r="O1564" t="str">
        <f>IF(N1564&gt;=200,"Platinum",IF(N1564&gt;=100,"Gold",IF(N1564&gt;=50,"Silver","Regular")))</f>
        <v>Platinum</v>
      </c>
      <c r="P1564" s="4" t="str">
        <f t="shared" si="169"/>
        <v>Tuesday</v>
      </c>
      <c r="Q1564" s="4" t="str">
        <f t="shared" si="170"/>
        <v>Medium Order</v>
      </c>
      <c r="R1564" s="4" t="str">
        <f t="shared" si="171"/>
        <v>Weekday</v>
      </c>
      <c r="S1564" s="4" t="str">
        <f t="shared" si="172"/>
        <v>Regular</v>
      </c>
    </row>
    <row r="1565" spans="1:19" x14ac:dyDescent="0.3">
      <c r="A1565">
        <v>2958</v>
      </c>
      <c r="B1565" t="s">
        <v>19</v>
      </c>
      <c r="C1565" s="1">
        <v>45722</v>
      </c>
      <c r="D1565" t="s">
        <v>24</v>
      </c>
      <c r="E1565" t="s">
        <v>30</v>
      </c>
      <c r="F1565">
        <v>2</v>
      </c>
      <c r="G1565">
        <v>22.13</v>
      </c>
      <c r="H1565">
        <v>44.26</v>
      </c>
      <c r="I1565" t="str">
        <f t="shared" si="168"/>
        <v>Low</v>
      </c>
      <c r="J1565">
        <v>1.1299999999999999</v>
      </c>
      <c r="K1565">
        <f t="shared" si="173"/>
        <v>43.129999999999995</v>
      </c>
      <c r="L1565" t="str">
        <f t="shared" si="174"/>
        <v>March</v>
      </c>
      <c r="M1565">
        <f>YEAR(C1565)</f>
        <v>2025</v>
      </c>
      <c r="N1565">
        <v>485</v>
      </c>
      <c r="O1565" t="str">
        <f>IF(N1565&gt;=200,"Platinum",IF(N1565&gt;=100,"Gold",IF(N1565&gt;=50,"Silver","Regular")))</f>
        <v>Platinum</v>
      </c>
      <c r="P1565" s="4" t="str">
        <f t="shared" si="169"/>
        <v>Thursday</v>
      </c>
      <c r="Q1565" s="4" t="str">
        <f t="shared" si="170"/>
        <v>Small Order</v>
      </c>
      <c r="R1565" s="4" t="str">
        <f t="shared" si="171"/>
        <v>Weekday</v>
      </c>
      <c r="S1565" s="4" t="str">
        <f t="shared" si="172"/>
        <v>Regular</v>
      </c>
    </row>
    <row r="1566" spans="1:19" x14ac:dyDescent="0.3">
      <c r="A1566">
        <v>2188</v>
      </c>
      <c r="B1566" t="s">
        <v>15</v>
      </c>
      <c r="C1566" s="1">
        <v>45152</v>
      </c>
      <c r="D1566" t="s">
        <v>11</v>
      </c>
      <c r="E1566" t="s">
        <v>32</v>
      </c>
      <c r="F1566">
        <v>4</v>
      </c>
      <c r="G1566">
        <v>25.48</v>
      </c>
      <c r="H1566">
        <v>101.92</v>
      </c>
      <c r="I1566" t="str">
        <f t="shared" si="168"/>
        <v>Low</v>
      </c>
      <c r="J1566">
        <v>2.6</v>
      </c>
      <c r="K1566">
        <f t="shared" si="173"/>
        <v>99.320000000000007</v>
      </c>
      <c r="L1566" t="str">
        <f t="shared" si="174"/>
        <v>August</v>
      </c>
      <c r="M1566">
        <f>YEAR(C1566)</f>
        <v>2023</v>
      </c>
      <c r="N1566">
        <v>124</v>
      </c>
      <c r="O1566" t="str">
        <f>IF(N1566&gt;=200,"Platinum",IF(N1566&gt;=100,"Gold",IF(N1566&gt;=50,"Silver","Regular")))</f>
        <v>Gold</v>
      </c>
      <c r="P1566" s="4" t="str">
        <f t="shared" si="169"/>
        <v>Monday</v>
      </c>
      <c r="Q1566" s="4" t="str">
        <f t="shared" si="170"/>
        <v>Medium Order</v>
      </c>
      <c r="R1566" s="4" t="str">
        <f t="shared" si="171"/>
        <v>Weekday</v>
      </c>
      <c r="S1566" s="4" t="str">
        <f t="shared" si="172"/>
        <v>Regular</v>
      </c>
    </row>
    <row r="1567" spans="1:19" x14ac:dyDescent="0.3">
      <c r="A1567">
        <v>5239</v>
      </c>
      <c r="B1567" t="s">
        <v>13</v>
      </c>
      <c r="C1567" s="1">
        <v>45317</v>
      </c>
      <c r="D1567" t="s">
        <v>6</v>
      </c>
      <c r="E1567" t="s">
        <v>36</v>
      </c>
      <c r="F1567">
        <v>4</v>
      </c>
      <c r="G1567">
        <v>25.1</v>
      </c>
      <c r="H1567">
        <v>100.4</v>
      </c>
      <c r="I1567" t="str">
        <f t="shared" si="168"/>
        <v>Low</v>
      </c>
      <c r="J1567">
        <v>2.5499999999999998</v>
      </c>
      <c r="K1567">
        <f t="shared" si="173"/>
        <v>97.850000000000009</v>
      </c>
      <c r="L1567" t="str">
        <f t="shared" si="174"/>
        <v>January</v>
      </c>
      <c r="M1567">
        <f>YEAR(C1567)</f>
        <v>2024</v>
      </c>
      <c r="N1567">
        <v>361</v>
      </c>
      <c r="O1567" t="str">
        <f>IF(N1567&gt;=200,"Platinum",IF(N1567&gt;=100,"Gold",IF(N1567&gt;=50,"Silver","Regular")))</f>
        <v>Platinum</v>
      </c>
      <c r="P1567" s="4" t="str">
        <f t="shared" si="169"/>
        <v>Friday</v>
      </c>
      <c r="Q1567" s="4" t="str">
        <f t="shared" si="170"/>
        <v>Medium Order</v>
      </c>
      <c r="R1567" s="4" t="str">
        <f t="shared" si="171"/>
        <v>Weekday</v>
      </c>
      <c r="S1567" s="4" t="str">
        <f t="shared" si="172"/>
        <v>Regular</v>
      </c>
    </row>
    <row r="1568" spans="1:19" x14ac:dyDescent="0.3">
      <c r="A1568">
        <v>8487</v>
      </c>
      <c r="B1568" t="s">
        <v>31</v>
      </c>
      <c r="C1568" s="1">
        <v>45260</v>
      </c>
      <c r="D1568" t="s">
        <v>11</v>
      </c>
      <c r="E1568" t="s">
        <v>22</v>
      </c>
      <c r="F1568">
        <v>5</v>
      </c>
      <c r="G1568">
        <v>20.89</v>
      </c>
      <c r="H1568">
        <v>104.45</v>
      </c>
      <c r="I1568" t="str">
        <f t="shared" si="168"/>
        <v>Low</v>
      </c>
      <c r="J1568">
        <v>2.65</v>
      </c>
      <c r="K1568">
        <f t="shared" si="173"/>
        <v>101.8</v>
      </c>
      <c r="L1568" t="str">
        <f t="shared" si="174"/>
        <v>November</v>
      </c>
      <c r="M1568">
        <f>YEAR(C1568)</f>
        <v>2023</v>
      </c>
      <c r="N1568">
        <v>445</v>
      </c>
      <c r="O1568" t="str">
        <f>IF(N1568&gt;=200,"Platinum",IF(N1568&gt;=100,"Gold",IF(N1568&gt;=50,"Silver","Regular")))</f>
        <v>Platinum</v>
      </c>
      <c r="P1568" s="4" t="str">
        <f t="shared" si="169"/>
        <v>Thursday</v>
      </c>
      <c r="Q1568" s="4" t="str">
        <f t="shared" si="170"/>
        <v>Medium Order</v>
      </c>
      <c r="R1568" s="4" t="str">
        <f t="shared" si="171"/>
        <v>Weekday</v>
      </c>
      <c r="S1568" s="4" t="str">
        <f t="shared" si="172"/>
        <v>High Value</v>
      </c>
    </row>
    <row r="1569" spans="1:19" x14ac:dyDescent="0.3">
      <c r="A1569">
        <v>5558</v>
      </c>
      <c r="B1569" t="s">
        <v>25</v>
      </c>
      <c r="C1569" s="1">
        <v>45684</v>
      </c>
      <c r="D1569" t="s">
        <v>34</v>
      </c>
      <c r="E1569" t="s">
        <v>7</v>
      </c>
      <c r="F1569">
        <v>4</v>
      </c>
      <c r="G1569">
        <v>20.22</v>
      </c>
      <c r="H1569">
        <v>80.88</v>
      </c>
      <c r="I1569" t="str">
        <f t="shared" si="168"/>
        <v>Low</v>
      </c>
      <c r="J1569">
        <v>2.0499999999999998</v>
      </c>
      <c r="K1569">
        <f t="shared" si="173"/>
        <v>78.83</v>
      </c>
      <c r="L1569" t="str">
        <f t="shared" si="174"/>
        <v>January</v>
      </c>
      <c r="M1569">
        <f>YEAR(C1569)</f>
        <v>2025</v>
      </c>
      <c r="N1569">
        <v>342</v>
      </c>
      <c r="O1569" t="str">
        <f>IF(N1569&gt;=200,"Platinum",IF(N1569&gt;=100,"Gold",IF(N1569&gt;=50,"Silver","Regular")))</f>
        <v>Platinum</v>
      </c>
      <c r="P1569" s="4" t="str">
        <f t="shared" si="169"/>
        <v>Monday</v>
      </c>
      <c r="Q1569" s="4" t="str">
        <f t="shared" si="170"/>
        <v>Medium Order</v>
      </c>
      <c r="R1569" s="4" t="str">
        <f t="shared" si="171"/>
        <v>Weekday</v>
      </c>
      <c r="S1569" s="4" t="str">
        <f t="shared" si="172"/>
        <v>Regular</v>
      </c>
    </row>
    <row r="1570" spans="1:19" x14ac:dyDescent="0.3">
      <c r="A1570">
        <v>6793</v>
      </c>
      <c r="B1570" t="s">
        <v>3</v>
      </c>
      <c r="C1570" s="1">
        <v>45823</v>
      </c>
      <c r="D1570" t="s">
        <v>34</v>
      </c>
      <c r="E1570" t="s">
        <v>21</v>
      </c>
      <c r="F1570">
        <v>5</v>
      </c>
      <c r="G1570">
        <v>12.98</v>
      </c>
      <c r="H1570">
        <v>64.900000000000006</v>
      </c>
      <c r="I1570" t="str">
        <f t="shared" si="168"/>
        <v>Low</v>
      </c>
      <c r="J1570">
        <v>1.64</v>
      </c>
      <c r="K1570">
        <f t="shared" si="173"/>
        <v>63.260000000000005</v>
      </c>
      <c r="L1570" t="str">
        <f t="shared" si="174"/>
        <v>June</v>
      </c>
      <c r="M1570">
        <f>YEAR(C1570)</f>
        <v>2025</v>
      </c>
      <c r="N1570">
        <v>317</v>
      </c>
      <c r="O1570" t="str">
        <f>IF(N1570&gt;=200,"Platinum",IF(N1570&gt;=100,"Gold",IF(N1570&gt;=50,"Silver","Regular")))</f>
        <v>Platinum</v>
      </c>
      <c r="P1570" s="4" t="str">
        <f t="shared" si="169"/>
        <v>Sunday</v>
      </c>
      <c r="Q1570" s="4" t="str">
        <f t="shared" si="170"/>
        <v>Medium Order</v>
      </c>
      <c r="R1570" s="4" t="str">
        <f t="shared" si="171"/>
        <v>Weekend</v>
      </c>
      <c r="S1570" s="4" t="str">
        <f t="shared" si="172"/>
        <v>Regular</v>
      </c>
    </row>
    <row r="1571" spans="1:19" x14ac:dyDescent="0.3">
      <c r="A1571">
        <v>1472</v>
      </c>
      <c r="B1571" t="s">
        <v>49</v>
      </c>
      <c r="C1571" s="1">
        <v>45634</v>
      </c>
      <c r="D1571" t="s">
        <v>17</v>
      </c>
      <c r="E1571" t="s">
        <v>29</v>
      </c>
      <c r="F1571">
        <v>5</v>
      </c>
      <c r="G1571">
        <v>25.44</v>
      </c>
      <c r="H1571">
        <v>127.2</v>
      </c>
      <c r="I1571" t="str">
        <f t="shared" si="168"/>
        <v>Low</v>
      </c>
      <c r="J1571">
        <v>3.2</v>
      </c>
      <c r="K1571">
        <f t="shared" si="173"/>
        <v>124</v>
      </c>
      <c r="L1571" t="str">
        <f t="shared" si="174"/>
        <v>December</v>
      </c>
      <c r="M1571">
        <f>YEAR(C1571)</f>
        <v>2024</v>
      </c>
      <c r="N1571">
        <v>154</v>
      </c>
      <c r="O1571" t="str">
        <f>IF(N1571&gt;=200,"Platinum",IF(N1571&gt;=100,"Gold",IF(N1571&gt;=50,"Silver","Regular")))</f>
        <v>Gold</v>
      </c>
      <c r="P1571" s="4" t="str">
        <f t="shared" si="169"/>
        <v>Sunday</v>
      </c>
      <c r="Q1571" s="4" t="str">
        <f t="shared" si="170"/>
        <v>Medium Order</v>
      </c>
      <c r="R1571" s="4" t="str">
        <f t="shared" si="171"/>
        <v>Weekend</v>
      </c>
      <c r="S1571" s="4" t="str">
        <f t="shared" si="172"/>
        <v>High Value</v>
      </c>
    </row>
    <row r="1572" spans="1:19" x14ac:dyDescent="0.3">
      <c r="A1572">
        <v>8905</v>
      </c>
      <c r="B1572" t="s">
        <v>13</v>
      </c>
      <c r="C1572" s="1">
        <v>45511</v>
      </c>
      <c r="D1572" t="s">
        <v>34</v>
      </c>
      <c r="E1572" t="s">
        <v>21</v>
      </c>
      <c r="F1572">
        <v>4</v>
      </c>
      <c r="G1572">
        <v>10.17</v>
      </c>
      <c r="H1572">
        <v>40.68</v>
      </c>
      <c r="I1572" t="str">
        <f t="shared" si="168"/>
        <v>Low</v>
      </c>
      <c r="J1572">
        <v>1.02</v>
      </c>
      <c r="K1572">
        <f t="shared" si="173"/>
        <v>39.659999999999997</v>
      </c>
      <c r="L1572" t="str">
        <f t="shared" si="174"/>
        <v>August</v>
      </c>
      <c r="M1572">
        <f>YEAR(C1572)</f>
        <v>2024</v>
      </c>
      <c r="N1572">
        <v>199</v>
      </c>
      <c r="O1572" t="str">
        <f>IF(N1572&gt;=200,"Platinum",IF(N1572&gt;=100,"Gold",IF(N1572&gt;=50,"Silver","Regular")))</f>
        <v>Gold</v>
      </c>
      <c r="P1572" s="4" t="str">
        <f t="shared" si="169"/>
        <v>Wednesday</v>
      </c>
      <c r="Q1572" s="4" t="str">
        <f t="shared" si="170"/>
        <v>Medium Order</v>
      </c>
      <c r="R1572" s="4" t="str">
        <f t="shared" si="171"/>
        <v>Weekday</v>
      </c>
      <c r="S1572" s="4" t="str">
        <f t="shared" si="172"/>
        <v>Regular</v>
      </c>
    </row>
    <row r="1573" spans="1:19" x14ac:dyDescent="0.3">
      <c r="A1573">
        <v>1845</v>
      </c>
      <c r="B1573" t="s">
        <v>3</v>
      </c>
      <c r="C1573" s="1">
        <v>45303</v>
      </c>
      <c r="D1573" t="s">
        <v>24</v>
      </c>
      <c r="E1573" t="s">
        <v>29</v>
      </c>
      <c r="F1573">
        <v>4</v>
      </c>
      <c r="G1573">
        <v>12.23</v>
      </c>
      <c r="H1573">
        <v>48.92</v>
      </c>
      <c r="I1573" t="str">
        <f t="shared" si="168"/>
        <v>Low</v>
      </c>
      <c r="J1573">
        <v>1.22</v>
      </c>
      <c r="K1573">
        <f t="shared" si="173"/>
        <v>47.7</v>
      </c>
      <c r="L1573" t="str">
        <f t="shared" si="174"/>
        <v>January</v>
      </c>
      <c r="M1573">
        <f>YEAR(C1573)</f>
        <v>2024</v>
      </c>
      <c r="N1573">
        <v>489</v>
      </c>
      <c r="O1573" t="str">
        <f>IF(N1573&gt;=200,"Platinum",IF(N1573&gt;=100,"Gold",IF(N1573&gt;=50,"Silver","Regular")))</f>
        <v>Platinum</v>
      </c>
      <c r="P1573" s="4" t="str">
        <f t="shared" si="169"/>
        <v>Friday</v>
      </c>
      <c r="Q1573" s="4" t="str">
        <f t="shared" si="170"/>
        <v>Medium Order</v>
      </c>
      <c r="R1573" s="4" t="str">
        <f t="shared" si="171"/>
        <v>Weekday</v>
      </c>
      <c r="S1573" s="4" t="str">
        <f t="shared" si="172"/>
        <v>Regular</v>
      </c>
    </row>
    <row r="1574" spans="1:19" x14ac:dyDescent="0.3">
      <c r="A1574">
        <v>4580</v>
      </c>
      <c r="B1574" t="s">
        <v>0</v>
      </c>
      <c r="C1574" s="1">
        <v>45475</v>
      </c>
      <c r="D1574" t="s">
        <v>16</v>
      </c>
      <c r="E1574" t="s">
        <v>5</v>
      </c>
      <c r="F1574">
        <v>4</v>
      </c>
      <c r="G1574">
        <v>12.48</v>
      </c>
      <c r="H1574">
        <v>49.92</v>
      </c>
      <c r="I1574" t="str">
        <f t="shared" si="168"/>
        <v>Low</v>
      </c>
      <c r="J1574">
        <v>1.24</v>
      </c>
      <c r="K1574">
        <f t="shared" si="173"/>
        <v>48.68</v>
      </c>
      <c r="L1574" t="str">
        <f t="shared" si="174"/>
        <v>July</v>
      </c>
      <c r="M1574">
        <f>YEAR(C1574)</f>
        <v>2024</v>
      </c>
      <c r="N1574">
        <v>249</v>
      </c>
      <c r="O1574" t="str">
        <f>IF(N1574&gt;=200,"Platinum",IF(N1574&gt;=100,"Gold",IF(N1574&gt;=50,"Silver","Regular")))</f>
        <v>Platinum</v>
      </c>
      <c r="P1574" s="4" t="str">
        <f t="shared" si="169"/>
        <v>Tuesday</v>
      </c>
      <c r="Q1574" s="4" t="str">
        <f t="shared" si="170"/>
        <v>Medium Order</v>
      </c>
      <c r="R1574" s="4" t="str">
        <f t="shared" si="171"/>
        <v>Weekday</v>
      </c>
      <c r="S1574" s="4" t="str">
        <f t="shared" si="172"/>
        <v>Regular</v>
      </c>
    </row>
    <row r="1575" spans="1:19" x14ac:dyDescent="0.3">
      <c r="A1575">
        <v>5915</v>
      </c>
      <c r="B1575" t="s">
        <v>20</v>
      </c>
      <c r="C1575" s="1">
        <v>45500</v>
      </c>
      <c r="D1575" t="s">
        <v>9</v>
      </c>
      <c r="E1575" t="s">
        <v>28</v>
      </c>
      <c r="F1575">
        <v>4</v>
      </c>
      <c r="G1575">
        <v>27.7</v>
      </c>
      <c r="H1575">
        <v>110.8</v>
      </c>
      <c r="I1575" t="str">
        <f t="shared" si="168"/>
        <v>Low</v>
      </c>
      <c r="J1575">
        <v>2.72</v>
      </c>
      <c r="K1575">
        <f t="shared" si="173"/>
        <v>108.08</v>
      </c>
      <c r="L1575" t="str">
        <f t="shared" si="174"/>
        <v>July</v>
      </c>
      <c r="M1575">
        <f>YEAR(C1575)</f>
        <v>2024</v>
      </c>
      <c r="N1575">
        <v>441</v>
      </c>
      <c r="O1575" t="str">
        <f>IF(N1575&gt;=200,"Platinum",IF(N1575&gt;=100,"Gold",IF(N1575&gt;=50,"Silver","Regular")))</f>
        <v>Platinum</v>
      </c>
      <c r="P1575" s="4" t="str">
        <f t="shared" si="169"/>
        <v>Saturday</v>
      </c>
      <c r="Q1575" s="4" t="str">
        <f t="shared" si="170"/>
        <v>Medium Order</v>
      </c>
      <c r="R1575" s="4" t="str">
        <f t="shared" si="171"/>
        <v>Weekend</v>
      </c>
      <c r="S1575" s="4" t="str">
        <f t="shared" si="172"/>
        <v>High Value</v>
      </c>
    </row>
    <row r="1576" spans="1:19" x14ac:dyDescent="0.3">
      <c r="A1576">
        <v>8471</v>
      </c>
      <c r="B1576" t="s">
        <v>3</v>
      </c>
      <c r="C1576" s="1">
        <v>45434</v>
      </c>
      <c r="D1576" t="s">
        <v>23</v>
      </c>
      <c r="E1576" t="s">
        <v>32</v>
      </c>
      <c r="F1576">
        <v>4</v>
      </c>
      <c r="G1576">
        <v>13.39</v>
      </c>
      <c r="H1576">
        <v>53.56</v>
      </c>
      <c r="I1576" t="str">
        <f t="shared" si="168"/>
        <v>Low</v>
      </c>
      <c r="J1576">
        <v>1.31</v>
      </c>
      <c r="K1576">
        <f t="shared" si="173"/>
        <v>52.25</v>
      </c>
      <c r="L1576" t="str">
        <f t="shared" si="174"/>
        <v>May</v>
      </c>
      <c r="M1576">
        <f>YEAR(C1576)</f>
        <v>2024</v>
      </c>
      <c r="N1576">
        <v>192</v>
      </c>
      <c r="O1576" t="str">
        <f>IF(N1576&gt;=200,"Platinum",IF(N1576&gt;=100,"Gold",IF(N1576&gt;=50,"Silver","Regular")))</f>
        <v>Gold</v>
      </c>
      <c r="P1576" s="4" t="str">
        <f t="shared" si="169"/>
        <v>Wednesday</v>
      </c>
      <c r="Q1576" s="4" t="str">
        <f t="shared" si="170"/>
        <v>Medium Order</v>
      </c>
      <c r="R1576" s="4" t="str">
        <f t="shared" si="171"/>
        <v>Weekday</v>
      </c>
      <c r="S1576" s="4" t="str">
        <f t="shared" si="172"/>
        <v>Regular</v>
      </c>
    </row>
    <row r="1577" spans="1:19" x14ac:dyDescent="0.3">
      <c r="A1577">
        <v>8172</v>
      </c>
      <c r="B1577" t="s">
        <v>19</v>
      </c>
      <c r="C1577" s="1">
        <v>45486</v>
      </c>
      <c r="D1577" t="s">
        <v>34</v>
      </c>
      <c r="E1577" t="s">
        <v>32</v>
      </c>
      <c r="F1577">
        <v>5</v>
      </c>
      <c r="G1577">
        <v>22.61</v>
      </c>
      <c r="H1577">
        <v>113.05</v>
      </c>
      <c r="I1577" t="str">
        <f t="shared" si="168"/>
        <v>Low</v>
      </c>
      <c r="J1577">
        <v>2.74</v>
      </c>
      <c r="K1577">
        <f t="shared" si="173"/>
        <v>110.31</v>
      </c>
      <c r="L1577" t="str">
        <f t="shared" si="174"/>
        <v>July</v>
      </c>
      <c r="M1577">
        <f>YEAR(C1577)</f>
        <v>2024</v>
      </c>
      <c r="N1577">
        <v>297</v>
      </c>
      <c r="O1577" t="str">
        <f>IF(N1577&gt;=200,"Platinum",IF(N1577&gt;=100,"Gold",IF(N1577&gt;=50,"Silver","Regular")))</f>
        <v>Platinum</v>
      </c>
      <c r="P1577" s="4" t="str">
        <f t="shared" si="169"/>
        <v>Saturday</v>
      </c>
      <c r="Q1577" s="4" t="str">
        <f t="shared" si="170"/>
        <v>Medium Order</v>
      </c>
      <c r="R1577" s="4" t="str">
        <f t="shared" si="171"/>
        <v>Weekend</v>
      </c>
      <c r="S1577" s="4" t="str">
        <f t="shared" si="172"/>
        <v>High Value</v>
      </c>
    </row>
    <row r="1578" spans="1:19" x14ac:dyDescent="0.3">
      <c r="A1578">
        <v>3110</v>
      </c>
      <c r="B1578" t="s">
        <v>8</v>
      </c>
      <c r="C1578" s="1">
        <v>45216</v>
      </c>
      <c r="D1578" t="s">
        <v>6</v>
      </c>
      <c r="E1578" t="s">
        <v>35</v>
      </c>
      <c r="F1578">
        <v>3</v>
      </c>
      <c r="G1578">
        <v>15.41</v>
      </c>
      <c r="H1578">
        <v>46.23</v>
      </c>
      <c r="I1578" t="str">
        <f t="shared" si="168"/>
        <v>Low</v>
      </c>
      <c r="J1578">
        <v>1.1200000000000001</v>
      </c>
      <c r="K1578">
        <f t="shared" si="173"/>
        <v>45.11</v>
      </c>
      <c r="L1578" t="str">
        <f t="shared" si="174"/>
        <v>October</v>
      </c>
      <c r="M1578">
        <f>YEAR(C1578)</f>
        <v>2023</v>
      </c>
      <c r="N1578">
        <v>38</v>
      </c>
      <c r="O1578" t="str">
        <f>IF(N1578&gt;=200,"Platinum",IF(N1578&gt;=100,"Gold",IF(N1578&gt;=50,"Silver","Regular")))</f>
        <v>Regular</v>
      </c>
      <c r="P1578" s="4" t="str">
        <f t="shared" si="169"/>
        <v>Tuesday</v>
      </c>
      <c r="Q1578" s="4" t="str">
        <f t="shared" si="170"/>
        <v>Medium Order</v>
      </c>
      <c r="R1578" s="4" t="str">
        <f t="shared" si="171"/>
        <v>Weekday</v>
      </c>
      <c r="S1578" s="4" t="str">
        <f t="shared" si="172"/>
        <v>Regular</v>
      </c>
    </row>
    <row r="1579" spans="1:19" x14ac:dyDescent="0.3">
      <c r="A1579">
        <v>7912</v>
      </c>
      <c r="B1579" t="s">
        <v>13</v>
      </c>
      <c r="C1579" s="1">
        <v>45169</v>
      </c>
      <c r="D1579" t="s">
        <v>4</v>
      </c>
      <c r="E1579" t="s">
        <v>7</v>
      </c>
      <c r="F1579">
        <v>3</v>
      </c>
      <c r="G1579">
        <v>25.04</v>
      </c>
      <c r="H1579">
        <v>75.12</v>
      </c>
      <c r="I1579" t="str">
        <f t="shared" si="168"/>
        <v>Low</v>
      </c>
      <c r="J1579">
        <v>1.77</v>
      </c>
      <c r="K1579">
        <f t="shared" si="173"/>
        <v>73.350000000000009</v>
      </c>
      <c r="L1579" t="str">
        <f t="shared" si="174"/>
        <v>August</v>
      </c>
      <c r="M1579">
        <f>YEAR(C1579)</f>
        <v>2023</v>
      </c>
      <c r="N1579">
        <v>316</v>
      </c>
      <c r="O1579" t="str">
        <f>IF(N1579&gt;=200,"Platinum",IF(N1579&gt;=100,"Gold",IF(N1579&gt;=50,"Silver","Regular")))</f>
        <v>Platinum</v>
      </c>
      <c r="P1579" s="4" t="str">
        <f t="shared" si="169"/>
        <v>Thursday</v>
      </c>
      <c r="Q1579" s="4" t="str">
        <f t="shared" si="170"/>
        <v>Medium Order</v>
      </c>
      <c r="R1579" s="4" t="str">
        <f t="shared" si="171"/>
        <v>Weekday</v>
      </c>
      <c r="S1579" s="4" t="str">
        <f t="shared" si="172"/>
        <v>Regular</v>
      </c>
    </row>
    <row r="1580" spans="1:19" x14ac:dyDescent="0.3">
      <c r="A1580">
        <v>4909</v>
      </c>
      <c r="B1580" t="s">
        <v>8</v>
      </c>
      <c r="C1580" s="1">
        <v>45189</v>
      </c>
      <c r="D1580" t="s">
        <v>9</v>
      </c>
      <c r="E1580" t="s">
        <v>37</v>
      </c>
      <c r="F1580">
        <v>5</v>
      </c>
      <c r="G1580">
        <v>27.39</v>
      </c>
      <c r="H1580">
        <v>136.94999999999999</v>
      </c>
      <c r="I1580" t="str">
        <f t="shared" si="168"/>
        <v>Low</v>
      </c>
      <c r="J1580">
        <v>3.21</v>
      </c>
      <c r="K1580">
        <f t="shared" si="173"/>
        <v>133.73999999999998</v>
      </c>
      <c r="L1580" t="str">
        <f t="shared" si="174"/>
        <v>September</v>
      </c>
      <c r="M1580">
        <f>YEAR(C1580)</f>
        <v>2023</v>
      </c>
      <c r="N1580">
        <v>209</v>
      </c>
      <c r="O1580" t="str">
        <f>IF(N1580&gt;=200,"Platinum",IF(N1580&gt;=100,"Gold",IF(N1580&gt;=50,"Silver","Regular")))</f>
        <v>Platinum</v>
      </c>
      <c r="P1580" s="4" t="str">
        <f t="shared" si="169"/>
        <v>Wednesday</v>
      </c>
      <c r="Q1580" s="4" t="str">
        <f t="shared" si="170"/>
        <v>Medium Order</v>
      </c>
      <c r="R1580" s="4" t="str">
        <f t="shared" si="171"/>
        <v>Weekday</v>
      </c>
      <c r="S1580" s="4" t="str">
        <f t="shared" si="172"/>
        <v>High Value</v>
      </c>
    </row>
    <row r="1581" spans="1:19" x14ac:dyDescent="0.3">
      <c r="A1581">
        <v>7033</v>
      </c>
      <c r="B1581" t="s">
        <v>20</v>
      </c>
      <c r="C1581" s="1">
        <v>45604</v>
      </c>
      <c r="D1581" t="s">
        <v>16</v>
      </c>
      <c r="E1581" t="s">
        <v>26</v>
      </c>
      <c r="F1581">
        <v>3</v>
      </c>
      <c r="G1581">
        <v>17.39</v>
      </c>
      <c r="H1581">
        <v>52.17</v>
      </c>
      <c r="I1581" t="str">
        <f t="shared" si="168"/>
        <v>Low</v>
      </c>
      <c r="J1581">
        <v>1.22</v>
      </c>
      <c r="K1581">
        <f t="shared" si="173"/>
        <v>50.95</v>
      </c>
      <c r="L1581" t="str">
        <f t="shared" si="174"/>
        <v>November</v>
      </c>
      <c r="M1581">
        <f>YEAR(C1581)</f>
        <v>2024</v>
      </c>
      <c r="N1581">
        <v>291</v>
      </c>
      <c r="O1581" t="str">
        <f>IF(N1581&gt;=200,"Platinum",IF(N1581&gt;=100,"Gold",IF(N1581&gt;=50,"Silver","Regular")))</f>
        <v>Platinum</v>
      </c>
      <c r="P1581" s="4" t="str">
        <f t="shared" si="169"/>
        <v>Friday</v>
      </c>
      <c r="Q1581" s="4" t="str">
        <f t="shared" si="170"/>
        <v>Medium Order</v>
      </c>
      <c r="R1581" s="4" t="str">
        <f t="shared" si="171"/>
        <v>Weekday</v>
      </c>
      <c r="S1581" s="4" t="str">
        <f t="shared" si="172"/>
        <v>Regular</v>
      </c>
    </row>
    <row r="1582" spans="1:19" x14ac:dyDescent="0.3">
      <c r="A1582">
        <v>2525</v>
      </c>
      <c r="B1582" t="s">
        <v>25</v>
      </c>
      <c r="C1582" s="1">
        <v>45457</v>
      </c>
      <c r="D1582" t="s">
        <v>6</v>
      </c>
      <c r="E1582" t="s">
        <v>21</v>
      </c>
      <c r="F1582">
        <v>4</v>
      </c>
      <c r="G1582">
        <v>29.78</v>
      </c>
      <c r="H1582">
        <v>119.12</v>
      </c>
      <c r="I1582" t="str">
        <f t="shared" si="168"/>
        <v>Low</v>
      </c>
      <c r="J1582">
        <v>2.76</v>
      </c>
      <c r="K1582">
        <f t="shared" si="173"/>
        <v>116.36</v>
      </c>
      <c r="L1582" t="str">
        <f t="shared" si="174"/>
        <v>June</v>
      </c>
      <c r="M1582">
        <f>YEAR(C1582)</f>
        <v>2024</v>
      </c>
      <c r="N1582">
        <v>232</v>
      </c>
      <c r="O1582" t="str">
        <f>IF(N1582&gt;=200,"Platinum",IF(N1582&gt;=100,"Gold",IF(N1582&gt;=50,"Silver","Regular")))</f>
        <v>Platinum</v>
      </c>
      <c r="P1582" s="4" t="str">
        <f t="shared" si="169"/>
        <v>Friday</v>
      </c>
      <c r="Q1582" s="4" t="str">
        <f t="shared" si="170"/>
        <v>Medium Order</v>
      </c>
      <c r="R1582" s="4" t="str">
        <f t="shared" si="171"/>
        <v>Weekday</v>
      </c>
      <c r="S1582" s="4" t="str">
        <f t="shared" si="172"/>
        <v>High Value</v>
      </c>
    </row>
    <row r="1583" spans="1:19" x14ac:dyDescent="0.3">
      <c r="A1583">
        <v>6993</v>
      </c>
      <c r="B1583" t="s">
        <v>0</v>
      </c>
      <c r="C1583" s="1">
        <v>45398</v>
      </c>
      <c r="D1583" t="s">
        <v>11</v>
      </c>
      <c r="E1583" t="s">
        <v>28</v>
      </c>
      <c r="F1583">
        <v>5</v>
      </c>
      <c r="G1583">
        <v>26.61</v>
      </c>
      <c r="H1583">
        <v>133.05000000000001</v>
      </c>
      <c r="I1583" t="str">
        <f t="shared" si="168"/>
        <v>Low</v>
      </c>
      <c r="J1583">
        <v>3.05</v>
      </c>
      <c r="K1583">
        <f t="shared" si="173"/>
        <v>130</v>
      </c>
      <c r="L1583" t="str">
        <f t="shared" si="174"/>
        <v>April</v>
      </c>
      <c r="M1583">
        <f>YEAR(C1583)</f>
        <v>2024</v>
      </c>
      <c r="N1583">
        <v>334</v>
      </c>
      <c r="O1583" t="str">
        <f>IF(N1583&gt;=200,"Platinum",IF(N1583&gt;=100,"Gold",IF(N1583&gt;=50,"Silver","Regular")))</f>
        <v>Platinum</v>
      </c>
      <c r="P1583" s="4" t="str">
        <f t="shared" si="169"/>
        <v>Tuesday</v>
      </c>
      <c r="Q1583" s="4" t="str">
        <f t="shared" si="170"/>
        <v>Medium Order</v>
      </c>
      <c r="R1583" s="4" t="str">
        <f t="shared" si="171"/>
        <v>Weekday</v>
      </c>
      <c r="S1583" s="4" t="str">
        <f t="shared" si="172"/>
        <v>High Value</v>
      </c>
    </row>
    <row r="1584" spans="1:19" x14ac:dyDescent="0.3">
      <c r="A1584">
        <v>2330</v>
      </c>
      <c r="B1584" t="s">
        <v>19</v>
      </c>
      <c r="C1584" s="1">
        <v>45266</v>
      </c>
      <c r="D1584" t="s">
        <v>6</v>
      </c>
      <c r="E1584" t="s">
        <v>22</v>
      </c>
      <c r="F1584">
        <v>3</v>
      </c>
      <c r="G1584">
        <v>20.63</v>
      </c>
      <c r="H1584">
        <v>61.89</v>
      </c>
      <c r="I1584" t="str">
        <f t="shared" si="168"/>
        <v>Low</v>
      </c>
      <c r="J1584">
        <v>1.41</v>
      </c>
      <c r="K1584">
        <f t="shared" si="173"/>
        <v>60.480000000000004</v>
      </c>
      <c r="L1584" t="str">
        <f t="shared" si="174"/>
        <v>December</v>
      </c>
      <c r="M1584">
        <f>YEAR(C1584)</f>
        <v>2023</v>
      </c>
      <c r="N1584">
        <v>422</v>
      </c>
      <c r="O1584" t="str">
        <f>IF(N1584&gt;=200,"Platinum",IF(N1584&gt;=100,"Gold",IF(N1584&gt;=50,"Silver","Regular")))</f>
        <v>Platinum</v>
      </c>
      <c r="P1584" s="4" t="str">
        <f t="shared" si="169"/>
        <v>Wednesday</v>
      </c>
      <c r="Q1584" s="4" t="str">
        <f t="shared" si="170"/>
        <v>Medium Order</v>
      </c>
      <c r="R1584" s="4" t="str">
        <f t="shared" si="171"/>
        <v>Weekday</v>
      </c>
      <c r="S1584" s="4" t="str">
        <f t="shared" si="172"/>
        <v>Regular</v>
      </c>
    </row>
    <row r="1585" spans="1:19" x14ac:dyDescent="0.3">
      <c r="A1585">
        <v>9835</v>
      </c>
      <c r="B1585" t="s">
        <v>0</v>
      </c>
      <c r="C1585" s="1">
        <v>45731</v>
      </c>
      <c r="D1585" t="s">
        <v>27</v>
      </c>
      <c r="E1585" t="s">
        <v>14</v>
      </c>
      <c r="F1585">
        <v>2</v>
      </c>
      <c r="G1585">
        <v>27.33</v>
      </c>
      <c r="H1585">
        <v>54.66</v>
      </c>
      <c r="I1585" t="str">
        <f t="shared" si="168"/>
        <v>Low</v>
      </c>
      <c r="J1585">
        <v>1.24</v>
      </c>
      <c r="K1585">
        <f t="shared" si="173"/>
        <v>53.419999999999995</v>
      </c>
      <c r="L1585" t="str">
        <f t="shared" si="174"/>
        <v>March</v>
      </c>
      <c r="M1585">
        <f>YEAR(C1585)</f>
        <v>2025</v>
      </c>
      <c r="N1585">
        <v>423</v>
      </c>
      <c r="O1585" t="str">
        <f>IF(N1585&gt;=200,"Platinum",IF(N1585&gt;=100,"Gold",IF(N1585&gt;=50,"Silver","Regular")))</f>
        <v>Platinum</v>
      </c>
      <c r="P1585" s="4" t="str">
        <f t="shared" si="169"/>
        <v>Saturday</v>
      </c>
      <c r="Q1585" s="4" t="str">
        <f t="shared" si="170"/>
        <v>Small Order</v>
      </c>
      <c r="R1585" s="4" t="str">
        <f t="shared" si="171"/>
        <v>Weekend</v>
      </c>
      <c r="S1585" s="4" t="str">
        <f t="shared" si="172"/>
        <v>Regular</v>
      </c>
    </row>
    <row r="1586" spans="1:19" x14ac:dyDescent="0.3">
      <c r="A1586">
        <v>2233</v>
      </c>
      <c r="B1586" t="s">
        <v>15</v>
      </c>
      <c r="C1586" s="1">
        <v>45254</v>
      </c>
      <c r="D1586" t="s">
        <v>27</v>
      </c>
      <c r="E1586" t="s">
        <v>26</v>
      </c>
      <c r="F1586">
        <v>5</v>
      </c>
      <c r="G1586">
        <v>21.2</v>
      </c>
      <c r="H1586">
        <v>106</v>
      </c>
      <c r="I1586" t="str">
        <f t="shared" si="168"/>
        <v>Low</v>
      </c>
      <c r="J1586">
        <v>2.39</v>
      </c>
      <c r="K1586">
        <f t="shared" si="173"/>
        <v>103.61</v>
      </c>
      <c r="L1586" t="str">
        <f t="shared" si="174"/>
        <v>November</v>
      </c>
      <c r="M1586">
        <f>YEAR(C1586)</f>
        <v>2023</v>
      </c>
      <c r="N1586">
        <v>97</v>
      </c>
      <c r="O1586" t="str">
        <f>IF(N1586&gt;=200,"Platinum",IF(N1586&gt;=100,"Gold",IF(N1586&gt;=50,"Silver","Regular")))</f>
        <v>Silver</v>
      </c>
      <c r="P1586" s="4" t="str">
        <f t="shared" si="169"/>
        <v>Friday</v>
      </c>
      <c r="Q1586" s="4" t="str">
        <f t="shared" si="170"/>
        <v>Medium Order</v>
      </c>
      <c r="R1586" s="4" t="str">
        <f t="shared" si="171"/>
        <v>Weekday</v>
      </c>
      <c r="S1586" s="4" t="str">
        <f t="shared" si="172"/>
        <v>High Value</v>
      </c>
    </row>
    <row r="1587" spans="1:19" x14ac:dyDescent="0.3">
      <c r="A1587">
        <v>2037</v>
      </c>
      <c r="B1587" t="s">
        <v>13</v>
      </c>
      <c r="C1587" s="1">
        <v>45763</v>
      </c>
      <c r="D1587" t="s">
        <v>27</v>
      </c>
      <c r="E1587" t="s">
        <v>5</v>
      </c>
      <c r="F1587">
        <v>4</v>
      </c>
      <c r="G1587">
        <v>14.56</v>
      </c>
      <c r="H1587">
        <v>58.24</v>
      </c>
      <c r="I1587" t="str">
        <f t="shared" si="168"/>
        <v>Low</v>
      </c>
      <c r="J1587">
        <v>1.3</v>
      </c>
      <c r="K1587">
        <f t="shared" si="173"/>
        <v>56.940000000000005</v>
      </c>
      <c r="L1587" t="str">
        <f t="shared" si="174"/>
        <v>April</v>
      </c>
      <c r="M1587">
        <f>YEAR(C1587)</f>
        <v>2025</v>
      </c>
      <c r="N1587">
        <v>69</v>
      </c>
      <c r="O1587" t="str">
        <f>IF(N1587&gt;=200,"Platinum",IF(N1587&gt;=100,"Gold",IF(N1587&gt;=50,"Silver","Regular")))</f>
        <v>Silver</v>
      </c>
      <c r="P1587" s="4" t="str">
        <f t="shared" si="169"/>
        <v>Wednesday</v>
      </c>
      <c r="Q1587" s="4" t="str">
        <f t="shared" si="170"/>
        <v>Medium Order</v>
      </c>
      <c r="R1587" s="4" t="str">
        <f t="shared" si="171"/>
        <v>Weekday</v>
      </c>
      <c r="S1587" s="4" t="str">
        <f t="shared" si="172"/>
        <v>Regular</v>
      </c>
    </row>
    <row r="1588" spans="1:19" x14ac:dyDescent="0.3">
      <c r="A1588">
        <v>2871</v>
      </c>
      <c r="B1588" t="s">
        <v>8</v>
      </c>
      <c r="C1588" s="1">
        <v>45353</v>
      </c>
      <c r="D1588" t="s">
        <v>4</v>
      </c>
      <c r="E1588" t="s">
        <v>10</v>
      </c>
      <c r="F1588">
        <v>4</v>
      </c>
      <c r="G1588">
        <v>24.9</v>
      </c>
      <c r="H1588">
        <v>99.6</v>
      </c>
      <c r="I1588" t="str">
        <f t="shared" si="168"/>
        <v>Low</v>
      </c>
      <c r="J1588">
        <v>2.2000000000000002</v>
      </c>
      <c r="K1588">
        <f t="shared" si="173"/>
        <v>97.399999999999991</v>
      </c>
      <c r="L1588" t="str">
        <f t="shared" si="174"/>
        <v>March</v>
      </c>
      <c r="M1588">
        <f>YEAR(C1588)</f>
        <v>2024</v>
      </c>
      <c r="N1588">
        <v>447</v>
      </c>
      <c r="O1588" t="str">
        <f>IF(N1588&gt;=200,"Platinum",IF(N1588&gt;=100,"Gold",IF(N1588&gt;=50,"Silver","Regular")))</f>
        <v>Platinum</v>
      </c>
      <c r="P1588" s="4" t="str">
        <f t="shared" si="169"/>
        <v>Saturday</v>
      </c>
      <c r="Q1588" s="4" t="str">
        <f t="shared" si="170"/>
        <v>Medium Order</v>
      </c>
      <c r="R1588" s="4" t="str">
        <f t="shared" si="171"/>
        <v>Weekend</v>
      </c>
      <c r="S1588" s="4" t="str">
        <f t="shared" si="172"/>
        <v>Regular</v>
      </c>
    </row>
    <row r="1589" spans="1:19" x14ac:dyDescent="0.3">
      <c r="A1589">
        <v>7745</v>
      </c>
      <c r="B1589" t="s">
        <v>0</v>
      </c>
      <c r="C1589" s="1">
        <v>45768</v>
      </c>
      <c r="D1589" t="s">
        <v>4</v>
      </c>
      <c r="E1589" t="s">
        <v>26</v>
      </c>
      <c r="F1589">
        <v>4</v>
      </c>
      <c r="G1589">
        <v>29.98</v>
      </c>
      <c r="H1589">
        <v>119.92</v>
      </c>
      <c r="I1589" t="str">
        <f t="shared" si="168"/>
        <v>Low</v>
      </c>
      <c r="J1589">
        <v>2.64</v>
      </c>
      <c r="K1589">
        <f t="shared" si="173"/>
        <v>117.28</v>
      </c>
      <c r="L1589" t="str">
        <f t="shared" si="174"/>
        <v>April</v>
      </c>
      <c r="M1589">
        <f>YEAR(C1589)</f>
        <v>2025</v>
      </c>
      <c r="N1589">
        <v>368</v>
      </c>
      <c r="O1589" t="str">
        <f>IF(N1589&gt;=200,"Platinum",IF(N1589&gt;=100,"Gold",IF(N1589&gt;=50,"Silver","Regular")))</f>
        <v>Platinum</v>
      </c>
      <c r="P1589" s="4" t="str">
        <f t="shared" si="169"/>
        <v>Monday</v>
      </c>
      <c r="Q1589" s="4" t="str">
        <f t="shared" si="170"/>
        <v>Medium Order</v>
      </c>
      <c r="R1589" s="4" t="str">
        <f t="shared" si="171"/>
        <v>Weekday</v>
      </c>
      <c r="S1589" s="4" t="str">
        <f t="shared" si="172"/>
        <v>High Value</v>
      </c>
    </row>
    <row r="1590" spans="1:19" x14ac:dyDescent="0.3">
      <c r="A1590">
        <v>7163</v>
      </c>
      <c r="B1590" t="s">
        <v>8</v>
      </c>
      <c r="C1590" s="1">
        <v>45471</v>
      </c>
      <c r="D1590" t="s">
        <v>17</v>
      </c>
      <c r="E1590" t="s">
        <v>2</v>
      </c>
      <c r="F1590">
        <v>3</v>
      </c>
      <c r="G1590">
        <v>25.87</v>
      </c>
      <c r="H1590">
        <v>77.61</v>
      </c>
      <c r="I1590" t="str">
        <f t="shared" si="168"/>
        <v>Low</v>
      </c>
      <c r="J1590">
        <v>1.7</v>
      </c>
      <c r="K1590">
        <f t="shared" si="173"/>
        <v>75.91</v>
      </c>
      <c r="L1590" t="str">
        <f t="shared" si="174"/>
        <v>June</v>
      </c>
      <c r="M1590">
        <f>YEAR(C1590)</f>
        <v>2024</v>
      </c>
      <c r="N1590">
        <v>7</v>
      </c>
      <c r="O1590" t="str">
        <f>IF(N1590&gt;=200,"Platinum",IF(N1590&gt;=100,"Gold",IF(N1590&gt;=50,"Silver","Regular")))</f>
        <v>Regular</v>
      </c>
      <c r="P1590" s="4" t="str">
        <f t="shared" si="169"/>
        <v>Friday</v>
      </c>
      <c r="Q1590" s="4" t="str">
        <f t="shared" si="170"/>
        <v>Medium Order</v>
      </c>
      <c r="R1590" s="4" t="str">
        <f t="shared" si="171"/>
        <v>Weekday</v>
      </c>
      <c r="S1590" s="4" t="str">
        <f t="shared" si="172"/>
        <v>Regular</v>
      </c>
    </row>
    <row r="1591" spans="1:19" x14ac:dyDescent="0.3">
      <c r="A1591">
        <v>2388</v>
      </c>
      <c r="B1591" t="s">
        <v>8</v>
      </c>
      <c r="C1591" s="1">
        <v>45385</v>
      </c>
      <c r="D1591" t="s">
        <v>27</v>
      </c>
      <c r="E1591" t="s">
        <v>14</v>
      </c>
      <c r="F1591">
        <v>5</v>
      </c>
      <c r="G1591">
        <v>17.53</v>
      </c>
      <c r="H1591">
        <v>87.65</v>
      </c>
      <c r="I1591" t="str">
        <f t="shared" si="168"/>
        <v>Low</v>
      </c>
      <c r="J1591">
        <v>1.87</v>
      </c>
      <c r="K1591">
        <f t="shared" si="173"/>
        <v>85.78</v>
      </c>
      <c r="L1591" t="str">
        <f t="shared" si="174"/>
        <v>April</v>
      </c>
      <c r="M1591">
        <f>YEAR(C1591)</f>
        <v>2024</v>
      </c>
      <c r="N1591">
        <v>50</v>
      </c>
      <c r="O1591" t="str">
        <f>IF(N1591&gt;=200,"Platinum",IF(N1591&gt;=100,"Gold",IF(N1591&gt;=50,"Silver","Regular")))</f>
        <v>Silver</v>
      </c>
      <c r="P1591" s="4" t="str">
        <f t="shared" si="169"/>
        <v>Wednesday</v>
      </c>
      <c r="Q1591" s="4" t="str">
        <f t="shared" si="170"/>
        <v>Medium Order</v>
      </c>
      <c r="R1591" s="4" t="str">
        <f t="shared" si="171"/>
        <v>Weekday</v>
      </c>
      <c r="S1591" s="4" t="str">
        <f t="shared" si="172"/>
        <v>Regular</v>
      </c>
    </row>
    <row r="1592" spans="1:19" x14ac:dyDescent="0.3">
      <c r="A1592">
        <v>7965</v>
      </c>
      <c r="B1592" t="s">
        <v>31</v>
      </c>
      <c r="C1592" s="1">
        <v>45314</v>
      </c>
      <c r="D1592" t="s">
        <v>1</v>
      </c>
      <c r="E1592" t="s">
        <v>2</v>
      </c>
      <c r="F1592">
        <v>4</v>
      </c>
      <c r="G1592">
        <v>20.53</v>
      </c>
      <c r="H1592">
        <v>82.12</v>
      </c>
      <c r="I1592" t="str">
        <f t="shared" si="168"/>
        <v>Low</v>
      </c>
      <c r="J1592">
        <v>1.75</v>
      </c>
      <c r="K1592">
        <f t="shared" si="173"/>
        <v>80.37</v>
      </c>
      <c r="L1592" t="str">
        <f t="shared" si="174"/>
        <v>January</v>
      </c>
      <c r="M1592">
        <f>YEAR(C1592)</f>
        <v>2024</v>
      </c>
      <c r="N1592">
        <v>308</v>
      </c>
      <c r="O1592" t="str">
        <f>IF(N1592&gt;=200,"Platinum",IF(N1592&gt;=100,"Gold",IF(N1592&gt;=50,"Silver","Regular")))</f>
        <v>Platinum</v>
      </c>
      <c r="P1592" s="4" t="str">
        <f t="shared" si="169"/>
        <v>Tuesday</v>
      </c>
      <c r="Q1592" s="4" t="str">
        <f t="shared" si="170"/>
        <v>Medium Order</v>
      </c>
      <c r="R1592" s="4" t="str">
        <f t="shared" si="171"/>
        <v>Weekday</v>
      </c>
      <c r="S1592" s="4" t="str">
        <f t="shared" si="172"/>
        <v>Regular</v>
      </c>
    </row>
    <row r="1593" spans="1:19" x14ac:dyDescent="0.3">
      <c r="A1593">
        <v>7225</v>
      </c>
      <c r="B1593" t="s">
        <v>8</v>
      </c>
      <c r="C1593" s="1">
        <v>45697</v>
      </c>
      <c r="D1593" t="s">
        <v>6</v>
      </c>
      <c r="E1593" t="s">
        <v>32</v>
      </c>
      <c r="F1593">
        <v>5</v>
      </c>
      <c r="G1593">
        <v>25.85</v>
      </c>
      <c r="H1593">
        <v>129.25</v>
      </c>
      <c r="I1593" t="str">
        <f t="shared" si="168"/>
        <v>Low</v>
      </c>
      <c r="J1593">
        <v>2.74</v>
      </c>
      <c r="K1593">
        <f t="shared" si="173"/>
        <v>126.51</v>
      </c>
      <c r="L1593" t="str">
        <f t="shared" si="174"/>
        <v>February</v>
      </c>
      <c r="M1593">
        <f>YEAR(C1593)</f>
        <v>2025</v>
      </c>
      <c r="N1593">
        <v>383</v>
      </c>
      <c r="O1593" t="str">
        <f>IF(N1593&gt;=200,"Platinum",IF(N1593&gt;=100,"Gold",IF(N1593&gt;=50,"Silver","Regular")))</f>
        <v>Platinum</v>
      </c>
      <c r="P1593" s="4" t="str">
        <f t="shared" si="169"/>
        <v>Sunday</v>
      </c>
      <c r="Q1593" s="4" t="str">
        <f t="shared" si="170"/>
        <v>Medium Order</v>
      </c>
      <c r="R1593" s="4" t="str">
        <f t="shared" si="171"/>
        <v>Weekend</v>
      </c>
      <c r="S1593" s="4" t="str">
        <f t="shared" si="172"/>
        <v>High Value</v>
      </c>
    </row>
    <row r="1594" spans="1:19" x14ac:dyDescent="0.3">
      <c r="A1594">
        <v>7242</v>
      </c>
      <c r="B1594" t="s">
        <v>20</v>
      </c>
      <c r="C1594" s="1">
        <v>45783</v>
      </c>
      <c r="D1594" t="s">
        <v>11</v>
      </c>
      <c r="E1594" t="s">
        <v>7</v>
      </c>
      <c r="F1594">
        <v>4</v>
      </c>
      <c r="G1594">
        <v>24.83</v>
      </c>
      <c r="H1594">
        <v>99.32</v>
      </c>
      <c r="I1594" t="str">
        <f t="shared" si="168"/>
        <v>Low</v>
      </c>
      <c r="J1594">
        <v>2.06</v>
      </c>
      <c r="K1594">
        <f t="shared" si="173"/>
        <v>97.259999999999991</v>
      </c>
      <c r="L1594" t="str">
        <f t="shared" si="174"/>
        <v>May</v>
      </c>
      <c r="M1594">
        <f>YEAR(C1594)</f>
        <v>2025</v>
      </c>
      <c r="N1594">
        <v>406</v>
      </c>
      <c r="O1594" t="str">
        <f>IF(N1594&gt;=200,"Platinum",IF(N1594&gt;=100,"Gold",IF(N1594&gt;=50,"Silver","Regular")))</f>
        <v>Platinum</v>
      </c>
      <c r="P1594" s="4" t="str">
        <f t="shared" si="169"/>
        <v>Tuesday</v>
      </c>
      <c r="Q1594" s="4" t="str">
        <f t="shared" si="170"/>
        <v>Medium Order</v>
      </c>
      <c r="R1594" s="4" t="str">
        <f t="shared" si="171"/>
        <v>Weekday</v>
      </c>
      <c r="S1594" s="4" t="str">
        <f t="shared" si="172"/>
        <v>Regular</v>
      </c>
    </row>
    <row r="1595" spans="1:19" x14ac:dyDescent="0.3">
      <c r="A1595">
        <v>9450</v>
      </c>
      <c r="B1595" t="s">
        <v>3</v>
      </c>
      <c r="C1595" s="1">
        <v>45180</v>
      </c>
      <c r="D1595" t="s">
        <v>34</v>
      </c>
      <c r="E1595" t="s">
        <v>22</v>
      </c>
      <c r="F1595">
        <v>5</v>
      </c>
      <c r="G1595">
        <v>27.1</v>
      </c>
      <c r="H1595">
        <v>135.5</v>
      </c>
      <c r="I1595" t="str">
        <f t="shared" si="168"/>
        <v>Low</v>
      </c>
      <c r="J1595">
        <v>2.8</v>
      </c>
      <c r="K1595">
        <f t="shared" si="173"/>
        <v>132.69999999999999</v>
      </c>
      <c r="L1595" t="str">
        <f t="shared" si="174"/>
        <v>September</v>
      </c>
      <c r="M1595">
        <f>YEAR(C1595)</f>
        <v>2023</v>
      </c>
      <c r="N1595">
        <v>484</v>
      </c>
      <c r="O1595" t="str">
        <f>IF(N1595&gt;=200,"Platinum",IF(N1595&gt;=100,"Gold",IF(N1595&gt;=50,"Silver","Regular")))</f>
        <v>Platinum</v>
      </c>
      <c r="P1595" s="4" t="str">
        <f t="shared" si="169"/>
        <v>Monday</v>
      </c>
      <c r="Q1595" s="4" t="str">
        <f t="shared" si="170"/>
        <v>Medium Order</v>
      </c>
      <c r="R1595" s="4" t="str">
        <f t="shared" si="171"/>
        <v>Weekday</v>
      </c>
      <c r="S1595" s="4" t="str">
        <f t="shared" si="172"/>
        <v>High Value</v>
      </c>
    </row>
    <row r="1596" spans="1:19" x14ac:dyDescent="0.3">
      <c r="A1596">
        <v>9751</v>
      </c>
      <c r="B1596" t="s">
        <v>20</v>
      </c>
      <c r="C1596" s="1">
        <v>45165</v>
      </c>
      <c r="D1596" t="s">
        <v>6</v>
      </c>
      <c r="E1596" t="s">
        <v>33</v>
      </c>
      <c r="F1596">
        <v>3</v>
      </c>
      <c r="G1596">
        <v>22.81</v>
      </c>
      <c r="H1596">
        <v>68.430000000000007</v>
      </c>
      <c r="I1596" t="str">
        <f t="shared" si="168"/>
        <v>Low</v>
      </c>
      <c r="J1596">
        <v>1.41</v>
      </c>
      <c r="K1596">
        <f t="shared" si="173"/>
        <v>67.02000000000001</v>
      </c>
      <c r="L1596" t="str">
        <f t="shared" si="174"/>
        <v>August</v>
      </c>
      <c r="M1596">
        <f>YEAR(C1596)</f>
        <v>2023</v>
      </c>
      <c r="N1596">
        <v>414</v>
      </c>
      <c r="O1596" t="str">
        <f>IF(N1596&gt;=200,"Platinum",IF(N1596&gt;=100,"Gold",IF(N1596&gt;=50,"Silver","Regular")))</f>
        <v>Platinum</v>
      </c>
      <c r="P1596" s="4" t="str">
        <f t="shared" si="169"/>
        <v>Sunday</v>
      </c>
      <c r="Q1596" s="4" t="str">
        <f t="shared" si="170"/>
        <v>Medium Order</v>
      </c>
      <c r="R1596" s="4" t="str">
        <f t="shared" si="171"/>
        <v>Weekend</v>
      </c>
      <c r="S1596" s="4" t="str">
        <f t="shared" si="172"/>
        <v>Regular</v>
      </c>
    </row>
    <row r="1597" spans="1:19" x14ac:dyDescent="0.3">
      <c r="A1597">
        <v>9341</v>
      </c>
      <c r="B1597" t="s">
        <v>25</v>
      </c>
      <c r="C1597" s="1">
        <v>45456</v>
      </c>
      <c r="D1597" t="s">
        <v>1</v>
      </c>
      <c r="E1597" t="s">
        <v>14</v>
      </c>
      <c r="F1597">
        <v>4</v>
      </c>
      <c r="G1597">
        <v>15.06</v>
      </c>
      <c r="H1597">
        <v>60.24</v>
      </c>
      <c r="I1597" t="str">
        <f t="shared" si="168"/>
        <v>Low</v>
      </c>
      <c r="J1597">
        <v>1.24</v>
      </c>
      <c r="K1597">
        <f t="shared" si="173"/>
        <v>59</v>
      </c>
      <c r="L1597" t="str">
        <f t="shared" si="174"/>
        <v>June</v>
      </c>
      <c r="M1597">
        <f>YEAR(C1597)</f>
        <v>2024</v>
      </c>
      <c r="N1597">
        <v>389</v>
      </c>
      <c r="O1597" t="str">
        <f>IF(N1597&gt;=200,"Platinum",IF(N1597&gt;=100,"Gold",IF(N1597&gt;=50,"Silver","Regular")))</f>
        <v>Platinum</v>
      </c>
      <c r="P1597" s="4" t="str">
        <f t="shared" si="169"/>
        <v>Thursday</v>
      </c>
      <c r="Q1597" s="4" t="str">
        <f t="shared" si="170"/>
        <v>Medium Order</v>
      </c>
      <c r="R1597" s="4" t="str">
        <f t="shared" si="171"/>
        <v>Weekday</v>
      </c>
      <c r="S1597" s="4" t="str">
        <f t="shared" si="172"/>
        <v>Regular</v>
      </c>
    </row>
    <row r="1598" spans="1:19" x14ac:dyDescent="0.3">
      <c r="A1598">
        <v>7464</v>
      </c>
      <c r="B1598" t="s">
        <v>3</v>
      </c>
      <c r="C1598" s="1">
        <v>45155</v>
      </c>
      <c r="D1598" t="s">
        <v>9</v>
      </c>
      <c r="E1598" t="s">
        <v>33</v>
      </c>
      <c r="F1598">
        <v>5</v>
      </c>
      <c r="G1598">
        <v>20.8</v>
      </c>
      <c r="H1598">
        <v>104</v>
      </c>
      <c r="I1598" t="str">
        <f t="shared" si="168"/>
        <v>Low</v>
      </c>
      <c r="J1598">
        <v>2.13</v>
      </c>
      <c r="K1598">
        <f t="shared" si="173"/>
        <v>101.87</v>
      </c>
      <c r="L1598" t="str">
        <f t="shared" si="174"/>
        <v>August</v>
      </c>
      <c r="M1598">
        <f>YEAR(C1598)</f>
        <v>2023</v>
      </c>
      <c r="N1598">
        <v>392</v>
      </c>
      <c r="O1598" t="str">
        <f>IF(N1598&gt;=200,"Platinum",IF(N1598&gt;=100,"Gold",IF(N1598&gt;=50,"Silver","Regular")))</f>
        <v>Platinum</v>
      </c>
      <c r="P1598" s="4" t="str">
        <f t="shared" si="169"/>
        <v>Thursday</v>
      </c>
      <c r="Q1598" s="4" t="str">
        <f t="shared" si="170"/>
        <v>Medium Order</v>
      </c>
      <c r="R1598" s="4" t="str">
        <f t="shared" si="171"/>
        <v>Weekday</v>
      </c>
      <c r="S1598" s="4" t="str">
        <f t="shared" si="172"/>
        <v>High Value</v>
      </c>
    </row>
    <row r="1599" spans="1:19" x14ac:dyDescent="0.3">
      <c r="A1599">
        <v>1534</v>
      </c>
      <c r="B1599" t="s">
        <v>31</v>
      </c>
      <c r="C1599" s="1">
        <v>45324</v>
      </c>
      <c r="D1599" t="s">
        <v>16</v>
      </c>
      <c r="E1599" t="s">
        <v>7</v>
      </c>
      <c r="F1599">
        <v>4</v>
      </c>
      <c r="G1599">
        <v>27.28</v>
      </c>
      <c r="H1599">
        <v>109.12</v>
      </c>
      <c r="I1599" t="str">
        <f t="shared" si="168"/>
        <v>Low</v>
      </c>
      <c r="J1599">
        <v>2.2000000000000002</v>
      </c>
      <c r="K1599">
        <f t="shared" si="173"/>
        <v>106.92</v>
      </c>
      <c r="L1599" t="str">
        <f t="shared" si="174"/>
        <v>February</v>
      </c>
      <c r="M1599">
        <f>YEAR(C1599)</f>
        <v>2024</v>
      </c>
      <c r="N1599">
        <v>343</v>
      </c>
      <c r="O1599" t="str">
        <f>IF(N1599&gt;=200,"Platinum",IF(N1599&gt;=100,"Gold",IF(N1599&gt;=50,"Silver","Regular")))</f>
        <v>Platinum</v>
      </c>
      <c r="P1599" s="4" t="str">
        <f t="shared" si="169"/>
        <v>Friday</v>
      </c>
      <c r="Q1599" s="4" t="str">
        <f t="shared" si="170"/>
        <v>Medium Order</v>
      </c>
      <c r="R1599" s="4" t="str">
        <f t="shared" si="171"/>
        <v>Weekday</v>
      </c>
      <c r="S1599" s="4" t="str">
        <f t="shared" si="172"/>
        <v>High Value</v>
      </c>
    </row>
    <row r="1600" spans="1:19" x14ac:dyDescent="0.3">
      <c r="A1600">
        <v>5139</v>
      </c>
      <c r="B1600" t="s">
        <v>0</v>
      </c>
      <c r="C1600" s="1">
        <v>45656</v>
      </c>
      <c r="D1600" t="s">
        <v>23</v>
      </c>
      <c r="E1600" t="s">
        <v>10</v>
      </c>
      <c r="F1600">
        <v>5</v>
      </c>
      <c r="G1600">
        <v>19.16</v>
      </c>
      <c r="H1600">
        <v>95.8</v>
      </c>
      <c r="I1600" t="str">
        <f t="shared" si="168"/>
        <v>Low</v>
      </c>
      <c r="J1600">
        <v>1.87</v>
      </c>
      <c r="K1600">
        <f t="shared" si="173"/>
        <v>93.929999999999993</v>
      </c>
      <c r="L1600" t="str">
        <f t="shared" si="174"/>
        <v>December</v>
      </c>
      <c r="M1600">
        <f>YEAR(C1600)</f>
        <v>2024</v>
      </c>
      <c r="N1600">
        <v>10</v>
      </c>
      <c r="O1600" t="str">
        <f>IF(N1600&gt;=200,"Platinum",IF(N1600&gt;=100,"Gold",IF(N1600&gt;=50,"Silver","Regular")))</f>
        <v>Regular</v>
      </c>
      <c r="P1600" s="4" t="str">
        <f t="shared" si="169"/>
        <v>Monday</v>
      </c>
      <c r="Q1600" s="4" t="str">
        <f t="shared" si="170"/>
        <v>Medium Order</v>
      </c>
      <c r="R1600" s="4" t="str">
        <f t="shared" si="171"/>
        <v>Weekday</v>
      </c>
      <c r="S1600" s="4" t="str">
        <f t="shared" si="172"/>
        <v>Regular</v>
      </c>
    </row>
    <row r="1601" spans="1:19" x14ac:dyDescent="0.3">
      <c r="A1601">
        <v>5773</v>
      </c>
      <c r="B1601" t="s">
        <v>20</v>
      </c>
      <c r="C1601" s="1">
        <v>45790</v>
      </c>
      <c r="D1601" t="s">
        <v>11</v>
      </c>
      <c r="E1601" t="s">
        <v>10</v>
      </c>
      <c r="F1601">
        <v>2</v>
      </c>
      <c r="G1601">
        <v>27.26</v>
      </c>
      <c r="H1601">
        <v>54.52</v>
      </c>
      <c r="I1601" t="str">
        <f t="shared" si="168"/>
        <v>Low</v>
      </c>
      <c r="J1601">
        <v>1.06</v>
      </c>
      <c r="K1601">
        <f t="shared" si="173"/>
        <v>53.46</v>
      </c>
      <c r="L1601" t="str">
        <f t="shared" si="174"/>
        <v>May</v>
      </c>
      <c r="M1601">
        <f>YEAR(C1601)</f>
        <v>2025</v>
      </c>
      <c r="N1601">
        <v>300</v>
      </c>
      <c r="O1601" t="str">
        <f>IF(N1601&gt;=200,"Platinum",IF(N1601&gt;=100,"Gold",IF(N1601&gt;=50,"Silver","Regular")))</f>
        <v>Platinum</v>
      </c>
      <c r="P1601" s="4" t="str">
        <f t="shared" si="169"/>
        <v>Tuesday</v>
      </c>
      <c r="Q1601" s="4" t="str">
        <f t="shared" si="170"/>
        <v>Small Order</v>
      </c>
      <c r="R1601" s="4" t="str">
        <f t="shared" si="171"/>
        <v>Weekday</v>
      </c>
      <c r="S1601" s="4" t="str">
        <f t="shared" si="172"/>
        <v>Regular</v>
      </c>
    </row>
    <row r="1602" spans="1:19" x14ac:dyDescent="0.3">
      <c r="A1602">
        <v>9804</v>
      </c>
      <c r="B1602" t="s">
        <v>3</v>
      </c>
      <c r="C1602" s="1">
        <v>45683</v>
      </c>
      <c r="D1602" t="s">
        <v>4</v>
      </c>
      <c r="E1602" t="s">
        <v>2</v>
      </c>
      <c r="F1602">
        <v>5</v>
      </c>
      <c r="G1602">
        <v>28.88</v>
      </c>
      <c r="H1602">
        <v>144.4</v>
      </c>
      <c r="I1602" t="str">
        <f t="shared" ref="I1602:I1665" si="175">IF(J1602=0,"No Discount",IF(J1602&lt;=5,"Low",IF(J1602&lt;=10,"Medium",IF(J1602&lt;=20,"High","Very High"))))</f>
        <v>Low</v>
      </c>
      <c r="J1602">
        <v>2.79</v>
      </c>
      <c r="K1602">
        <f t="shared" si="173"/>
        <v>141.61000000000001</v>
      </c>
      <c r="L1602" t="str">
        <f t="shared" si="174"/>
        <v>January</v>
      </c>
      <c r="M1602">
        <f>YEAR(C1602)</f>
        <v>2025</v>
      </c>
      <c r="N1602">
        <v>433</v>
      </c>
      <c r="O1602" t="str">
        <f>IF(N1602&gt;=200,"Platinum",IF(N1602&gt;=100,"Gold",IF(N1602&gt;=50,"Silver","Regular")))</f>
        <v>Platinum</v>
      </c>
      <c r="P1602" s="4" t="str">
        <f t="shared" ref="P1602:P1665" si="176">TEXT(C1602,"dddd")</f>
        <v>Sunday</v>
      </c>
      <c r="Q1602" s="4" t="str">
        <f t="shared" ref="Q1602:Q1665" si="177">IF(F1602&lt;=2,"Small Order",IF(F1602&lt;=5,"Medium Order",IF(F1602&lt;=10,"Large Order","Bulk Order")))</f>
        <v>Medium Order</v>
      </c>
      <c r="R1602" s="4" t="str">
        <f t="shared" ref="R1602:R1665" si="178">IF(WEEKDAY(C1602,2)&gt;5,"Weekend","Weekday")</f>
        <v>Weekend</v>
      </c>
      <c r="S1602" s="4" t="str">
        <f t="shared" ref="S1602:S1665" si="179">IF(K1602&gt;=100,"High Value","Regular")</f>
        <v>High Value</v>
      </c>
    </row>
    <row r="1603" spans="1:19" x14ac:dyDescent="0.3">
      <c r="A1603">
        <v>9042</v>
      </c>
      <c r="B1603" t="s">
        <v>0</v>
      </c>
      <c r="C1603" s="1">
        <v>45224</v>
      </c>
      <c r="D1603" t="s">
        <v>4</v>
      </c>
      <c r="E1603" t="s">
        <v>12</v>
      </c>
      <c r="F1603">
        <v>5</v>
      </c>
      <c r="G1603">
        <v>13</v>
      </c>
      <c r="H1603">
        <v>65</v>
      </c>
      <c r="I1603" t="str">
        <f t="shared" si="175"/>
        <v>Low</v>
      </c>
      <c r="J1603">
        <v>1.24</v>
      </c>
      <c r="K1603">
        <f t="shared" ref="K1603:K1666" si="180">MAX(0,H1603-J1603)</f>
        <v>63.76</v>
      </c>
      <c r="L1603" t="str">
        <f t="shared" ref="L1603:L1666" si="181">TEXT(C1603,"mmmm")</f>
        <v>October</v>
      </c>
      <c r="M1603">
        <f>YEAR(C1603)</f>
        <v>2023</v>
      </c>
      <c r="N1603">
        <v>387</v>
      </c>
      <c r="O1603" t="str">
        <f>IF(N1603&gt;=200,"Platinum",IF(N1603&gt;=100,"Gold",IF(N1603&gt;=50,"Silver","Regular")))</f>
        <v>Platinum</v>
      </c>
      <c r="P1603" s="4" t="str">
        <f t="shared" si="176"/>
        <v>Wednesday</v>
      </c>
      <c r="Q1603" s="4" t="str">
        <f t="shared" si="177"/>
        <v>Medium Order</v>
      </c>
      <c r="R1603" s="4" t="str">
        <f t="shared" si="178"/>
        <v>Weekday</v>
      </c>
      <c r="S1603" s="4" t="str">
        <f t="shared" si="179"/>
        <v>Regular</v>
      </c>
    </row>
    <row r="1604" spans="1:19" x14ac:dyDescent="0.3">
      <c r="A1604">
        <v>3143</v>
      </c>
      <c r="B1604" t="s">
        <v>0</v>
      </c>
      <c r="C1604" s="1">
        <v>45639</v>
      </c>
      <c r="D1604" t="s">
        <v>1</v>
      </c>
      <c r="E1604" t="s">
        <v>14</v>
      </c>
      <c r="F1604">
        <v>4</v>
      </c>
      <c r="G1604">
        <v>19.52</v>
      </c>
      <c r="H1604">
        <v>78.08</v>
      </c>
      <c r="I1604" t="str">
        <f t="shared" si="175"/>
        <v>Low</v>
      </c>
      <c r="J1604">
        <v>1.44</v>
      </c>
      <c r="K1604">
        <f t="shared" si="180"/>
        <v>76.64</v>
      </c>
      <c r="L1604" t="str">
        <f t="shared" si="181"/>
        <v>December</v>
      </c>
      <c r="M1604">
        <f>YEAR(C1604)</f>
        <v>2024</v>
      </c>
      <c r="N1604">
        <v>318</v>
      </c>
      <c r="O1604" t="str">
        <f>IF(N1604&gt;=200,"Platinum",IF(N1604&gt;=100,"Gold",IF(N1604&gt;=50,"Silver","Regular")))</f>
        <v>Platinum</v>
      </c>
      <c r="P1604" s="4" t="str">
        <f t="shared" si="176"/>
        <v>Friday</v>
      </c>
      <c r="Q1604" s="4" t="str">
        <f t="shared" si="177"/>
        <v>Medium Order</v>
      </c>
      <c r="R1604" s="4" t="str">
        <f t="shared" si="178"/>
        <v>Weekday</v>
      </c>
      <c r="S1604" s="4" t="str">
        <f t="shared" si="179"/>
        <v>Regular</v>
      </c>
    </row>
    <row r="1605" spans="1:19" x14ac:dyDescent="0.3">
      <c r="A1605">
        <v>7070</v>
      </c>
      <c r="B1605" t="s">
        <v>15</v>
      </c>
      <c r="C1605" s="1">
        <v>45544</v>
      </c>
      <c r="D1605" t="s">
        <v>23</v>
      </c>
      <c r="E1605" t="s">
        <v>36</v>
      </c>
      <c r="F1605">
        <v>3</v>
      </c>
      <c r="G1605">
        <v>25.4</v>
      </c>
      <c r="H1605">
        <v>76.2</v>
      </c>
      <c r="I1605" t="str">
        <f t="shared" si="175"/>
        <v>Low</v>
      </c>
      <c r="J1605">
        <v>1.4</v>
      </c>
      <c r="K1605">
        <f t="shared" si="180"/>
        <v>74.8</v>
      </c>
      <c r="L1605" t="str">
        <f t="shared" si="181"/>
        <v>September</v>
      </c>
      <c r="M1605">
        <f>YEAR(C1605)</f>
        <v>2024</v>
      </c>
      <c r="N1605">
        <v>87</v>
      </c>
      <c r="O1605" t="str">
        <f>IF(N1605&gt;=200,"Platinum",IF(N1605&gt;=100,"Gold",IF(N1605&gt;=50,"Silver","Regular")))</f>
        <v>Silver</v>
      </c>
      <c r="P1605" s="4" t="str">
        <f t="shared" si="176"/>
        <v>Monday</v>
      </c>
      <c r="Q1605" s="4" t="str">
        <f t="shared" si="177"/>
        <v>Medium Order</v>
      </c>
      <c r="R1605" s="4" t="str">
        <f t="shared" si="178"/>
        <v>Weekday</v>
      </c>
      <c r="S1605" s="4" t="str">
        <f t="shared" si="179"/>
        <v>Regular</v>
      </c>
    </row>
    <row r="1606" spans="1:19" x14ac:dyDescent="0.3">
      <c r="A1606">
        <v>7865</v>
      </c>
      <c r="B1606" t="s">
        <v>0</v>
      </c>
      <c r="C1606" s="1">
        <v>45563</v>
      </c>
      <c r="D1606" t="s">
        <v>34</v>
      </c>
      <c r="E1606" t="s">
        <v>36</v>
      </c>
      <c r="F1606">
        <v>5</v>
      </c>
      <c r="G1606">
        <v>12.61</v>
      </c>
      <c r="H1606">
        <v>63.05</v>
      </c>
      <c r="I1606" t="str">
        <f t="shared" si="175"/>
        <v>Low</v>
      </c>
      <c r="J1606">
        <v>1.1499999999999999</v>
      </c>
      <c r="K1606">
        <f t="shared" si="180"/>
        <v>61.9</v>
      </c>
      <c r="L1606" t="str">
        <f t="shared" si="181"/>
        <v>September</v>
      </c>
      <c r="M1606">
        <f>YEAR(C1606)</f>
        <v>2024</v>
      </c>
      <c r="N1606">
        <v>259</v>
      </c>
      <c r="O1606" t="str">
        <f>IF(N1606&gt;=200,"Platinum",IF(N1606&gt;=100,"Gold",IF(N1606&gt;=50,"Silver","Regular")))</f>
        <v>Platinum</v>
      </c>
      <c r="P1606" s="4" t="str">
        <f t="shared" si="176"/>
        <v>Saturday</v>
      </c>
      <c r="Q1606" s="4" t="str">
        <f t="shared" si="177"/>
        <v>Medium Order</v>
      </c>
      <c r="R1606" s="4" t="str">
        <f t="shared" si="178"/>
        <v>Weekend</v>
      </c>
      <c r="S1606" s="4" t="str">
        <f t="shared" si="179"/>
        <v>Regular</v>
      </c>
    </row>
    <row r="1607" spans="1:19" x14ac:dyDescent="0.3">
      <c r="A1607">
        <v>6253</v>
      </c>
      <c r="B1607" t="s">
        <v>20</v>
      </c>
      <c r="C1607" s="1">
        <v>45329</v>
      </c>
      <c r="D1607" t="s">
        <v>11</v>
      </c>
      <c r="E1607" t="s">
        <v>33</v>
      </c>
      <c r="F1607">
        <v>4</v>
      </c>
      <c r="G1607">
        <v>17.45</v>
      </c>
      <c r="H1607">
        <v>69.8</v>
      </c>
      <c r="I1607" t="str">
        <f t="shared" si="175"/>
        <v>Low</v>
      </c>
      <c r="J1607">
        <v>1.26</v>
      </c>
      <c r="K1607">
        <f t="shared" si="180"/>
        <v>68.539999999999992</v>
      </c>
      <c r="L1607" t="str">
        <f t="shared" si="181"/>
        <v>February</v>
      </c>
      <c r="M1607">
        <f>YEAR(C1607)</f>
        <v>2024</v>
      </c>
      <c r="N1607">
        <v>164</v>
      </c>
      <c r="O1607" t="str">
        <f>IF(N1607&gt;=200,"Platinum",IF(N1607&gt;=100,"Gold",IF(N1607&gt;=50,"Silver","Regular")))</f>
        <v>Gold</v>
      </c>
      <c r="P1607" s="4" t="str">
        <f t="shared" si="176"/>
        <v>Wednesday</v>
      </c>
      <c r="Q1607" s="4" t="str">
        <f t="shared" si="177"/>
        <v>Medium Order</v>
      </c>
      <c r="R1607" s="4" t="str">
        <f t="shared" si="178"/>
        <v>Weekday</v>
      </c>
      <c r="S1607" s="4" t="str">
        <f t="shared" si="179"/>
        <v>Regular</v>
      </c>
    </row>
    <row r="1608" spans="1:19" x14ac:dyDescent="0.3">
      <c r="A1608">
        <v>8385</v>
      </c>
      <c r="B1608" t="s">
        <v>20</v>
      </c>
      <c r="C1608" s="1">
        <v>45334</v>
      </c>
      <c r="D1608" t="s">
        <v>11</v>
      </c>
      <c r="E1608" t="s">
        <v>28</v>
      </c>
      <c r="F1608">
        <v>4</v>
      </c>
      <c r="G1608">
        <v>25.61</v>
      </c>
      <c r="H1608">
        <v>102.44</v>
      </c>
      <c r="I1608" t="str">
        <f t="shared" si="175"/>
        <v>Low</v>
      </c>
      <c r="J1608">
        <v>1.82</v>
      </c>
      <c r="K1608">
        <f t="shared" si="180"/>
        <v>100.62</v>
      </c>
      <c r="L1608" t="str">
        <f t="shared" si="181"/>
        <v>February</v>
      </c>
      <c r="M1608">
        <f>YEAR(C1608)</f>
        <v>2024</v>
      </c>
      <c r="N1608">
        <v>372</v>
      </c>
      <c r="O1608" t="str">
        <f>IF(N1608&gt;=200,"Platinum",IF(N1608&gt;=100,"Gold",IF(N1608&gt;=50,"Silver","Regular")))</f>
        <v>Platinum</v>
      </c>
      <c r="P1608" s="4" t="str">
        <f t="shared" si="176"/>
        <v>Monday</v>
      </c>
      <c r="Q1608" s="4" t="str">
        <f t="shared" si="177"/>
        <v>Medium Order</v>
      </c>
      <c r="R1608" s="4" t="str">
        <f t="shared" si="178"/>
        <v>Weekday</v>
      </c>
      <c r="S1608" s="4" t="str">
        <f t="shared" si="179"/>
        <v>High Value</v>
      </c>
    </row>
    <row r="1609" spans="1:19" x14ac:dyDescent="0.3">
      <c r="A1609">
        <v>6168</v>
      </c>
      <c r="B1609" t="s">
        <v>25</v>
      </c>
      <c r="C1609" s="1">
        <v>45456</v>
      </c>
      <c r="D1609" t="s">
        <v>16</v>
      </c>
      <c r="E1609" t="s">
        <v>35</v>
      </c>
      <c r="F1609">
        <v>4</v>
      </c>
      <c r="G1609">
        <v>20.7</v>
      </c>
      <c r="H1609">
        <v>82.8</v>
      </c>
      <c r="I1609" t="str">
        <f t="shared" si="175"/>
        <v>Low</v>
      </c>
      <c r="J1609">
        <v>1.46</v>
      </c>
      <c r="K1609">
        <f t="shared" si="180"/>
        <v>81.34</v>
      </c>
      <c r="L1609" t="str">
        <f t="shared" si="181"/>
        <v>June</v>
      </c>
      <c r="M1609">
        <f>YEAR(C1609)</f>
        <v>2024</v>
      </c>
      <c r="N1609">
        <v>431</v>
      </c>
      <c r="O1609" t="str">
        <f>IF(N1609&gt;=200,"Platinum",IF(N1609&gt;=100,"Gold",IF(N1609&gt;=50,"Silver","Regular")))</f>
        <v>Platinum</v>
      </c>
      <c r="P1609" s="4" t="str">
        <f t="shared" si="176"/>
        <v>Thursday</v>
      </c>
      <c r="Q1609" s="4" t="str">
        <f t="shared" si="177"/>
        <v>Medium Order</v>
      </c>
      <c r="R1609" s="4" t="str">
        <f t="shared" si="178"/>
        <v>Weekday</v>
      </c>
      <c r="S1609" s="4" t="str">
        <f t="shared" si="179"/>
        <v>Regular</v>
      </c>
    </row>
    <row r="1610" spans="1:19" x14ac:dyDescent="0.3">
      <c r="A1610">
        <v>8206</v>
      </c>
      <c r="B1610" t="s">
        <v>20</v>
      </c>
      <c r="C1610" s="1">
        <v>45205</v>
      </c>
      <c r="D1610" t="s">
        <v>6</v>
      </c>
      <c r="E1610" t="s">
        <v>30</v>
      </c>
      <c r="F1610">
        <v>4</v>
      </c>
      <c r="G1610">
        <v>27.93</v>
      </c>
      <c r="H1610">
        <v>111.72</v>
      </c>
      <c r="I1610" t="str">
        <f t="shared" si="175"/>
        <v>Low</v>
      </c>
      <c r="J1610">
        <v>1.96</v>
      </c>
      <c r="K1610">
        <f t="shared" si="180"/>
        <v>109.76</v>
      </c>
      <c r="L1610" t="str">
        <f t="shared" si="181"/>
        <v>October</v>
      </c>
      <c r="M1610">
        <f>YEAR(C1610)</f>
        <v>2023</v>
      </c>
      <c r="N1610">
        <v>153</v>
      </c>
      <c r="O1610" t="str">
        <f>IF(N1610&gt;=200,"Platinum",IF(N1610&gt;=100,"Gold",IF(N1610&gt;=50,"Silver","Regular")))</f>
        <v>Gold</v>
      </c>
      <c r="P1610" s="4" t="str">
        <f t="shared" si="176"/>
        <v>Friday</v>
      </c>
      <c r="Q1610" s="4" t="str">
        <f t="shared" si="177"/>
        <v>Medium Order</v>
      </c>
      <c r="R1610" s="4" t="str">
        <f t="shared" si="178"/>
        <v>Weekday</v>
      </c>
      <c r="S1610" s="4" t="str">
        <f t="shared" si="179"/>
        <v>High Value</v>
      </c>
    </row>
    <row r="1611" spans="1:19" x14ac:dyDescent="0.3">
      <c r="A1611">
        <v>2389</v>
      </c>
      <c r="B1611" t="s">
        <v>19</v>
      </c>
      <c r="C1611" s="1">
        <v>45365</v>
      </c>
      <c r="D1611" t="s">
        <v>1</v>
      </c>
      <c r="E1611" t="s">
        <v>21</v>
      </c>
      <c r="F1611">
        <v>3</v>
      </c>
      <c r="G1611">
        <v>24.67</v>
      </c>
      <c r="H1611">
        <v>74.010000000000005</v>
      </c>
      <c r="I1611" t="str">
        <f t="shared" si="175"/>
        <v>Low</v>
      </c>
      <c r="J1611">
        <v>1.29</v>
      </c>
      <c r="K1611">
        <f t="shared" si="180"/>
        <v>72.72</v>
      </c>
      <c r="L1611" t="str">
        <f t="shared" si="181"/>
        <v>March</v>
      </c>
      <c r="M1611">
        <f>YEAR(C1611)</f>
        <v>2024</v>
      </c>
      <c r="N1611">
        <v>381</v>
      </c>
      <c r="O1611" t="str">
        <f>IF(N1611&gt;=200,"Platinum",IF(N1611&gt;=100,"Gold",IF(N1611&gt;=50,"Silver","Regular")))</f>
        <v>Platinum</v>
      </c>
      <c r="P1611" s="4" t="str">
        <f t="shared" si="176"/>
        <v>Thursday</v>
      </c>
      <c r="Q1611" s="4" t="str">
        <f t="shared" si="177"/>
        <v>Medium Order</v>
      </c>
      <c r="R1611" s="4" t="str">
        <f t="shared" si="178"/>
        <v>Weekday</v>
      </c>
      <c r="S1611" s="4" t="str">
        <f t="shared" si="179"/>
        <v>Regular</v>
      </c>
    </row>
    <row r="1612" spans="1:19" x14ac:dyDescent="0.3">
      <c r="A1612">
        <v>9901</v>
      </c>
      <c r="B1612" t="s">
        <v>13</v>
      </c>
      <c r="C1612" s="1">
        <v>45552</v>
      </c>
      <c r="D1612" t="s">
        <v>34</v>
      </c>
      <c r="E1612" t="s">
        <v>7</v>
      </c>
      <c r="F1612">
        <v>5</v>
      </c>
      <c r="G1612">
        <v>29.16</v>
      </c>
      <c r="H1612">
        <v>145.80000000000001</v>
      </c>
      <c r="I1612" t="str">
        <f t="shared" si="175"/>
        <v>Low</v>
      </c>
      <c r="J1612">
        <v>2.54</v>
      </c>
      <c r="K1612">
        <f t="shared" si="180"/>
        <v>143.26000000000002</v>
      </c>
      <c r="L1612" t="str">
        <f t="shared" si="181"/>
        <v>September</v>
      </c>
      <c r="M1612">
        <f>YEAR(C1612)</f>
        <v>2024</v>
      </c>
      <c r="N1612">
        <v>84</v>
      </c>
      <c r="O1612" t="str">
        <f>IF(N1612&gt;=200,"Platinum",IF(N1612&gt;=100,"Gold",IF(N1612&gt;=50,"Silver","Regular")))</f>
        <v>Silver</v>
      </c>
      <c r="P1612" s="4" t="str">
        <f t="shared" si="176"/>
        <v>Tuesday</v>
      </c>
      <c r="Q1612" s="4" t="str">
        <f t="shared" si="177"/>
        <v>Medium Order</v>
      </c>
      <c r="R1612" s="4" t="str">
        <f t="shared" si="178"/>
        <v>Weekday</v>
      </c>
      <c r="S1612" s="4" t="str">
        <f t="shared" si="179"/>
        <v>High Value</v>
      </c>
    </row>
    <row r="1613" spans="1:19" x14ac:dyDescent="0.3">
      <c r="A1613">
        <v>4656</v>
      </c>
      <c r="B1613" t="s">
        <v>15</v>
      </c>
      <c r="C1613" s="1">
        <v>45769</v>
      </c>
      <c r="D1613" t="s">
        <v>1</v>
      </c>
      <c r="E1613" t="s">
        <v>10</v>
      </c>
      <c r="F1613">
        <v>5</v>
      </c>
      <c r="G1613">
        <v>26.53</v>
      </c>
      <c r="H1613">
        <v>132.65</v>
      </c>
      <c r="I1613" t="str">
        <f t="shared" si="175"/>
        <v>Low</v>
      </c>
      <c r="J1613">
        <v>2.29</v>
      </c>
      <c r="K1613">
        <f t="shared" si="180"/>
        <v>130.36000000000001</v>
      </c>
      <c r="L1613" t="str">
        <f t="shared" si="181"/>
        <v>April</v>
      </c>
      <c r="M1613">
        <f>YEAR(C1613)</f>
        <v>2025</v>
      </c>
      <c r="N1613">
        <v>196</v>
      </c>
      <c r="O1613" t="str">
        <f>IF(N1613&gt;=200,"Platinum",IF(N1613&gt;=100,"Gold",IF(N1613&gt;=50,"Silver","Regular")))</f>
        <v>Gold</v>
      </c>
      <c r="P1613" s="4" t="str">
        <f t="shared" si="176"/>
        <v>Tuesday</v>
      </c>
      <c r="Q1613" s="4" t="str">
        <f t="shared" si="177"/>
        <v>Medium Order</v>
      </c>
      <c r="R1613" s="4" t="str">
        <f t="shared" si="178"/>
        <v>Weekday</v>
      </c>
      <c r="S1613" s="4" t="str">
        <f t="shared" si="179"/>
        <v>High Value</v>
      </c>
    </row>
    <row r="1614" spans="1:19" x14ac:dyDescent="0.3">
      <c r="A1614">
        <v>4886</v>
      </c>
      <c r="B1614" t="s">
        <v>8</v>
      </c>
      <c r="C1614" s="1">
        <v>45441</v>
      </c>
      <c r="D1614" t="s">
        <v>23</v>
      </c>
      <c r="E1614" t="s">
        <v>10</v>
      </c>
      <c r="F1614">
        <v>4</v>
      </c>
      <c r="G1614">
        <v>19.3</v>
      </c>
      <c r="H1614">
        <v>77.2</v>
      </c>
      <c r="I1614" t="str">
        <f t="shared" si="175"/>
        <v>Low</v>
      </c>
      <c r="J1614">
        <v>1.32</v>
      </c>
      <c r="K1614">
        <f t="shared" si="180"/>
        <v>75.88000000000001</v>
      </c>
      <c r="L1614" t="str">
        <f t="shared" si="181"/>
        <v>May</v>
      </c>
      <c r="M1614">
        <f>YEAR(C1614)</f>
        <v>2024</v>
      </c>
      <c r="N1614">
        <v>292</v>
      </c>
      <c r="O1614" t="str">
        <f>IF(N1614&gt;=200,"Platinum",IF(N1614&gt;=100,"Gold",IF(N1614&gt;=50,"Silver","Regular")))</f>
        <v>Platinum</v>
      </c>
      <c r="P1614" s="4" t="str">
        <f t="shared" si="176"/>
        <v>Wednesday</v>
      </c>
      <c r="Q1614" s="4" t="str">
        <f t="shared" si="177"/>
        <v>Medium Order</v>
      </c>
      <c r="R1614" s="4" t="str">
        <f t="shared" si="178"/>
        <v>Weekday</v>
      </c>
      <c r="S1614" s="4" t="str">
        <f t="shared" si="179"/>
        <v>Regular</v>
      </c>
    </row>
    <row r="1615" spans="1:19" x14ac:dyDescent="0.3">
      <c r="A1615">
        <v>6055</v>
      </c>
      <c r="B1615" t="s">
        <v>0</v>
      </c>
      <c r="C1615" s="1">
        <v>45531</v>
      </c>
      <c r="D1615" t="s">
        <v>24</v>
      </c>
      <c r="E1615" t="s">
        <v>14</v>
      </c>
      <c r="F1615">
        <v>4</v>
      </c>
      <c r="G1615">
        <v>22.95</v>
      </c>
      <c r="H1615">
        <v>91.8</v>
      </c>
      <c r="I1615" t="str">
        <f t="shared" si="175"/>
        <v>Low</v>
      </c>
      <c r="J1615">
        <v>1.55</v>
      </c>
      <c r="K1615">
        <f t="shared" si="180"/>
        <v>90.25</v>
      </c>
      <c r="L1615" t="str">
        <f t="shared" si="181"/>
        <v>August</v>
      </c>
      <c r="M1615">
        <f>YEAR(C1615)</f>
        <v>2024</v>
      </c>
      <c r="N1615">
        <v>317</v>
      </c>
      <c r="O1615" t="str">
        <f>IF(N1615&gt;=200,"Platinum",IF(N1615&gt;=100,"Gold",IF(N1615&gt;=50,"Silver","Regular")))</f>
        <v>Platinum</v>
      </c>
      <c r="P1615" s="4" t="str">
        <f t="shared" si="176"/>
        <v>Tuesday</v>
      </c>
      <c r="Q1615" s="4" t="str">
        <f t="shared" si="177"/>
        <v>Medium Order</v>
      </c>
      <c r="R1615" s="4" t="str">
        <f t="shared" si="178"/>
        <v>Weekday</v>
      </c>
      <c r="S1615" s="4" t="str">
        <f t="shared" si="179"/>
        <v>Regular</v>
      </c>
    </row>
    <row r="1616" spans="1:19" x14ac:dyDescent="0.3">
      <c r="A1616">
        <v>8119</v>
      </c>
      <c r="B1616" t="s">
        <v>3</v>
      </c>
      <c r="C1616" s="1">
        <v>45413</v>
      </c>
      <c r="D1616" t="s">
        <v>34</v>
      </c>
      <c r="E1616" t="s">
        <v>30</v>
      </c>
      <c r="F1616">
        <v>5</v>
      </c>
      <c r="G1616">
        <v>26.89</v>
      </c>
      <c r="H1616">
        <v>134.44999999999999</v>
      </c>
      <c r="I1616" t="str">
        <f t="shared" si="175"/>
        <v>Low</v>
      </c>
      <c r="J1616">
        <v>2.27</v>
      </c>
      <c r="K1616">
        <f t="shared" si="180"/>
        <v>132.17999999999998</v>
      </c>
      <c r="L1616" t="str">
        <f t="shared" si="181"/>
        <v>May</v>
      </c>
      <c r="M1616">
        <f>YEAR(C1616)</f>
        <v>2024</v>
      </c>
      <c r="N1616">
        <v>71</v>
      </c>
      <c r="O1616" t="str">
        <f>IF(N1616&gt;=200,"Platinum",IF(N1616&gt;=100,"Gold",IF(N1616&gt;=50,"Silver","Regular")))</f>
        <v>Silver</v>
      </c>
      <c r="P1616" s="4" t="str">
        <f t="shared" si="176"/>
        <v>Wednesday</v>
      </c>
      <c r="Q1616" s="4" t="str">
        <f t="shared" si="177"/>
        <v>Medium Order</v>
      </c>
      <c r="R1616" s="4" t="str">
        <f t="shared" si="178"/>
        <v>Weekday</v>
      </c>
      <c r="S1616" s="4" t="str">
        <f t="shared" si="179"/>
        <v>High Value</v>
      </c>
    </row>
    <row r="1617" spans="1:19" x14ac:dyDescent="0.3">
      <c r="A1617">
        <v>6590</v>
      </c>
      <c r="B1617" t="s">
        <v>0</v>
      </c>
      <c r="C1617" s="1">
        <v>45154</v>
      </c>
      <c r="D1617" t="s">
        <v>24</v>
      </c>
      <c r="E1617" t="s">
        <v>32</v>
      </c>
      <c r="F1617">
        <v>5</v>
      </c>
      <c r="G1617">
        <v>27.7</v>
      </c>
      <c r="H1617">
        <v>138.5</v>
      </c>
      <c r="I1617" t="str">
        <f t="shared" si="175"/>
        <v>Low</v>
      </c>
      <c r="J1617">
        <v>2.31</v>
      </c>
      <c r="K1617">
        <f t="shared" si="180"/>
        <v>136.19</v>
      </c>
      <c r="L1617" t="str">
        <f t="shared" si="181"/>
        <v>August</v>
      </c>
      <c r="M1617">
        <f>YEAR(C1617)</f>
        <v>2023</v>
      </c>
      <c r="N1617">
        <v>498</v>
      </c>
      <c r="O1617" t="str">
        <f>IF(N1617&gt;=200,"Platinum",IF(N1617&gt;=100,"Gold",IF(N1617&gt;=50,"Silver","Regular")))</f>
        <v>Platinum</v>
      </c>
      <c r="P1617" s="4" t="str">
        <f t="shared" si="176"/>
        <v>Wednesday</v>
      </c>
      <c r="Q1617" s="4" t="str">
        <f t="shared" si="177"/>
        <v>Medium Order</v>
      </c>
      <c r="R1617" s="4" t="str">
        <f t="shared" si="178"/>
        <v>Weekday</v>
      </c>
      <c r="S1617" s="4" t="str">
        <f t="shared" si="179"/>
        <v>High Value</v>
      </c>
    </row>
    <row r="1618" spans="1:19" x14ac:dyDescent="0.3">
      <c r="A1618">
        <v>6882</v>
      </c>
      <c r="B1618" t="s">
        <v>15</v>
      </c>
      <c r="C1618" s="1">
        <v>45152</v>
      </c>
      <c r="D1618" t="s">
        <v>16</v>
      </c>
      <c r="E1618" t="s">
        <v>33</v>
      </c>
      <c r="F1618">
        <v>5</v>
      </c>
      <c r="G1618">
        <v>24.36</v>
      </c>
      <c r="H1618">
        <v>121.8</v>
      </c>
      <c r="I1618" t="str">
        <f t="shared" si="175"/>
        <v>Low</v>
      </c>
      <c r="J1618">
        <v>2.0099999999999998</v>
      </c>
      <c r="K1618">
        <f t="shared" si="180"/>
        <v>119.78999999999999</v>
      </c>
      <c r="L1618" t="str">
        <f t="shared" si="181"/>
        <v>August</v>
      </c>
      <c r="M1618">
        <f>YEAR(C1618)</f>
        <v>2023</v>
      </c>
      <c r="N1618">
        <v>314</v>
      </c>
      <c r="O1618" t="str">
        <f>IF(N1618&gt;=200,"Platinum",IF(N1618&gt;=100,"Gold",IF(N1618&gt;=50,"Silver","Regular")))</f>
        <v>Platinum</v>
      </c>
      <c r="P1618" s="4" t="str">
        <f t="shared" si="176"/>
        <v>Monday</v>
      </c>
      <c r="Q1618" s="4" t="str">
        <f t="shared" si="177"/>
        <v>Medium Order</v>
      </c>
      <c r="R1618" s="4" t="str">
        <f t="shared" si="178"/>
        <v>Weekday</v>
      </c>
      <c r="S1618" s="4" t="str">
        <f t="shared" si="179"/>
        <v>High Value</v>
      </c>
    </row>
    <row r="1619" spans="1:19" x14ac:dyDescent="0.3">
      <c r="A1619">
        <v>8692</v>
      </c>
      <c r="B1619" t="s">
        <v>15</v>
      </c>
      <c r="C1619" s="1">
        <v>45736</v>
      </c>
      <c r="D1619" t="s">
        <v>27</v>
      </c>
      <c r="E1619" t="s">
        <v>18</v>
      </c>
      <c r="F1619">
        <v>4</v>
      </c>
      <c r="G1619">
        <v>23.68</v>
      </c>
      <c r="H1619">
        <v>94.72</v>
      </c>
      <c r="I1619" t="str">
        <f t="shared" si="175"/>
        <v>Low</v>
      </c>
      <c r="J1619">
        <v>1.55</v>
      </c>
      <c r="K1619">
        <f t="shared" si="180"/>
        <v>93.17</v>
      </c>
      <c r="L1619" t="str">
        <f t="shared" si="181"/>
        <v>March</v>
      </c>
      <c r="M1619">
        <f>YEAR(C1619)</f>
        <v>2025</v>
      </c>
      <c r="N1619">
        <v>426</v>
      </c>
      <c r="O1619" t="str">
        <f>IF(N1619&gt;=200,"Platinum",IF(N1619&gt;=100,"Gold",IF(N1619&gt;=50,"Silver","Regular")))</f>
        <v>Platinum</v>
      </c>
      <c r="P1619" s="4" t="str">
        <f t="shared" si="176"/>
        <v>Thursday</v>
      </c>
      <c r="Q1619" s="4" t="str">
        <f t="shared" si="177"/>
        <v>Medium Order</v>
      </c>
      <c r="R1619" s="4" t="str">
        <f t="shared" si="178"/>
        <v>Weekday</v>
      </c>
      <c r="S1619" s="4" t="str">
        <f t="shared" si="179"/>
        <v>Regular</v>
      </c>
    </row>
    <row r="1620" spans="1:19" x14ac:dyDescent="0.3">
      <c r="A1620">
        <v>6023</v>
      </c>
      <c r="B1620" t="s">
        <v>8</v>
      </c>
      <c r="C1620" s="1">
        <v>45340</v>
      </c>
      <c r="D1620" t="s">
        <v>4</v>
      </c>
      <c r="E1620" t="s">
        <v>35</v>
      </c>
      <c r="F1620">
        <v>3</v>
      </c>
      <c r="G1620">
        <v>28.85</v>
      </c>
      <c r="H1620">
        <v>86.55</v>
      </c>
      <c r="I1620" t="str">
        <f t="shared" si="175"/>
        <v>Low</v>
      </c>
      <c r="J1620">
        <v>1.4</v>
      </c>
      <c r="K1620">
        <f t="shared" si="180"/>
        <v>85.149999999999991</v>
      </c>
      <c r="L1620" t="str">
        <f t="shared" si="181"/>
        <v>February</v>
      </c>
      <c r="M1620">
        <f>YEAR(C1620)</f>
        <v>2024</v>
      </c>
      <c r="N1620">
        <v>191</v>
      </c>
      <c r="O1620" t="str">
        <f>IF(N1620&gt;=200,"Platinum",IF(N1620&gt;=100,"Gold",IF(N1620&gt;=50,"Silver","Regular")))</f>
        <v>Gold</v>
      </c>
      <c r="P1620" s="4" t="str">
        <f t="shared" si="176"/>
        <v>Sunday</v>
      </c>
      <c r="Q1620" s="4" t="str">
        <f t="shared" si="177"/>
        <v>Medium Order</v>
      </c>
      <c r="R1620" s="4" t="str">
        <f t="shared" si="178"/>
        <v>Weekend</v>
      </c>
      <c r="S1620" s="4" t="str">
        <f t="shared" si="179"/>
        <v>Regular</v>
      </c>
    </row>
    <row r="1621" spans="1:19" x14ac:dyDescent="0.3">
      <c r="A1621">
        <v>4321</v>
      </c>
      <c r="B1621" t="s">
        <v>8</v>
      </c>
      <c r="C1621" s="1">
        <v>45250</v>
      </c>
      <c r="D1621" t="s">
        <v>17</v>
      </c>
      <c r="E1621" t="s">
        <v>10</v>
      </c>
      <c r="F1621">
        <v>5</v>
      </c>
      <c r="G1621">
        <v>19.34</v>
      </c>
      <c r="H1621">
        <v>96.7</v>
      </c>
      <c r="I1621" t="str">
        <f t="shared" si="175"/>
        <v>Low</v>
      </c>
      <c r="J1621">
        <v>1.56</v>
      </c>
      <c r="K1621">
        <f t="shared" si="180"/>
        <v>95.14</v>
      </c>
      <c r="L1621" t="str">
        <f t="shared" si="181"/>
        <v>November</v>
      </c>
      <c r="M1621">
        <f>YEAR(C1621)</f>
        <v>2023</v>
      </c>
      <c r="N1621">
        <v>381</v>
      </c>
      <c r="O1621" t="str">
        <f>IF(N1621&gt;=200,"Platinum",IF(N1621&gt;=100,"Gold",IF(N1621&gt;=50,"Silver","Regular")))</f>
        <v>Platinum</v>
      </c>
      <c r="P1621" s="4" t="str">
        <f t="shared" si="176"/>
        <v>Monday</v>
      </c>
      <c r="Q1621" s="4" t="str">
        <f t="shared" si="177"/>
        <v>Medium Order</v>
      </c>
      <c r="R1621" s="4" t="str">
        <f t="shared" si="178"/>
        <v>Weekday</v>
      </c>
      <c r="S1621" s="4" t="str">
        <f t="shared" si="179"/>
        <v>Regular</v>
      </c>
    </row>
    <row r="1622" spans="1:19" x14ac:dyDescent="0.3">
      <c r="A1622">
        <v>3513</v>
      </c>
      <c r="B1622" t="s">
        <v>13</v>
      </c>
      <c r="C1622" s="1">
        <v>45672</v>
      </c>
      <c r="D1622" t="s">
        <v>11</v>
      </c>
      <c r="E1622" t="s">
        <v>2</v>
      </c>
      <c r="F1622">
        <v>4</v>
      </c>
      <c r="G1622">
        <v>28.3</v>
      </c>
      <c r="H1622">
        <v>113.2</v>
      </c>
      <c r="I1622" t="str">
        <f t="shared" si="175"/>
        <v>Low</v>
      </c>
      <c r="J1622">
        <v>1.81</v>
      </c>
      <c r="K1622">
        <f t="shared" si="180"/>
        <v>111.39</v>
      </c>
      <c r="L1622" t="str">
        <f t="shared" si="181"/>
        <v>January</v>
      </c>
      <c r="M1622">
        <f>YEAR(C1622)</f>
        <v>2025</v>
      </c>
      <c r="N1622">
        <v>460</v>
      </c>
      <c r="O1622" t="str">
        <f>IF(N1622&gt;=200,"Platinum",IF(N1622&gt;=100,"Gold",IF(N1622&gt;=50,"Silver","Regular")))</f>
        <v>Platinum</v>
      </c>
      <c r="P1622" s="4" t="str">
        <f t="shared" si="176"/>
        <v>Wednesday</v>
      </c>
      <c r="Q1622" s="4" t="str">
        <f t="shared" si="177"/>
        <v>Medium Order</v>
      </c>
      <c r="R1622" s="4" t="str">
        <f t="shared" si="178"/>
        <v>Weekday</v>
      </c>
      <c r="S1622" s="4" t="str">
        <f t="shared" si="179"/>
        <v>High Value</v>
      </c>
    </row>
    <row r="1623" spans="1:19" x14ac:dyDescent="0.3">
      <c r="A1623">
        <v>5381</v>
      </c>
      <c r="B1623" t="s">
        <v>0</v>
      </c>
      <c r="C1623" s="1">
        <v>45167</v>
      </c>
      <c r="D1623" t="s">
        <v>23</v>
      </c>
      <c r="E1623" t="s">
        <v>5</v>
      </c>
      <c r="F1623">
        <v>4</v>
      </c>
      <c r="G1623">
        <v>26.9</v>
      </c>
      <c r="H1623">
        <v>107.6</v>
      </c>
      <c r="I1623" t="str">
        <f t="shared" si="175"/>
        <v>Low</v>
      </c>
      <c r="J1623">
        <v>1.72</v>
      </c>
      <c r="K1623">
        <f t="shared" si="180"/>
        <v>105.88</v>
      </c>
      <c r="L1623" t="str">
        <f t="shared" si="181"/>
        <v>August</v>
      </c>
      <c r="M1623">
        <f>YEAR(C1623)</f>
        <v>2023</v>
      </c>
      <c r="N1623">
        <v>356</v>
      </c>
      <c r="O1623" t="str">
        <f>IF(N1623&gt;=200,"Platinum",IF(N1623&gt;=100,"Gold",IF(N1623&gt;=50,"Silver","Regular")))</f>
        <v>Platinum</v>
      </c>
      <c r="P1623" s="4" t="str">
        <f t="shared" si="176"/>
        <v>Tuesday</v>
      </c>
      <c r="Q1623" s="4" t="str">
        <f t="shared" si="177"/>
        <v>Medium Order</v>
      </c>
      <c r="R1623" s="4" t="str">
        <f t="shared" si="178"/>
        <v>Weekday</v>
      </c>
      <c r="S1623" s="4" t="str">
        <f t="shared" si="179"/>
        <v>High Value</v>
      </c>
    </row>
    <row r="1624" spans="1:19" x14ac:dyDescent="0.3">
      <c r="A1624">
        <v>4613</v>
      </c>
      <c r="B1624" t="s">
        <v>20</v>
      </c>
      <c r="C1624" s="1">
        <v>45524</v>
      </c>
      <c r="D1624" t="s">
        <v>17</v>
      </c>
      <c r="E1624" t="s">
        <v>21</v>
      </c>
      <c r="F1624">
        <v>3</v>
      </c>
      <c r="G1624">
        <v>29</v>
      </c>
      <c r="H1624">
        <v>87</v>
      </c>
      <c r="I1624" t="str">
        <f t="shared" si="175"/>
        <v>Low</v>
      </c>
      <c r="J1624">
        <v>1.39</v>
      </c>
      <c r="K1624">
        <f t="shared" si="180"/>
        <v>85.61</v>
      </c>
      <c r="L1624" t="str">
        <f t="shared" si="181"/>
        <v>August</v>
      </c>
      <c r="M1624">
        <f>YEAR(C1624)</f>
        <v>2024</v>
      </c>
      <c r="N1624">
        <v>220</v>
      </c>
      <c r="O1624" t="str">
        <f>IF(N1624&gt;=200,"Platinum",IF(N1624&gt;=100,"Gold",IF(N1624&gt;=50,"Silver","Regular")))</f>
        <v>Platinum</v>
      </c>
      <c r="P1624" s="4" t="str">
        <f t="shared" si="176"/>
        <v>Tuesday</v>
      </c>
      <c r="Q1624" s="4" t="str">
        <f t="shared" si="177"/>
        <v>Medium Order</v>
      </c>
      <c r="R1624" s="4" t="str">
        <f t="shared" si="178"/>
        <v>Weekday</v>
      </c>
      <c r="S1624" s="4" t="str">
        <f t="shared" si="179"/>
        <v>Regular</v>
      </c>
    </row>
    <row r="1625" spans="1:19" x14ac:dyDescent="0.3">
      <c r="A1625">
        <v>9115</v>
      </c>
      <c r="B1625" t="s">
        <v>13</v>
      </c>
      <c r="C1625" s="1">
        <v>45571</v>
      </c>
      <c r="D1625" t="s">
        <v>34</v>
      </c>
      <c r="E1625" t="s">
        <v>14</v>
      </c>
      <c r="F1625">
        <v>3</v>
      </c>
      <c r="G1625">
        <v>29.61</v>
      </c>
      <c r="H1625">
        <v>88.83</v>
      </c>
      <c r="I1625" t="str">
        <f t="shared" si="175"/>
        <v>Low</v>
      </c>
      <c r="J1625">
        <v>1.41</v>
      </c>
      <c r="K1625">
        <f t="shared" si="180"/>
        <v>87.42</v>
      </c>
      <c r="L1625" t="str">
        <f t="shared" si="181"/>
        <v>October</v>
      </c>
      <c r="M1625">
        <f>YEAR(C1625)</f>
        <v>2024</v>
      </c>
      <c r="N1625">
        <v>300</v>
      </c>
      <c r="O1625" t="str">
        <f>IF(N1625&gt;=200,"Platinum",IF(N1625&gt;=100,"Gold",IF(N1625&gt;=50,"Silver","Regular")))</f>
        <v>Platinum</v>
      </c>
      <c r="P1625" s="4" t="str">
        <f t="shared" si="176"/>
        <v>Sunday</v>
      </c>
      <c r="Q1625" s="4" t="str">
        <f t="shared" si="177"/>
        <v>Medium Order</v>
      </c>
      <c r="R1625" s="4" t="str">
        <f t="shared" si="178"/>
        <v>Weekend</v>
      </c>
      <c r="S1625" s="4" t="str">
        <f t="shared" si="179"/>
        <v>Regular</v>
      </c>
    </row>
    <row r="1626" spans="1:19" x14ac:dyDescent="0.3">
      <c r="A1626">
        <v>7971</v>
      </c>
      <c r="B1626" t="s">
        <v>25</v>
      </c>
      <c r="C1626" s="1">
        <v>45724</v>
      </c>
      <c r="D1626" t="s">
        <v>17</v>
      </c>
      <c r="E1626" t="s">
        <v>30</v>
      </c>
      <c r="F1626">
        <v>5</v>
      </c>
      <c r="G1626">
        <v>28.49</v>
      </c>
      <c r="H1626">
        <v>142.44999999999999</v>
      </c>
      <c r="I1626" t="str">
        <f t="shared" si="175"/>
        <v>Low</v>
      </c>
      <c r="J1626">
        <v>2.2400000000000002</v>
      </c>
      <c r="K1626">
        <f t="shared" si="180"/>
        <v>140.20999999999998</v>
      </c>
      <c r="L1626" t="str">
        <f t="shared" si="181"/>
        <v>March</v>
      </c>
      <c r="M1626">
        <f>YEAR(C1626)</f>
        <v>2025</v>
      </c>
      <c r="N1626">
        <v>428</v>
      </c>
      <c r="O1626" t="str">
        <f>IF(N1626&gt;=200,"Platinum",IF(N1626&gt;=100,"Gold",IF(N1626&gt;=50,"Silver","Regular")))</f>
        <v>Platinum</v>
      </c>
      <c r="P1626" s="4" t="str">
        <f t="shared" si="176"/>
        <v>Saturday</v>
      </c>
      <c r="Q1626" s="4" t="str">
        <f t="shared" si="177"/>
        <v>Medium Order</v>
      </c>
      <c r="R1626" s="4" t="str">
        <f t="shared" si="178"/>
        <v>Weekend</v>
      </c>
      <c r="S1626" s="4" t="str">
        <f t="shared" si="179"/>
        <v>High Value</v>
      </c>
    </row>
    <row r="1627" spans="1:19" x14ac:dyDescent="0.3">
      <c r="A1627">
        <v>8354</v>
      </c>
      <c r="B1627" t="s">
        <v>15</v>
      </c>
      <c r="C1627" s="1">
        <v>45674</v>
      </c>
      <c r="D1627" t="s">
        <v>4</v>
      </c>
      <c r="E1627" t="s">
        <v>32</v>
      </c>
      <c r="F1627">
        <v>4</v>
      </c>
      <c r="G1627">
        <v>27.03</v>
      </c>
      <c r="H1627">
        <v>108.12</v>
      </c>
      <c r="I1627" t="str">
        <f t="shared" si="175"/>
        <v>Low</v>
      </c>
      <c r="J1627">
        <v>1.66</v>
      </c>
      <c r="K1627">
        <f t="shared" si="180"/>
        <v>106.46000000000001</v>
      </c>
      <c r="L1627" t="str">
        <f t="shared" si="181"/>
        <v>January</v>
      </c>
      <c r="M1627">
        <f>YEAR(C1627)</f>
        <v>2025</v>
      </c>
      <c r="N1627">
        <v>147</v>
      </c>
      <c r="O1627" t="str">
        <f>IF(N1627&gt;=200,"Platinum",IF(N1627&gt;=100,"Gold",IF(N1627&gt;=50,"Silver","Regular")))</f>
        <v>Gold</v>
      </c>
      <c r="P1627" s="4" t="str">
        <f t="shared" si="176"/>
        <v>Friday</v>
      </c>
      <c r="Q1627" s="4" t="str">
        <f t="shared" si="177"/>
        <v>Medium Order</v>
      </c>
      <c r="R1627" s="4" t="str">
        <f t="shared" si="178"/>
        <v>Weekday</v>
      </c>
      <c r="S1627" s="4" t="str">
        <f t="shared" si="179"/>
        <v>High Value</v>
      </c>
    </row>
    <row r="1628" spans="1:19" x14ac:dyDescent="0.3">
      <c r="A1628">
        <v>8972</v>
      </c>
      <c r="B1628" t="s">
        <v>13</v>
      </c>
      <c r="C1628" s="1">
        <v>45554</v>
      </c>
      <c r="D1628" t="s">
        <v>6</v>
      </c>
      <c r="E1628" t="s">
        <v>37</v>
      </c>
      <c r="F1628">
        <v>4</v>
      </c>
      <c r="G1628">
        <v>21.74</v>
      </c>
      <c r="H1628">
        <v>86.96</v>
      </c>
      <c r="I1628" t="str">
        <f t="shared" si="175"/>
        <v>Low</v>
      </c>
      <c r="J1628">
        <v>1.28</v>
      </c>
      <c r="K1628">
        <f t="shared" si="180"/>
        <v>85.679999999999993</v>
      </c>
      <c r="L1628" t="str">
        <f t="shared" si="181"/>
        <v>September</v>
      </c>
      <c r="M1628">
        <f>YEAR(C1628)</f>
        <v>2024</v>
      </c>
      <c r="N1628">
        <v>52</v>
      </c>
      <c r="O1628" t="str">
        <f>IF(N1628&gt;=200,"Platinum",IF(N1628&gt;=100,"Gold",IF(N1628&gt;=50,"Silver","Regular")))</f>
        <v>Silver</v>
      </c>
      <c r="P1628" s="4" t="str">
        <f t="shared" si="176"/>
        <v>Thursday</v>
      </c>
      <c r="Q1628" s="4" t="str">
        <f t="shared" si="177"/>
        <v>Medium Order</v>
      </c>
      <c r="R1628" s="4" t="str">
        <f t="shared" si="178"/>
        <v>Weekday</v>
      </c>
      <c r="S1628" s="4" t="str">
        <f t="shared" si="179"/>
        <v>Regular</v>
      </c>
    </row>
    <row r="1629" spans="1:19" x14ac:dyDescent="0.3">
      <c r="A1629">
        <v>6517</v>
      </c>
      <c r="B1629" t="s">
        <v>0</v>
      </c>
      <c r="C1629" s="1">
        <v>45825</v>
      </c>
      <c r="D1629" t="s">
        <v>9</v>
      </c>
      <c r="E1629" t="s">
        <v>22</v>
      </c>
      <c r="F1629">
        <v>3</v>
      </c>
      <c r="G1629">
        <v>25.72</v>
      </c>
      <c r="H1629">
        <v>77.16</v>
      </c>
      <c r="I1629" t="str">
        <f t="shared" si="175"/>
        <v>Low</v>
      </c>
      <c r="J1629">
        <v>1.1299999999999999</v>
      </c>
      <c r="K1629">
        <f t="shared" si="180"/>
        <v>76.03</v>
      </c>
      <c r="L1629" t="str">
        <f t="shared" si="181"/>
        <v>June</v>
      </c>
      <c r="M1629">
        <f>YEAR(C1629)</f>
        <v>2025</v>
      </c>
      <c r="N1629">
        <v>226</v>
      </c>
      <c r="O1629" t="str">
        <f>IF(N1629&gt;=200,"Platinum",IF(N1629&gt;=100,"Gold",IF(N1629&gt;=50,"Silver","Regular")))</f>
        <v>Platinum</v>
      </c>
      <c r="P1629" s="4" t="str">
        <f t="shared" si="176"/>
        <v>Tuesday</v>
      </c>
      <c r="Q1629" s="4" t="str">
        <f t="shared" si="177"/>
        <v>Medium Order</v>
      </c>
      <c r="R1629" s="4" t="str">
        <f t="shared" si="178"/>
        <v>Weekday</v>
      </c>
      <c r="S1629" s="4" t="str">
        <f t="shared" si="179"/>
        <v>Regular</v>
      </c>
    </row>
    <row r="1630" spans="1:19" x14ac:dyDescent="0.3">
      <c r="A1630">
        <v>4920</v>
      </c>
      <c r="B1630" t="s">
        <v>20</v>
      </c>
      <c r="C1630" s="1">
        <v>45333</v>
      </c>
      <c r="D1630" t="s">
        <v>11</v>
      </c>
      <c r="E1630" t="s">
        <v>28</v>
      </c>
      <c r="F1630">
        <v>5</v>
      </c>
      <c r="G1630">
        <v>14.34</v>
      </c>
      <c r="H1630">
        <v>71.7</v>
      </c>
      <c r="I1630" t="str">
        <f t="shared" si="175"/>
        <v>Low</v>
      </c>
      <c r="J1630">
        <v>1.02</v>
      </c>
      <c r="K1630">
        <f t="shared" si="180"/>
        <v>70.680000000000007</v>
      </c>
      <c r="L1630" t="str">
        <f t="shared" si="181"/>
        <v>February</v>
      </c>
      <c r="M1630">
        <f>YEAR(C1630)</f>
        <v>2024</v>
      </c>
      <c r="N1630">
        <v>152</v>
      </c>
      <c r="O1630" t="str">
        <f>IF(N1630&gt;=200,"Platinum",IF(N1630&gt;=100,"Gold",IF(N1630&gt;=50,"Silver","Regular")))</f>
        <v>Gold</v>
      </c>
      <c r="P1630" s="4" t="str">
        <f t="shared" si="176"/>
        <v>Sunday</v>
      </c>
      <c r="Q1630" s="4" t="str">
        <f t="shared" si="177"/>
        <v>Medium Order</v>
      </c>
      <c r="R1630" s="4" t="str">
        <f t="shared" si="178"/>
        <v>Weekend</v>
      </c>
      <c r="S1630" s="4" t="str">
        <f t="shared" si="179"/>
        <v>Regular</v>
      </c>
    </row>
    <row r="1631" spans="1:19" x14ac:dyDescent="0.3">
      <c r="A1631">
        <v>8585</v>
      </c>
      <c r="B1631" t="s">
        <v>8</v>
      </c>
      <c r="C1631" s="1">
        <v>45668</v>
      </c>
      <c r="D1631" t="s">
        <v>27</v>
      </c>
      <c r="E1631" t="s">
        <v>37</v>
      </c>
      <c r="F1631">
        <v>5</v>
      </c>
      <c r="G1631">
        <v>23.73</v>
      </c>
      <c r="H1631">
        <v>118.65</v>
      </c>
      <c r="I1631" t="str">
        <f t="shared" si="175"/>
        <v>Low</v>
      </c>
      <c r="J1631">
        <v>1.64</v>
      </c>
      <c r="K1631">
        <f t="shared" si="180"/>
        <v>117.01</v>
      </c>
      <c r="L1631" t="str">
        <f t="shared" si="181"/>
        <v>January</v>
      </c>
      <c r="M1631">
        <f>YEAR(C1631)</f>
        <v>2025</v>
      </c>
      <c r="N1631">
        <v>431</v>
      </c>
      <c r="O1631" t="str">
        <f>IF(N1631&gt;=200,"Platinum",IF(N1631&gt;=100,"Gold",IF(N1631&gt;=50,"Silver","Regular")))</f>
        <v>Platinum</v>
      </c>
      <c r="P1631" s="4" t="str">
        <f t="shared" si="176"/>
        <v>Saturday</v>
      </c>
      <c r="Q1631" s="4" t="str">
        <f t="shared" si="177"/>
        <v>Medium Order</v>
      </c>
      <c r="R1631" s="4" t="str">
        <f t="shared" si="178"/>
        <v>Weekend</v>
      </c>
      <c r="S1631" s="4" t="str">
        <f t="shared" si="179"/>
        <v>High Value</v>
      </c>
    </row>
    <row r="1632" spans="1:19" x14ac:dyDescent="0.3">
      <c r="A1632">
        <v>3734</v>
      </c>
      <c r="B1632" t="s">
        <v>19</v>
      </c>
      <c r="C1632" s="1">
        <v>45430</v>
      </c>
      <c r="D1632" t="s">
        <v>6</v>
      </c>
      <c r="E1632" t="s">
        <v>5</v>
      </c>
      <c r="F1632">
        <v>3</v>
      </c>
      <c r="G1632">
        <v>24.9</v>
      </c>
      <c r="H1632">
        <v>74.7</v>
      </c>
      <c r="I1632" t="str">
        <f t="shared" si="175"/>
        <v>Low</v>
      </c>
      <c r="J1632">
        <v>1.03</v>
      </c>
      <c r="K1632">
        <f t="shared" si="180"/>
        <v>73.67</v>
      </c>
      <c r="L1632" t="str">
        <f t="shared" si="181"/>
        <v>May</v>
      </c>
      <c r="M1632">
        <f>YEAR(C1632)</f>
        <v>2024</v>
      </c>
      <c r="N1632">
        <v>376</v>
      </c>
      <c r="O1632" t="str">
        <f>IF(N1632&gt;=200,"Platinum",IF(N1632&gt;=100,"Gold",IF(N1632&gt;=50,"Silver","Regular")))</f>
        <v>Platinum</v>
      </c>
      <c r="P1632" s="4" t="str">
        <f t="shared" si="176"/>
        <v>Saturday</v>
      </c>
      <c r="Q1632" s="4" t="str">
        <f t="shared" si="177"/>
        <v>Medium Order</v>
      </c>
      <c r="R1632" s="4" t="str">
        <f t="shared" si="178"/>
        <v>Weekend</v>
      </c>
      <c r="S1632" s="4" t="str">
        <f t="shared" si="179"/>
        <v>Regular</v>
      </c>
    </row>
    <row r="1633" spans="1:19" x14ac:dyDescent="0.3">
      <c r="A1633">
        <v>2785</v>
      </c>
      <c r="B1633" t="s">
        <v>31</v>
      </c>
      <c r="C1633" s="1">
        <v>45265</v>
      </c>
      <c r="D1633" t="s">
        <v>9</v>
      </c>
      <c r="E1633" t="s">
        <v>32</v>
      </c>
      <c r="F1633">
        <v>4</v>
      </c>
      <c r="G1633">
        <v>26.53</v>
      </c>
      <c r="H1633">
        <v>106.12</v>
      </c>
      <c r="I1633" t="str">
        <f t="shared" si="175"/>
        <v>Low</v>
      </c>
      <c r="J1633">
        <v>1.42</v>
      </c>
      <c r="K1633">
        <f t="shared" si="180"/>
        <v>104.7</v>
      </c>
      <c r="L1633" t="str">
        <f t="shared" si="181"/>
        <v>December</v>
      </c>
      <c r="M1633">
        <f>YEAR(C1633)</f>
        <v>2023</v>
      </c>
      <c r="N1633">
        <v>256</v>
      </c>
      <c r="O1633" t="str">
        <f>IF(N1633&gt;=200,"Platinum",IF(N1633&gt;=100,"Gold",IF(N1633&gt;=50,"Silver","Regular")))</f>
        <v>Platinum</v>
      </c>
      <c r="P1633" s="4" t="str">
        <f t="shared" si="176"/>
        <v>Tuesday</v>
      </c>
      <c r="Q1633" s="4" t="str">
        <f t="shared" si="177"/>
        <v>Medium Order</v>
      </c>
      <c r="R1633" s="4" t="str">
        <f t="shared" si="178"/>
        <v>Weekday</v>
      </c>
      <c r="S1633" s="4" t="str">
        <f t="shared" si="179"/>
        <v>High Value</v>
      </c>
    </row>
    <row r="1634" spans="1:19" x14ac:dyDescent="0.3">
      <c r="A1634">
        <v>4986</v>
      </c>
      <c r="B1634" t="s">
        <v>15</v>
      </c>
      <c r="C1634" s="1">
        <v>45382</v>
      </c>
      <c r="D1634" t="s">
        <v>27</v>
      </c>
      <c r="E1634" t="s">
        <v>12</v>
      </c>
      <c r="F1634">
        <v>5</v>
      </c>
      <c r="G1634">
        <v>29.98</v>
      </c>
      <c r="H1634">
        <v>149.9</v>
      </c>
      <c r="I1634" t="str">
        <f t="shared" si="175"/>
        <v>Low</v>
      </c>
      <c r="J1634">
        <v>1.99</v>
      </c>
      <c r="K1634">
        <f t="shared" si="180"/>
        <v>147.91</v>
      </c>
      <c r="L1634" t="str">
        <f t="shared" si="181"/>
        <v>March</v>
      </c>
      <c r="M1634">
        <f>YEAR(C1634)</f>
        <v>2024</v>
      </c>
      <c r="N1634">
        <v>498</v>
      </c>
      <c r="O1634" t="str">
        <f>IF(N1634&gt;=200,"Platinum",IF(N1634&gt;=100,"Gold",IF(N1634&gt;=50,"Silver","Regular")))</f>
        <v>Platinum</v>
      </c>
      <c r="P1634" s="4" t="str">
        <f t="shared" si="176"/>
        <v>Sunday</v>
      </c>
      <c r="Q1634" s="4" t="str">
        <f t="shared" si="177"/>
        <v>Medium Order</v>
      </c>
      <c r="R1634" s="4" t="str">
        <f t="shared" si="178"/>
        <v>Weekend</v>
      </c>
      <c r="S1634" s="4" t="str">
        <f t="shared" si="179"/>
        <v>High Value</v>
      </c>
    </row>
    <row r="1635" spans="1:19" x14ac:dyDescent="0.3">
      <c r="A1635">
        <v>7689</v>
      </c>
      <c r="B1635" t="s">
        <v>19</v>
      </c>
      <c r="C1635" s="1">
        <v>45235</v>
      </c>
      <c r="D1635" t="s">
        <v>27</v>
      </c>
      <c r="E1635" t="s">
        <v>35</v>
      </c>
      <c r="F1635">
        <v>5</v>
      </c>
      <c r="G1635">
        <v>17.54</v>
      </c>
      <c r="H1635">
        <v>87.7</v>
      </c>
      <c r="I1635" t="str">
        <f t="shared" si="175"/>
        <v>Low</v>
      </c>
      <c r="J1635">
        <v>1.1499999999999999</v>
      </c>
      <c r="K1635">
        <f t="shared" si="180"/>
        <v>86.55</v>
      </c>
      <c r="L1635" t="str">
        <f t="shared" si="181"/>
        <v>November</v>
      </c>
      <c r="M1635">
        <f>YEAR(C1635)</f>
        <v>2023</v>
      </c>
      <c r="N1635">
        <v>292</v>
      </c>
      <c r="O1635" t="str">
        <f>IF(N1635&gt;=200,"Platinum",IF(N1635&gt;=100,"Gold",IF(N1635&gt;=50,"Silver","Regular")))</f>
        <v>Platinum</v>
      </c>
      <c r="P1635" s="4" t="str">
        <f t="shared" si="176"/>
        <v>Sunday</v>
      </c>
      <c r="Q1635" s="4" t="str">
        <f t="shared" si="177"/>
        <v>Medium Order</v>
      </c>
      <c r="R1635" s="4" t="str">
        <f t="shared" si="178"/>
        <v>Weekend</v>
      </c>
      <c r="S1635" s="4" t="str">
        <f t="shared" si="179"/>
        <v>Regular</v>
      </c>
    </row>
    <row r="1636" spans="1:19" x14ac:dyDescent="0.3">
      <c r="A1636">
        <v>2335</v>
      </c>
      <c r="B1636" t="s">
        <v>0</v>
      </c>
      <c r="C1636" s="1">
        <v>45597</v>
      </c>
      <c r="D1636" t="s">
        <v>4</v>
      </c>
      <c r="E1636" t="s">
        <v>28</v>
      </c>
      <c r="F1636">
        <v>4</v>
      </c>
      <c r="G1636">
        <v>22.95</v>
      </c>
      <c r="H1636">
        <v>91.8</v>
      </c>
      <c r="I1636" t="str">
        <f t="shared" si="175"/>
        <v>Low</v>
      </c>
      <c r="J1636">
        <v>1.1299999999999999</v>
      </c>
      <c r="K1636">
        <f t="shared" si="180"/>
        <v>90.67</v>
      </c>
      <c r="L1636" t="str">
        <f t="shared" si="181"/>
        <v>November</v>
      </c>
      <c r="M1636">
        <f>YEAR(C1636)</f>
        <v>2024</v>
      </c>
      <c r="N1636">
        <v>21</v>
      </c>
      <c r="O1636" t="str">
        <f>IF(N1636&gt;=200,"Platinum",IF(N1636&gt;=100,"Gold",IF(N1636&gt;=50,"Silver","Regular")))</f>
        <v>Regular</v>
      </c>
      <c r="P1636" s="4" t="str">
        <f t="shared" si="176"/>
        <v>Friday</v>
      </c>
      <c r="Q1636" s="4" t="str">
        <f t="shared" si="177"/>
        <v>Medium Order</v>
      </c>
      <c r="R1636" s="4" t="str">
        <f t="shared" si="178"/>
        <v>Weekday</v>
      </c>
      <c r="S1636" s="4" t="str">
        <f t="shared" si="179"/>
        <v>Regular</v>
      </c>
    </row>
    <row r="1637" spans="1:19" x14ac:dyDescent="0.3">
      <c r="A1637">
        <v>1310</v>
      </c>
      <c r="B1637" t="s">
        <v>0</v>
      </c>
      <c r="C1637" s="1">
        <v>45487</v>
      </c>
      <c r="D1637" t="s">
        <v>16</v>
      </c>
      <c r="E1637" t="s">
        <v>30</v>
      </c>
      <c r="F1637">
        <v>4</v>
      </c>
      <c r="G1637">
        <v>28.55</v>
      </c>
      <c r="H1637">
        <v>114.2</v>
      </c>
      <c r="I1637" t="str">
        <f t="shared" si="175"/>
        <v>Low</v>
      </c>
      <c r="J1637">
        <v>1.38</v>
      </c>
      <c r="K1637">
        <f t="shared" si="180"/>
        <v>112.82000000000001</v>
      </c>
      <c r="L1637" t="str">
        <f t="shared" si="181"/>
        <v>July</v>
      </c>
      <c r="M1637">
        <f>YEAR(C1637)</f>
        <v>2024</v>
      </c>
      <c r="N1637">
        <v>218</v>
      </c>
      <c r="O1637" t="str">
        <f>IF(N1637&gt;=200,"Platinum",IF(N1637&gt;=100,"Gold",IF(N1637&gt;=50,"Silver","Regular")))</f>
        <v>Platinum</v>
      </c>
      <c r="P1637" s="4" t="str">
        <f t="shared" si="176"/>
        <v>Sunday</v>
      </c>
      <c r="Q1637" s="4" t="str">
        <f t="shared" si="177"/>
        <v>Medium Order</v>
      </c>
      <c r="R1637" s="4" t="str">
        <f t="shared" si="178"/>
        <v>Weekend</v>
      </c>
      <c r="S1637" s="4" t="str">
        <f t="shared" si="179"/>
        <v>High Value</v>
      </c>
    </row>
    <row r="1638" spans="1:19" x14ac:dyDescent="0.3">
      <c r="A1638">
        <v>6816</v>
      </c>
      <c r="B1638" t="s">
        <v>3</v>
      </c>
      <c r="C1638" s="1">
        <v>45274</v>
      </c>
      <c r="D1638" t="s">
        <v>4</v>
      </c>
      <c r="E1638" t="s">
        <v>5</v>
      </c>
      <c r="F1638">
        <v>4</v>
      </c>
      <c r="G1638">
        <v>23.44</v>
      </c>
      <c r="H1638">
        <v>93.76</v>
      </c>
      <c r="I1638" t="str">
        <f t="shared" si="175"/>
        <v>Low</v>
      </c>
      <c r="J1638">
        <v>1.1100000000000001</v>
      </c>
      <c r="K1638">
        <f t="shared" si="180"/>
        <v>92.65</v>
      </c>
      <c r="L1638" t="str">
        <f t="shared" si="181"/>
        <v>December</v>
      </c>
      <c r="M1638">
        <f>YEAR(C1638)</f>
        <v>2023</v>
      </c>
      <c r="N1638">
        <v>488</v>
      </c>
      <c r="O1638" t="str">
        <f>IF(N1638&gt;=200,"Platinum",IF(N1638&gt;=100,"Gold",IF(N1638&gt;=50,"Silver","Regular")))</f>
        <v>Platinum</v>
      </c>
      <c r="P1638" s="4" t="str">
        <f t="shared" si="176"/>
        <v>Thursday</v>
      </c>
      <c r="Q1638" s="4" t="str">
        <f t="shared" si="177"/>
        <v>Medium Order</v>
      </c>
      <c r="R1638" s="4" t="str">
        <f t="shared" si="178"/>
        <v>Weekday</v>
      </c>
      <c r="S1638" s="4" t="str">
        <f t="shared" si="179"/>
        <v>Regular</v>
      </c>
    </row>
    <row r="1639" spans="1:19" x14ac:dyDescent="0.3">
      <c r="A1639">
        <v>5336</v>
      </c>
      <c r="B1639" t="s">
        <v>15</v>
      </c>
      <c r="C1639" s="1">
        <v>45650</v>
      </c>
      <c r="D1639" t="s">
        <v>4</v>
      </c>
      <c r="E1639" t="s">
        <v>10</v>
      </c>
      <c r="F1639">
        <v>5</v>
      </c>
      <c r="G1639">
        <v>28.89</v>
      </c>
      <c r="H1639">
        <v>144.44999999999999</v>
      </c>
      <c r="I1639" t="str">
        <f t="shared" si="175"/>
        <v>Low</v>
      </c>
      <c r="J1639">
        <v>1.69</v>
      </c>
      <c r="K1639">
        <f t="shared" si="180"/>
        <v>142.76</v>
      </c>
      <c r="L1639" t="str">
        <f t="shared" si="181"/>
        <v>December</v>
      </c>
      <c r="M1639">
        <f>YEAR(C1639)</f>
        <v>2024</v>
      </c>
      <c r="N1639">
        <v>327</v>
      </c>
      <c r="O1639" t="str">
        <f>IF(N1639&gt;=200,"Platinum",IF(N1639&gt;=100,"Gold",IF(N1639&gt;=50,"Silver","Regular")))</f>
        <v>Platinum</v>
      </c>
      <c r="P1639" s="4" t="str">
        <f t="shared" si="176"/>
        <v>Tuesday</v>
      </c>
      <c r="Q1639" s="4" t="str">
        <f t="shared" si="177"/>
        <v>Medium Order</v>
      </c>
      <c r="R1639" s="4" t="str">
        <f t="shared" si="178"/>
        <v>Weekday</v>
      </c>
      <c r="S1639" s="4" t="str">
        <f t="shared" si="179"/>
        <v>High Value</v>
      </c>
    </row>
    <row r="1640" spans="1:19" x14ac:dyDescent="0.3">
      <c r="A1640">
        <v>3035</v>
      </c>
      <c r="B1640" t="s">
        <v>13</v>
      </c>
      <c r="C1640" s="1">
        <v>45866</v>
      </c>
      <c r="D1640" t="s">
        <v>1</v>
      </c>
      <c r="E1640" t="s">
        <v>37</v>
      </c>
      <c r="F1640">
        <v>5</v>
      </c>
      <c r="G1640">
        <v>25.3</v>
      </c>
      <c r="H1640">
        <v>126.5</v>
      </c>
      <c r="I1640" t="str">
        <f t="shared" si="175"/>
        <v>Low</v>
      </c>
      <c r="J1640">
        <v>1.38</v>
      </c>
      <c r="K1640">
        <f t="shared" si="180"/>
        <v>125.12</v>
      </c>
      <c r="L1640" t="str">
        <f t="shared" si="181"/>
        <v>July</v>
      </c>
      <c r="M1640">
        <f>YEAR(C1640)</f>
        <v>2025</v>
      </c>
      <c r="N1640">
        <v>329</v>
      </c>
      <c r="O1640" t="str">
        <f>IF(N1640&gt;=200,"Platinum",IF(N1640&gt;=100,"Gold",IF(N1640&gt;=50,"Silver","Regular")))</f>
        <v>Platinum</v>
      </c>
      <c r="P1640" s="4" t="str">
        <f t="shared" si="176"/>
        <v>Monday</v>
      </c>
      <c r="Q1640" s="4" t="str">
        <f t="shared" si="177"/>
        <v>Medium Order</v>
      </c>
      <c r="R1640" s="4" t="str">
        <f t="shared" si="178"/>
        <v>Weekday</v>
      </c>
      <c r="S1640" s="4" t="str">
        <f t="shared" si="179"/>
        <v>High Value</v>
      </c>
    </row>
    <row r="1641" spans="1:19" x14ac:dyDescent="0.3">
      <c r="A1641">
        <v>8381</v>
      </c>
      <c r="B1641" t="s">
        <v>31</v>
      </c>
      <c r="C1641" s="1">
        <v>45225</v>
      </c>
      <c r="D1641" t="s">
        <v>24</v>
      </c>
      <c r="E1641" t="s">
        <v>36</v>
      </c>
      <c r="F1641">
        <v>5</v>
      </c>
      <c r="G1641">
        <v>29.6</v>
      </c>
      <c r="H1641">
        <v>148</v>
      </c>
      <c r="I1641" t="str">
        <f t="shared" si="175"/>
        <v>Low</v>
      </c>
      <c r="J1641">
        <v>1.03</v>
      </c>
      <c r="K1641">
        <f t="shared" si="180"/>
        <v>146.97</v>
      </c>
      <c r="L1641" t="str">
        <f t="shared" si="181"/>
        <v>October</v>
      </c>
      <c r="M1641">
        <f>YEAR(C1641)</f>
        <v>2023</v>
      </c>
      <c r="N1641">
        <v>33</v>
      </c>
      <c r="O1641" t="str">
        <f>IF(N1641&gt;=200,"Platinum",IF(N1641&gt;=100,"Gold",IF(N1641&gt;=50,"Silver","Regular")))</f>
        <v>Regular</v>
      </c>
      <c r="P1641" s="4" t="str">
        <f t="shared" si="176"/>
        <v>Thursday</v>
      </c>
      <c r="Q1641" s="4" t="str">
        <f t="shared" si="177"/>
        <v>Medium Order</v>
      </c>
      <c r="R1641" s="4" t="str">
        <f t="shared" si="178"/>
        <v>Weekday</v>
      </c>
      <c r="S1641" s="4" t="str">
        <f t="shared" si="179"/>
        <v>High Value</v>
      </c>
    </row>
    <row r="1642" spans="1:19" x14ac:dyDescent="0.3">
      <c r="A1642">
        <v>3981</v>
      </c>
      <c r="B1642" t="s">
        <v>25</v>
      </c>
      <c r="C1642" s="1">
        <v>45741</v>
      </c>
      <c r="D1642" t="s">
        <v>11</v>
      </c>
      <c r="E1642" t="s">
        <v>18</v>
      </c>
      <c r="F1642">
        <v>5</v>
      </c>
      <c r="G1642">
        <v>29.33</v>
      </c>
      <c r="H1642">
        <v>146.65</v>
      </c>
      <c r="I1642" t="str">
        <f t="shared" si="175"/>
        <v>No Discount</v>
      </c>
      <c r="J1642">
        <v>0</v>
      </c>
      <c r="K1642">
        <f t="shared" si="180"/>
        <v>146.65</v>
      </c>
      <c r="L1642" t="str">
        <f t="shared" si="181"/>
        <v>March</v>
      </c>
      <c r="M1642">
        <f>YEAR(C1642)</f>
        <v>2025</v>
      </c>
      <c r="N1642">
        <v>319</v>
      </c>
      <c r="O1642" t="str">
        <f>IF(N1642&gt;=200,"Platinum",IF(N1642&gt;=100,"Gold",IF(N1642&gt;=50,"Silver","Regular")))</f>
        <v>Platinum</v>
      </c>
      <c r="P1642" s="4" t="str">
        <f t="shared" si="176"/>
        <v>Tuesday</v>
      </c>
      <c r="Q1642" s="4" t="str">
        <f t="shared" si="177"/>
        <v>Medium Order</v>
      </c>
      <c r="R1642" s="4" t="str">
        <f t="shared" si="178"/>
        <v>Weekday</v>
      </c>
      <c r="S1642" s="4" t="str">
        <f t="shared" si="179"/>
        <v>High Value</v>
      </c>
    </row>
    <row r="1643" spans="1:19" x14ac:dyDescent="0.3">
      <c r="A1643">
        <v>8213</v>
      </c>
      <c r="B1643" t="s">
        <v>8</v>
      </c>
      <c r="C1643" s="1">
        <v>45222</v>
      </c>
      <c r="D1643" t="s">
        <v>27</v>
      </c>
      <c r="E1643" t="s">
        <v>21</v>
      </c>
      <c r="F1643">
        <v>5</v>
      </c>
      <c r="G1643">
        <v>29.1</v>
      </c>
      <c r="H1643">
        <v>145.5</v>
      </c>
      <c r="I1643" t="str">
        <f t="shared" si="175"/>
        <v>No Discount</v>
      </c>
      <c r="J1643">
        <v>0</v>
      </c>
      <c r="K1643">
        <f t="shared" si="180"/>
        <v>145.5</v>
      </c>
      <c r="L1643" t="str">
        <f t="shared" si="181"/>
        <v>October</v>
      </c>
      <c r="M1643">
        <f>YEAR(C1643)</f>
        <v>2023</v>
      </c>
      <c r="N1643">
        <v>326</v>
      </c>
      <c r="O1643" t="str">
        <f>IF(N1643&gt;=200,"Platinum",IF(N1643&gt;=100,"Gold",IF(N1643&gt;=50,"Silver","Regular")))</f>
        <v>Platinum</v>
      </c>
      <c r="P1643" s="4" t="str">
        <f t="shared" si="176"/>
        <v>Monday</v>
      </c>
      <c r="Q1643" s="4" t="str">
        <f t="shared" si="177"/>
        <v>Medium Order</v>
      </c>
      <c r="R1643" s="4" t="str">
        <f t="shared" si="178"/>
        <v>Weekday</v>
      </c>
      <c r="S1643" s="4" t="str">
        <f t="shared" si="179"/>
        <v>High Value</v>
      </c>
    </row>
    <row r="1644" spans="1:19" x14ac:dyDescent="0.3">
      <c r="A1644">
        <v>9689</v>
      </c>
      <c r="B1644" t="s">
        <v>19</v>
      </c>
      <c r="C1644" s="1">
        <v>45858</v>
      </c>
      <c r="D1644" t="s">
        <v>27</v>
      </c>
      <c r="E1644" t="s">
        <v>28</v>
      </c>
      <c r="F1644">
        <v>5</v>
      </c>
      <c r="G1644">
        <v>28.48</v>
      </c>
      <c r="H1644">
        <v>142.4</v>
      </c>
      <c r="I1644" t="str">
        <f t="shared" si="175"/>
        <v>No Discount</v>
      </c>
      <c r="J1644">
        <v>0</v>
      </c>
      <c r="K1644">
        <f t="shared" si="180"/>
        <v>142.4</v>
      </c>
      <c r="L1644" t="str">
        <f t="shared" si="181"/>
        <v>July</v>
      </c>
      <c r="M1644">
        <f>YEAR(C1644)</f>
        <v>2025</v>
      </c>
      <c r="N1644">
        <v>43</v>
      </c>
      <c r="O1644" t="str">
        <f>IF(N1644&gt;=200,"Platinum",IF(N1644&gt;=100,"Gold",IF(N1644&gt;=50,"Silver","Regular")))</f>
        <v>Regular</v>
      </c>
      <c r="P1644" s="4" t="str">
        <f t="shared" si="176"/>
        <v>Sunday</v>
      </c>
      <c r="Q1644" s="4" t="str">
        <f t="shared" si="177"/>
        <v>Medium Order</v>
      </c>
      <c r="R1644" s="4" t="str">
        <f t="shared" si="178"/>
        <v>Weekend</v>
      </c>
      <c r="S1644" s="4" t="str">
        <f t="shared" si="179"/>
        <v>High Value</v>
      </c>
    </row>
    <row r="1645" spans="1:19" x14ac:dyDescent="0.3">
      <c r="A1645">
        <v>9835</v>
      </c>
      <c r="B1645" t="s">
        <v>0</v>
      </c>
      <c r="C1645" s="1">
        <v>45248</v>
      </c>
      <c r="D1645" t="s">
        <v>4</v>
      </c>
      <c r="E1645" t="s">
        <v>28</v>
      </c>
      <c r="F1645">
        <v>5</v>
      </c>
      <c r="G1645">
        <v>28.03</v>
      </c>
      <c r="H1645">
        <v>140.15</v>
      </c>
      <c r="I1645" t="str">
        <f t="shared" si="175"/>
        <v>No Discount</v>
      </c>
      <c r="J1645">
        <v>0</v>
      </c>
      <c r="K1645">
        <f t="shared" si="180"/>
        <v>140.15</v>
      </c>
      <c r="L1645" t="str">
        <f t="shared" si="181"/>
        <v>November</v>
      </c>
      <c r="M1645">
        <f>YEAR(C1645)</f>
        <v>2023</v>
      </c>
      <c r="N1645">
        <v>53</v>
      </c>
      <c r="O1645" t="str">
        <f>IF(N1645&gt;=200,"Platinum",IF(N1645&gt;=100,"Gold",IF(N1645&gt;=50,"Silver","Regular")))</f>
        <v>Silver</v>
      </c>
      <c r="P1645" s="4" t="str">
        <f t="shared" si="176"/>
        <v>Saturday</v>
      </c>
      <c r="Q1645" s="4" t="str">
        <f t="shared" si="177"/>
        <v>Medium Order</v>
      </c>
      <c r="R1645" s="4" t="str">
        <f t="shared" si="178"/>
        <v>Weekend</v>
      </c>
      <c r="S1645" s="4" t="str">
        <f t="shared" si="179"/>
        <v>High Value</v>
      </c>
    </row>
    <row r="1646" spans="1:19" x14ac:dyDescent="0.3">
      <c r="A1646">
        <v>4120</v>
      </c>
      <c r="B1646" t="s">
        <v>20</v>
      </c>
      <c r="C1646" s="1">
        <v>45185</v>
      </c>
      <c r="D1646" t="s">
        <v>4</v>
      </c>
      <c r="E1646" t="s">
        <v>18</v>
      </c>
      <c r="F1646">
        <v>5</v>
      </c>
      <c r="G1646">
        <v>27.32</v>
      </c>
      <c r="H1646">
        <v>136.6</v>
      </c>
      <c r="I1646" t="str">
        <f t="shared" si="175"/>
        <v>No Discount</v>
      </c>
      <c r="J1646">
        <v>0</v>
      </c>
      <c r="K1646">
        <f t="shared" si="180"/>
        <v>136.6</v>
      </c>
      <c r="L1646" t="str">
        <f t="shared" si="181"/>
        <v>September</v>
      </c>
      <c r="M1646">
        <f>YEAR(C1646)</f>
        <v>2023</v>
      </c>
      <c r="N1646">
        <v>318</v>
      </c>
      <c r="O1646" t="str">
        <f>IF(N1646&gt;=200,"Platinum",IF(N1646&gt;=100,"Gold",IF(N1646&gt;=50,"Silver","Regular")))</f>
        <v>Platinum</v>
      </c>
      <c r="P1646" s="4" t="str">
        <f t="shared" si="176"/>
        <v>Saturday</v>
      </c>
      <c r="Q1646" s="4" t="str">
        <f t="shared" si="177"/>
        <v>Medium Order</v>
      </c>
      <c r="R1646" s="4" t="str">
        <f t="shared" si="178"/>
        <v>Weekend</v>
      </c>
      <c r="S1646" s="4" t="str">
        <f t="shared" si="179"/>
        <v>High Value</v>
      </c>
    </row>
    <row r="1647" spans="1:19" x14ac:dyDescent="0.3">
      <c r="A1647">
        <v>8048</v>
      </c>
      <c r="B1647" t="s">
        <v>8</v>
      </c>
      <c r="C1647" s="1">
        <v>45222</v>
      </c>
      <c r="D1647" t="s">
        <v>16</v>
      </c>
      <c r="E1647" t="s">
        <v>22</v>
      </c>
      <c r="F1647">
        <v>5</v>
      </c>
      <c r="G1647">
        <v>26.97</v>
      </c>
      <c r="H1647">
        <v>134.85</v>
      </c>
      <c r="I1647" t="str">
        <f t="shared" si="175"/>
        <v>No Discount</v>
      </c>
      <c r="J1647">
        <v>0</v>
      </c>
      <c r="K1647">
        <f t="shared" si="180"/>
        <v>134.85</v>
      </c>
      <c r="L1647" t="str">
        <f t="shared" si="181"/>
        <v>October</v>
      </c>
      <c r="M1647">
        <f>YEAR(C1647)</f>
        <v>2023</v>
      </c>
      <c r="N1647">
        <v>236</v>
      </c>
      <c r="O1647" t="str">
        <f>IF(N1647&gt;=200,"Platinum",IF(N1647&gt;=100,"Gold",IF(N1647&gt;=50,"Silver","Regular")))</f>
        <v>Platinum</v>
      </c>
      <c r="P1647" s="4" t="str">
        <f t="shared" si="176"/>
        <v>Monday</v>
      </c>
      <c r="Q1647" s="4" t="str">
        <f t="shared" si="177"/>
        <v>Medium Order</v>
      </c>
      <c r="R1647" s="4" t="str">
        <f t="shared" si="178"/>
        <v>Weekday</v>
      </c>
      <c r="S1647" s="4" t="str">
        <f t="shared" si="179"/>
        <v>High Value</v>
      </c>
    </row>
    <row r="1648" spans="1:19" x14ac:dyDescent="0.3">
      <c r="A1648">
        <v>8460</v>
      </c>
      <c r="B1648" t="s">
        <v>20</v>
      </c>
      <c r="C1648" s="1">
        <v>45869</v>
      </c>
      <c r="D1648" t="s">
        <v>27</v>
      </c>
      <c r="E1648" t="s">
        <v>2</v>
      </c>
      <c r="F1648">
        <v>5</v>
      </c>
      <c r="G1648">
        <v>26.92</v>
      </c>
      <c r="H1648">
        <v>134.6</v>
      </c>
      <c r="I1648" t="str">
        <f t="shared" si="175"/>
        <v>No Discount</v>
      </c>
      <c r="J1648">
        <v>0</v>
      </c>
      <c r="K1648">
        <f t="shared" si="180"/>
        <v>134.6</v>
      </c>
      <c r="L1648" t="str">
        <f t="shared" si="181"/>
        <v>July</v>
      </c>
      <c r="M1648">
        <f>YEAR(C1648)</f>
        <v>2025</v>
      </c>
      <c r="N1648">
        <v>276</v>
      </c>
      <c r="O1648" t="str">
        <f>IF(N1648&gt;=200,"Platinum",IF(N1648&gt;=100,"Gold",IF(N1648&gt;=50,"Silver","Regular")))</f>
        <v>Platinum</v>
      </c>
      <c r="P1648" s="4" t="str">
        <f t="shared" si="176"/>
        <v>Thursday</v>
      </c>
      <c r="Q1648" s="4" t="str">
        <f t="shared" si="177"/>
        <v>Medium Order</v>
      </c>
      <c r="R1648" s="4" t="str">
        <f t="shared" si="178"/>
        <v>Weekday</v>
      </c>
      <c r="S1648" s="4" t="str">
        <f t="shared" si="179"/>
        <v>High Value</v>
      </c>
    </row>
    <row r="1649" spans="1:19" x14ac:dyDescent="0.3">
      <c r="A1649">
        <v>4705</v>
      </c>
      <c r="B1649" t="s">
        <v>3</v>
      </c>
      <c r="C1649" s="1">
        <v>45548</v>
      </c>
      <c r="D1649" t="s">
        <v>17</v>
      </c>
      <c r="E1649" t="s">
        <v>21</v>
      </c>
      <c r="F1649">
        <v>5</v>
      </c>
      <c r="G1649">
        <v>26.76</v>
      </c>
      <c r="H1649">
        <v>133.80000000000001</v>
      </c>
      <c r="I1649" t="str">
        <f t="shared" si="175"/>
        <v>No Discount</v>
      </c>
      <c r="J1649">
        <v>0</v>
      </c>
      <c r="K1649">
        <f t="shared" si="180"/>
        <v>133.80000000000001</v>
      </c>
      <c r="L1649" t="str">
        <f t="shared" si="181"/>
        <v>September</v>
      </c>
      <c r="M1649">
        <f>YEAR(C1649)</f>
        <v>2024</v>
      </c>
      <c r="N1649">
        <v>198</v>
      </c>
      <c r="O1649" t="str">
        <f>IF(N1649&gt;=200,"Platinum",IF(N1649&gt;=100,"Gold",IF(N1649&gt;=50,"Silver","Regular")))</f>
        <v>Gold</v>
      </c>
      <c r="P1649" s="4" t="str">
        <f t="shared" si="176"/>
        <v>Friday</v>
      </c>
      <c r="Q1649" s="4" t="str">
        <f t="shared" si="177"/>
        <v>Medium Order</v>
      </c>
      <c r="R1649" s="4" t="str">
        <f t="shared" si="178"/>
        <v>Weekday</v>
      </c>
      <c r="S1649" s="4" t="str">
        <f t="shared" si="179"/>
        <v>High Value</v>
      </c>
    </row>
    <row r="1650" spans="1:19" x14ac:dyDescent="0.3">
      <c r="A1650">
        <v>3444</v>
      </c>
      <c r="B1650" t="s">
        <v>8</v>
      </c>
      <c r="C1650" s="1">
        <v>45377</v>
      </c>
      <c r="D1650" t="s">
        <v>11</v>
      </c>
      <c r="E1650" t="s">
        <v>30</v>
      </c>
      <c r="F1650">
        <v>5</v>
      </c>
      <c r="G1650">
        <v>26.74</v>
      </c>
      <c r="H1650">
        <v>133.69999999999999</v>
      </c>
      <c r="I1650" t="str">
        <f t="shared" si="175"/>
        <v>No Discount</v>
      </c>
      <c r="J1650">
        <v>0</v>
      </c>
      <c r="K1650">
        <f t="shared" si="180"/>
        <v>133.69999999999999</v>
      </c>
      <c r="L1650" t="str">
        <f t="shared" si="181"/>
        <v>March</v>
      </c>
      <c r="M1650">
        <f>YEAR(C1650)</f>
        <v>2024</v>
      </c>
      <c r="N1650">
        <v>494</v>
      </c>
      <c r="O1650" t="str">
        <f>IF(N1650&gt;=200,"Platinum",IF(N1650&gt;=100,"Gold",IF(N1650&gt;=50,"Silver","Regular")))</f>
        <v>Platinum</v>
      </c>
      <c r="P1650" s="4" t="str">
        <f t="shared" si="176"/>
        <v>Tuesday</v>
      </c>
      <c r="Q1650" s="4" t="str">
        <f t="shared" si="177"/>
        <v>Medium Order</v>
      </c>
      <c r="R1650" s="4" t="str">
        <f t="shared" si="178"/>
        <v>Weekday</v>
      </c>
      <c r="S1650" s="4" t="str">
        <f t="shared" si="179"/>
        <v>High Value</v>
      </c>
    </row>
    <row r="1651" spans="1:19" x14ac:dyDescent="0.3">
      <c r="A1651">
        <v>4065</v>
      </c>
      <c r="B1651" t="s">
        <v>15</v>
      </c>
      <c r="C1651" s="1">
        <v>45389</v>
      </c>
      <c r="D1651" t="s">
        <v>34</v>
      </c>
      <c r="E1651" t="s">
        <v>37</v>
      </c>
      <c r="F1651">
        <v>5</v>
      </c>
      <c r="G1651">
        <v>26.56</v>
      </c>
      <c r="H1651">
        <v>132.80000000000001</v>
      </c>
      <c r="I1651" t="str">
        <f t="shared" si="175"/>
        <v>No Discount</v>
      </c>
      <c r="J1651">
        <v>0</v>
      </c>
      <c r="K1651">
        <f t="shared" si="180"/>
        <v>132.80000000000001</v>
      </c>
      <c r="L1651" t="str">
        <f t="shared" si="181"/>
        <v>April</v>
      </c>
      <c r="M1651">
        <f>YEAR(C1651)</f>
        <v>2024</v>
      </c>
      <c r="N1651">
        <v>26</v>
      </c>
      <c r="O1651" t="str">
        <f>IF(N1651&gt;=200,"Platinum",IF(N1651&gt;=100,"Gold",IF(N1651&gt;=50,"Silver","Regular")))</f>
        <v>Regular</v>
      </c>
      <c r="P1651" s="4" t="str">
        <f t="shared" si="176"/>
        <v>Sunday</v>
      </c>
      <c r="Q1651" s="4" t="str">
        <f t="shared" si="177"/>
        <v>Medium Order</v>
      </c>
      <c r="R1651" s="4" t="str">
        <f t="shared" si="178"/>
        <v>Weekend</v>
      </c>
      <c r="S1651" s="4" t="str">
        <f t="shared" si="179"/>
        <v>High Value</v>
      </c>
    </row>
    <row r="1652" spans="1:19" x14ac:dyDescent="0.3">
      <c r="A1652">
        <v>5560</v>
      </c>
      <c r="B1652" t="s">
        <v>13</v>
      </c>
      <c r="C1652" s="1">
        <v>45729</v>
      </c>
      <c r="D1652" t="s">
        <v>24</v>
      </c>
      <c r="E1652" t="s">
        <v>28</v>
      </c>
      <c r="F1652">
        <v>5</v>
      </c>
      <c r="G1652">
        <v>25.06</v>
      </c>
      <c r="H1652">
        <v>125.3</v>
      </c>
      <c r="I1652" t="str">
        <f t="shared" si="175"/>
        <v>No Discount</v>
      </c>
      <c r="J1652">
        <v>0</v>
      </c>
      <c r="K1652">
        <f t="shared" si="180"/>
        <v>125.3</v>
      </c>
      <c r="L1652" t="str">
        <f t="shared" si="181"/>
        <v>March</v>
      </c>
      <c r="M1652">
        <f>YEAR(C1652)</f>
        <v>2025</v>
      </c>
      <c r="N1652">
        <v>390</v>
      </c>
      <c r="O1652" t="str">
        <f>IF(N1652&gt;=200,"Platinum",IF(N1652&gt;=100,"Gold",IF(N1652&gt;=50,"Silver","Regular")))</f>
        <v>Platinum</v>
      </c>
      <c r="P1652" s="4" t="str">
        <f t="shared" si="176"/>
        <v>Thursday</v>
      </c>
      <c r="Q1652" s="4" t="str">
        <f t="shared" si="177"/>
        <v>Medium Order</v>
      </c>
      <c r="R1652" s="4" t="str">
        <f t="shared" si="178"/>
        <v>Weekday</v>
      </c>
      <c r="S1652" s="4" t="str">
        <f t="shared" si="179"/>
        <v>High Value</v>
      </c>
    </row>
    <row r="1653" spans="1:19" x14ac:dyDescent="0.3">
      <c r="A1653">
        <v>8056</v>
      </c>
      <c r="B1653" t="s">
        <v>0</v>
      </c>
      <c r="C1653" s="1">
        <v>45258</v>
      </c>
      <c r="D1653" t="s">
        <v>27</v>
      </c>
      <c r="E1653" t="s">
        <v>2</v>
      </c>
      <c r="F1653">
        <v>5</v>
      </c>
      <c r="G1653">
        <v>24.57</v>
      </c>
      <c r="H1653">
        <v>122.85</v>
      </c>
      <c r="I1653" t="str">
        <f t="shared" si="175"/>
        <v>No Discount</v>
      </c>
      <c r="J1653">
        <v>0</v>
      </c>
      <c r="K1653">
        <f t="shared" si="180"/>
        <v>122.85</v>
      </c>
      <c r="L1653" t="str">
        <f t="shared" si="181"/>
        <v>November</v>
      </c>
      <c r="M1653">
        <f>YEAR(C1653)</f>
        <v>2023</v>
      </c>
      <c r="N1653">
        <v>294</v>
      </c>
      <c r="O1653" t="str">
        <f>IF(N1653&gt;=200,"Platinum",IF(N1653&gt;=100,"Gold",IF(N1653&gt;=50,"Silver","Regular")))</f>
        <v>Platinum</v>
      </c>
      <c r="P1653" s="4" t="str">
        <f t="shared" si="176"/>
        <v>Tuesday</v>
      </c>
      <c r="Q1653" s="4" t="str">
        <f t="shared" si="177"/>
        <v>Medium Order</v>
      </c>
      <c r="R1653" s="4" t="str">
        <f t="shared" si="178"/>
        <v>Weekday</v>
      </c>
      <c r="S1653" s="4" t="str">
        <f t="shared" si="179"/>
        <v>High Value</v>
      </c>
    </row>
    <row r="1654" spans="1:19" x14ac:dyDescent="0.3">
      <c r="A1654">
        <v>5843</v>
      </c>
      <c r="B1654" t="s">
        <v>13</v>
      </c>
      <c r="C1654" s="1">
        <v>45383</v>
      </c>
      <c r="D1654" t="s">
        <v>24</v>
      </c>
      <c r="E1654" t="s">
        <v>36</v>
      </c>
      <c r="F1654">
        <v>4</v>
      </c>
      <c r="G1654">
        <v>29.89</v>
      </c>
      <c r="H1654">
        <v>119.56</v>
      </c>
      <c r="I1654" t="str">
        <f t="shared" si="175"/>
        <v>No Discount</v>
      </c>
      <c r="J1654">
        <v>0</v>
      </c>
      <c r="K1654">
        <f t="shared" si="180"/>
        <v>119.56</v>
      </c>
      <c r="L1654" t="str">
        <f t="shared" si="181"/>
        <v>April</v>
      </c>
      <c r="M1654">
        <f>YEAR(C1654)</f>
        <v>2024</v>
      </c>
      <c r="N1654">
        <v>352</v>
      </c>
      <c r="O1654" t="str">
        <f>IF(N1654&gt;=200,"Platinum",IF(N1654&gt;=100,"Gold",IF(N1654&gt;=50,"Silver","Regular")))</f>
        <v>Platinum</v>
      </c>
      <c r="P1654" s="4" t="str">
        <f t="shared" si="176"/>
        <v>Monday</v>
      </c>
      <c r="Q1654" s="4" t="str">
        <f t="shared" si="177"/>
        <v>Medium Order</v>
      </c>
      <c r="R1654" s="4" t="str">
        <f t="shared" si="178"/>
        <v>Weekday</v>
      </c>
      <c r="S1654" s="4" t="str">
        <f t="shared" si="179"/>
        <v>High Value</v>
      </c>
    </row>
    <row r="1655" spans="1:19" x14ac:dyDescent="0.3">
      <c r="A1655">
        <v>4394</v>
      </c>
      <c r="B1655" t="s">
        <v>19</v>
      </c>
      <c r="C1655" s="1">
        <v>45600</v>
      </c>
      <c r="D1655" t="s">
        <v>27</v>
      </c>
      <c r="E1655" t="s">
        <v>30</v>
      </c>
      <c r="F1655">
        <v>4</v>
      </c>
      <c r="G1655">
        <v>29.86</v>
      </c>
      <c r="H1655">
        <v>119.44</v>
      </c>
      <c r="I1655" t="str">
        <f t="shared" si="175"/>
        <v>No Discount</v>
      </c>
      <c r="J1655">
        <v>0</v>
      </c>
      <c r="K1655">
        <f t="shared" si="180"/>
        <v>119.44</v>
      </c>
      <c r="L1655" t="str">
        <f t="shared" si="181"/>
        <v>November</v>
      </c>
      <c r="M1655">
        <f>YEAR(C1655)</f>
        <v>2024</v>
      </c>
      <c r="N1655">
        <v>499</v>
      </c>
      <c r="O1655" t="str">
        <f>IF(N1655&gt;=200,"Platinum",IF(N1655&gt;=100,"Gold",IF(N1655&gt;=50,"Silver","Regular")))</f>
        <v>Platinum</v>
      </c>
      <c r="P1655" s="4" t="str">
        <f t="shared" si="176"/>
        <v>Monday</v>
      </c>
      <c r="Q1655" s="4" t="str">
        <f t="shared" si="177"/>
        <v>Medium Order</v>
      </c>
      <c r="R1655" s="4" t="str">
        <f t="shared" si="178"/>
        <v>Weekday</v>
      </c>
      <c r="S1655" s="4" t="str">
        <f t="shared" si="179"/>
        <v>High Value</v>
      </c>
    </row>
    <row r="1656" spans="1:19" x14ac:dyDescent="0.3">
      <c r="A1656">
        <v>8144</v>
      </c>
      <c r="B1656" t="s">
        <v>13</v>
      </c>
      <c r="C1656" s="1">
        <v>45146</v>
      </c>
      <c r="D1656" t="s">
        <v>6</v>
      </c>
      <c r="E1656" t="s">
        <v>5</v>
      </c>
      <c r="F1656">
        <v>5</v>
      </c>
      <c r="G1656">
        <v>23.46</v>
      </c>
      <c r="H1656">
        <v>117.3</v>
      </c>
      <c r="I1656" t="str">
        <f t="shared" si="175"/>
        <v>No Discount</v>
      </c>
      <c r="J1656">
        <v>0</v>
      </c>
      <c r="K1656">
        <f t="shared" si="180"/>
        <v>117.3</v>
      </c>
      <c r="L1656" t="str">
        <f t="shared" si="181"/>
        <v>August</v>
      </c>
      <c r="M1656">
        <f>YEAR(C1656)</f>
        <v>2023</v>
      </c>
      <c r="N1656">
        <v>471</v>
      </c>
      <c r="O1656" t="str">
        <f>IF(N1656&gt;=200,"Platinum",IF(N1656&gt;=100,"Gold",IF(N1656&gt;=50,"Silver","Regular")))</f>
        <v>Platinum</v>
      </c>
      <c r="P1656" s="4" t="str">
        <f t="shared" si="176"/>
        <v>Tuesday</v>
      </c>
      <c r="Q1656" s="4" t="str">
        <f t="shared" si="177"/>
        <v>Medium Order</v>
      </c>
      <c r="R1656" s="4" t="str">
        <f t="shared" si="178"/>
        <v>Weekday</v>
      </c>
      <c r="S1656" s="4" t="str">
        <f t="shared" si="179"/>
        <v>High Value</v>
      </c>
    </row>
    <row r="1657" spans="1:19" x14ac:dyDescent="0.3">
      <c r="A1657">
        <v>9351</v>
      </c>
      <c r="B1657" t="s">
        <v>19</v>
      </c>
      <c r="C1657" s="1">
        <v>45558</v>
      </c>
      <c r="D1657" t="s">
        <v>6</v>
      </c>
      <c r="E1657" t="s">
        <v>2</v>
      </c>
      <c r="F1657">
        <v>4</v>
      </c>
      <c r="G1657">
        <v>28.58</v>
      </c>
      <c r="H1657">
        <v>114.32</v>
      </c>
      <c r="I1657" t="str">
        <f t="shared" si="175"/>
        <v>No Discount</v>
      </c>
      <c r="J1657">
        <v>0</v>
      </c>
      <c r="K1657">
        <f t="shared" si="180"/>
        <v>114.32</v>
      </c>
      <c r="L1657" t="str">
        <f t="shared" si="181"/>
        <v>September</v>
      </c>
      <c r="M1657">
        <f>YEAR(C1657)</f>
        <v>2024</v>
      </c>
      <c r="N1657">
        <v>343</v>
      </c>
      <c r="O1657" t="str">
        <f>IF(N1657&gt;=200,"Platinum",IF(N1657&gt;=100,"Gold",IF(N1657&gt;=50,"Silver","Regular")))</f>
        <v>Platinum</v>
      </c>
      <c r="P1657" s="4" t="str">
        <f t="shared" si="176"/>
        <v>Monday</v>
      </c>
      <c r="Q1657" s="4" t="str">
        <f t="shared" si="177"/>
        <v>Medium Order</v>
      </c>
      <c r="R1657" s="4" t="str">
        <f t="shared" si="178"/>
        <v>Weekday</v>
      </c>
      <c r="S1657" s="4" t="str">
        <f t="shared" si="179"/>
        <v>High Value</v>
      </c>
    </row>
    <row r="1658" spans="1:19" x14ac:dyDescent="0.3">
      <c r="A1658">
        <v>3496</v>
      </c>
      <c r="B1658" t="s">
        <v>3</v>
      </c>
      <c r="C1658" s="1">
        <v>45330</v>
      </c>
      <c r="D1658" t="s">
        <v>24</v>
      </c>
      <c r="E1658" t="s">
        <v>12</v>
      </c>
      <c r="F1658">
        <v>4</v>
      </c>
      <c r="G1658">
        <v>28.55</v>
      </c>
      <c r="H1658">
        <v>114.2</v>
      </c>
      <c r="I1658" t="str">
        <f t="shared" si="175"/>
        <v>No Discount</v>
      </c>
      <c r="J1658">
        <v>0</v>
      </c>
      <c r="K1658">
        <f t="shared" si="180"/>
        <v>114.2</v>
      </c>
      <c r="L1658" t="str">
        <f t="shared" si="181"/>
        <v>February</v>
      </c>
      <c r="M1658">
        <f>YEAR(C1658)</f>
        <v>2024</v>
      </c>
      <c r="N1658">
        <v>167</v>
      </c>
      <c r="O1658" t="str">
        <f>IF(N1658&gt;=200,"Platinum",IF(N1658&gt;=100,"Gold",IF(N1658&gt;=50,"Silver","Regular")))</f>
        <v>Gold</v>
      </c>
      <c r="P1658" s="4" t="str">
        <f t="shared" si="176"/>
        <v>Thursday</v>
      </c>
      <c r="Q1658" s="4" t="str">
        <f t="shared" si="177"/>
        <v>Medium Order</v>
      </c>
      <c r="R1658" s="4" t="str">
        <f t="shared" si="178"/>
        <v>Weekday</v>
      </c>
      <c r="S1658" s="4" t="str">
        <f t="shared" si="179"/>
        <v>High Value</v>
      </c>
    </row>
    <row r="1659" spans="1:19" x14ac:dyDescent="0.3">
      <c r="A1659">
        <v>8055</v>
      </c>
      <c r="B1659" t="s">
        <v>0</v>
      </c>
      <c r="C1659" s="1">
        <v>45281</v>
      </c>
      <c r="D1659" t="s">
        <v>6</v>
      </c>
      <c r="E1659" t="s">
        <v>35</v>
      </c>
      <c r="F1659">
        <v>4</v>
      </c>
      <c r="G1659">
        <v>28.25</v>
      </c>
      <c r="H1659">
        <v>113</v>
      </c>
      <c r="I1659" t="str">
        <f t="shared" si="175"/>
        <v>No Discount</v>
      </c>
      <c r="J1659">
        <v>0</v>
      </c>
      <c r="K1659">
        <f t="shared" si="180"/>
        <v>113</v>
      </c>
      <c r="L1659" t="str">
        <f t="shared" si="181"/>
        <v>December</v>
      </c>
      <c r="M1659">
        <f>YEAR(C1659)</f>
        <v>2023</v>
      </c>
      <c r="N1659">
        <v>445</v>
      </c>
      <c r="O1659" t="str">
        <f>IF(N1659&gt;=200,"Platinum",IF(N1659&gt;=100,"Gold",IF(N1659&gt;=50,"Silver","Regular")))</f>
        <v>Platinum</v>
      </c>
      <c r="P1659" s="4" t="str">
        <f t="shared" si="176"/>
        <v>Thursday</v>
      </c>
      <c r="Q1659" s="4" t="str">
        <f t="shared" si="177"/>
        <v>Medium Order</v>
      </c>
      <c r="R1659" s="4" t="str">
        <f t="shared" si="178"/>
        <v>Weekday</v>
      </c>
      <c r="S1659" s="4" t="str">
        <f t="shared" si="179"/>
        <v>High Value</v>
      </c>
    </row>
    <row r="1660" spans="1:19" x14ac:dyDescent="0.3">
      <c r="A1660">
        <v>5562</v>
      </c>
      <c r="B1660" t="s">
        <v>3</v>
      </c>
      <c r="C1660" s="1">
        <v>45664</v>
      </c>
      <c r="D1660" t="s">
        <v>27</v>
      </c>
      <c r="E1660" t="s">
        <v>21</v>
      </c>
      <c r="F1660">
        <v>4</v>
      </c>
      <c r="G1660">
        <v>28.04</v>
      </c>
      <c r="H1660">
        <v>112.16</v>
      </c>
      <c r="I1660" t="str">
        <f t="shared" si="175"/>
        <v>No Discount</v>
      </c>
      <c r="J1660">
        <v>0</v>
      </c>
      <c r="K1660">
        <f t="shared" si="180"/>
        <v>112.16</v>
      </c>
      <c r="L1660" t="str">
        <f t="shared" si="181"/>
        <v>January</v>
      </c>
      <c r="M1660">
        <f>YEAR(C1660)</f>
        <v>2025</v>
      </c>
      <c r="N1660">
        <v>445</v>
      </c>
      <c r="O1660" t="str">
        <f>IF(N1660&gt;=200,"Platinum",IF(N1660&gt;=100,"Gold",IF(N1660&gt;=50,"Silver","Regular")))</f>
        <v>Platinum</v>
      </c>
      <c r="P1660" s="4" t="str">
        <f t="shared" si="176"/>
        <v>Tuesday</v>
      </c>
      <c r="Q1660" s="4" t="str">
        <f t="shared" si="177"/>
        <v>Medium Order</v>
      </c>
      <c r="R1660" s="4" t="str">
        <f t="shared" si="178"/>
        <v>Weekday</v>
      </c>
      <c r="S1660" s="4" t="str">
        <f t="shared" si="179"/>
        <v>High Value</v>
      </c>
    </row>
    <row r="1661" spans="1:19" x14ac:dyDescent="0.3">
      <c r="A1661">
        <v>9189</v>
      </c>
      <c r="B1661" t="s">
        <v>20</v>
      </c>
      <c r="C1661" s="1">
        <v>45608</v>
      </c>
      <c r="D1661" t="s">
        <v>27</v>
      </c>
      <c r="E1661" t="s">
        <v>18</v>
      </c>
      <c r="F1661">
        <v>4</v>
      </c>
      <c r="G1661">
        <v>27.68</v>
      </c>
      <c r="H1661">
        <v>110.72</v>
      </c>
      <c r="I1661" t="str">
        <f t="shared" si="175"/>
        <v>No Discount</v>
      </c>
      <c r="J1661">
        <v>0</v>
      </c>
      <c r="K1661">
        <f t="shared" si="180"/>
        <v>110.72</v>
      </c>
      <c r="L1661" t="str">
        <f t="shared" si="181"/>
        <v>November</v>
      </c>
      <c r="M1661">
        <f>YEAR(C1661)</f>
        <v>2024</v>
      </c>
      <c r="N1661">
        <v>126</v>
      </c>
      <c r="O1661" t="str">
        <f>IF(N1661&gt;=200,"Platinum",IF(N1661&gt;=100,"Gold",IF(N1661&gt;=50,"Silver","Regular")))</f>
        <v>Gold</v>
      </c>
      <c r="P1661" s="4" t="str">
        <f t="shared" si="176"/>
        <v>Tuesday</v>
      </c>
      <c r="Q1661" s="4" t="str">
        <f t="shared" si="177"/>
        <v>Medium Order</v>
      </c>
      <c r="R1661" s="4" t="str">
        <f t="shared" si="178"/>
        <v>Weekday</v>
      </c>
      <c r="S1661" s="4" t="str">
        <f t="shared" si="179"/>
        <v>High Value</v>
      </c>
    </row>
    <row r="1662" spans="1:19" x14ac:dyDescent="0.3">
      <c r="A1662">
        <v>1006</v>
      </c>
      <c r="B1662" t="s">
        <v>19</v>
      </c>
      <c r="C1662" s="1">
        <v>45381</v>
      </c>
      <c r="D1662" t="s">
        <v>11</v>
      </c>
      <c r="E1662" t="s">
        <v>26</v>
      </c>
      <c r="F1662">
        <v>5</v>
      </c>
      <c r="G1662">
        <v>21.95</v>
      </c>
      <c r="H1662">
        <v>109.75</v>
      </c>
      <c r="I1662" t="str">
        <f t="shared" si="175"/>
        <v>No Discount</v>
      </c>
      <c r="J1662">
        <v>0</v>
      </c>
      <c r="K1662">
        <f t="shared" si="180"/>
        <v>109.75</v>
      </c>
      <c r="L1662" t="str">
        <f t="shared" si="181"/>
        <v>March</v>
      </c>
      <c r="M1662">
        <f>YEAR(C1662)</f>
        <v>2024</v>
      </c>
      <c r="N1662">
        <v>5</v>
      </c>
      <c r="O1662" t="str">
        <f>IF(N1662&gt;=200,"Platinum",IF(N1662&gt;=100,"Gold",IF(N1662&gt;=50,"Silver","Regular")))</f>
        <v>Regular</v>
      </c>
      <c r="P1662" s="4" t="str">
        <f t="shared" si="176"/>
        <v>Saturday</v>
      </c>
      <c r="Q1662" s="4" t="str">
        <f t="shared" si="177"/>
        <v>Medium Order</v>
      </c>
      <c r="R1662" s="4" t="str">
        <f t="shared" si="178"/>
        <v>Weekend</v>
      </c>
      <c r="S1662" s="4" t="str">
        <f t="shared" si="179"/>
        <v>High Value</v>
      </c>
    </row>
    <row r="1663" spans="1:19" x14ac:dyDescent="0.3">
      <c r="A1663">
        <v>6666</v>
      </c>
      <c r="B1663" t="s">
        <v>20</v>
      </c>
      <c r="C1663" s="1">
        <v>45186</v>
      </c>
      <c r="D1663" t="s">
        <v>4</v>
      </c>
      <c r="E1663" t="s">
        <v>12</v>
      </c>
      <c r="F1663">
        <v>4</v>
      </c>
      <c r="G1663">
        <v>27.4</v>
      </c>
      <c r="H1663">
        <v>109.6</v>
      </c>
      <c r="I1663" t="str">
        <f t="shared" si="175"/>
        <v>No Discount</v>
      </c>
      <c r="J1663">
        <v>0</v>
      </c>
      <c r="K1663">
        <f t="shared" si="180"/>
        <v>109.6</v>
      </c>
      <c r="L1663" t="str">
        <f t="shared" si="181"/>
        <v>September</v>
      </c>
      <c r="M1663">
        <f>YEAR(C1663)</f>
        <v>2023</v>
      </c>
      <c r="N1663">
        <v>322</v>
      </c>
      <c r="O1663" t="str">
        <f>IF(N1663&gt;=200,"Platinum",IF(N1663&gt;=100,"Gold",IF(N1663&gt;=50,"Silver","Regular")))</f>
        <v>Platinum</v>
      </c>
      <c r="P1663" s="4" t="str">
        <f t="shared" si="176"/>
        <v>Sunday</v>
      </c>
      <c r="Q1663" s="4" t="str">
        <f t="shared" si="177"/>
        <v>Medium Order</v>
      </c>
      <c r="R1663" s="4" t="str">
        <f t="shared" si="178"/>
        <v>Weekend</v>
      </c>
      <c r="S1663" s="4" t="str">
        <f t="shared" si="179"/>
        <v>High Value</v>
      </c>
    </row>
    <row r="1664" spans="1:19" x14ac:dyDescent="0.3">
      <c r="A1664">
        <v>5911</v>
      </c>
      <c r="B1664" t="s">
        <v>0</v>
      </c>
      <c r="C1664" s="1">
        <v>45513</v>
      </c>
      <c r="D1664" t="s">
        <v>16</v>
      </c>
      <c r="E1664" t="s">
        <v>10</v>
      </c>
      <c r="F1664">
        <v>4</v>
      </c>
      <c r="G1664">
        <v>27.38</v>
      </c>
      <c r="H1664">
        <v>109.52</v>
      </c>
      <c r="I1664" t="str">
        <f t="shared" si="175"/>
        <v>No Discount</v>
      </c>
      <c r="J1664">
        <v>0</v>
      </c>
      <c r="K1664">
        <f t="shared" si="180"/>
        <v>109.52</v>
      </c>
      <c r="L1664" t="str">
        <f t="shared" si="181"/>
        <v>August</v>
      </c>
      <c r="M1664">
        <f>YEAR(C1664)</f>
        <v>2024</v>
      </c>
      <c r="N1664">
        <v>380</v>
      </c>
      <c r="O1664" t="str">
        <f>IF(N1664&gt;=200,"Platinum",IF(N1664&gt;=100,"Gold",IF(N1664&gt;=50,"Silver","Regular")))</f>
        <v>Platinum</v>
      </c>
      <c r="P1664" s="4" t="str">
        <f t="shared" si="176"/>
        <v>Friday</v>
      </c>
      <c r="Q1664" s="4" t="str">
        <f t="shared" si="177"/>
        <v>Medium Order</v>
      </c>
      <c r="R1664" s="4" t="str">
        <f t="shared" si="178"/>
        <v>Weekday</v>
      </c>
      <c r="S1664" s="4" t="str">
        <f t="shared" si="179"/>
        <v>High Value</v>
      </c>
    </row>
    <row r="1665" spans="1:19" x14ac:dyDescent="0.3">
      <c r="A1665">
        <v>7642</v>
      </c>
      <c r="B1665" t="s">
        <v>31</v>
      </c>
      <c r="C1665" s="1">
        <v>45677</v>
      </c>
      <c r="D1665" t="s">
        <v>9</v>
      </c>
      <c r="E1665" t="s">
        <v>32</v>
      </c>
      <c r="F1665">
        <v>5</v>
      </c>
      <c r="G1665">
        <v>21.72</v>
      </c>
      <c r="H1665">
        <v>108.6</v>
      </c>
      <c r="I1665" t="str">
        <f t="shared" si="175"/>
        <v>No Discount</v>
      </c>
      <c r="J1665">
        <v>0</v>
      </c>
      <c r="K1665">
        <f t="shared" si="180"/>
        <v>108.6</v>
      </c>
      <c r="L1665" t="str">
        <f t="shared" si="181"/>
        <v>January</v>
      </c>
      <c r="M1665">
        <f>YEAR(C1665)</f>
        <v>2025</v>
      </c>
      <c r="N1665">
        <v>269</v>
      </c>
      <c r="O1665" t="str">
        <f>IF(N1665&gt;=200,"Platinum",IF(N1665&gt;=100,"Gold",IF(N1665&gt;=50,"Silver","Regular")))</f>
        <v>Platinum</v>
      </c>
      <c r="P1665" s="4" t="str">
        <f t="shared" si="176"/>
        <v>Monday</v>
      </c>
      <c r="Q1665" s="4" t="str">
        <f t="shared" si="177"/>
        <v>Medium Order</v>
      </c>
      <c r="R1665" s="4" t="str">
        <f t="shared" si="178"/>
        <v>Weekday</v>
      </c>
      <c r="S1665" s="4" t="str">
        <f t="shared" si="179"/>
        <v>High Value</v>
      </c>
    </row>
    <row r="1666" spans="1:19" x14ac:dyDescent="0.3">
      <c r="A1666">
        <v>8428</v>
      </c>
      <c r="B1666" t="s">
        <v>25</v>
      </c>
      <c r="C1666" s="1">
        <v>45620</v>
      </c>
      <c r="D1666" t="s">
        <v>34</v>
      </c>
      <c r="E1666" t="s">
        <v>18</v>
      </c>
      <c r="F1666">
        <v>4</v>
      </c>
      <c r="G1666">
        <v>26.92</v>
      </c>
      <c r="H1666">
        <v>107.68</v>
      </c>
      <c r="I1666" t="str">
        <f t="shared" ref="I1666:I1729" si="182">IF(J1666=0,"No Discount",IF(J1666&lt;=5,"Low",IF(J1666&lt;=10,"Medium",IF(J1666&lt;=20,"High","Very High"))))</f>
        <v>No Discount</v>
      </c>
      <c r="J1666">
        <v>0</v>
      </c>
      <c r="K1666">
        <f t="shared" si="180"/>
        <v>107.68</v>
      </c>
      <c r="L1666" t="str">
        <f t="shared" si="181"/>
        <v>November</v>
      </c>
      <c r="M1666">
        <f>YEAR(C1666)</f>
        <v>2024</v>
      </c>
      <c r="N1666">
        <v>496</v>
      </c>
      <c r="O1666" t="str">
        <f>IF(N1666&gt;=200,"Platinum",IF(N1666&gt;=100,"Gold",IF(N1666&gt;=50,"Silver","Regular")))</f>
        <v>Platinum</v>
      </c>
      <c r="P1666" s="4" t="str">
        <f t="shared" ref="P1666:P1729" si="183">TEXT(C1666,"dddd")</f>
        <v>Sunday</v>
      </c>
      <c r="Q1666" s="4" t="str">
        <f t="shared" ref="Q1666:Q1729" si="184">IF(F1666&lt;=2,"Small Order",IF(F1666&lt;=5,"Medium Order",IF(F1666&lt;=10,"Large Order","Bulk Order")))</f>
        <v>Medium Order</v>
      </c>
      <c r="R1666" s="4" t="str">
        <f t="shared" ref="R1666:R1729" si="185">IF(WEEKDAY(C1666,2)&gt;5,"Weekend","Weekday")</f>
        <v>Weekend</v>
      </c>
      <c r="S1666" s="4" t="str">
        <f t="shared" ref="S1666:S1729" si="186">IF(K1666&gt;=100,"High Value","Regular")</f>
        <v>High Value</v>
      </c>
    </row>
    <row r="1667" spans="1:19" x14ac:dyDescent="0.3">
      <c r="A1667">
        <v>5305</v>
      </c>
      <c r="B1667" t="s">
        <v>13</v>
      </c>
      <c r="C1667" s="1">
        <v>45415</v>
      </c>
      <c r="D1667" t="s">
        <v>24</v>
      </c>
      <c r="E1667" t="s">
        <v>22</v>
      </c>
      <c r="F1667">
        <v>4</v>
      </c>
      <c r="G1667">
        <v>26.78</v>
      </c>
      <c r="H1667">
        <v>107.12</v>
      </c>
      <c r="I1667" t="str">
        <f t="shared" si="182"/>
        <v>No Discount</v>
      </c>
      <c r="J1667">
        <v>0</v>
      </c>
      <c r="K1667">
        <f t="shared" ref="K1667:K1730" si="187">MAX(0,H1667-J1667)</f>
        <v>107.12</v>
      </c>
      <c r="L1667" t="str">
        <f t="shared" ref="L1667:L1730" si="188">TEXT(C1667,"mmmm")</f>
        <v>May</v>
      </c>
      <c r="M1667">
        <f>YEAR(C1667)</f>
        <v>2024</v>
      </c>
      <c r="N1667">
        <v>378</v>
      </c>
      <c r="O1667" t="str">
        <f>IF(N1667&gt;=200,"Platinum",IF(N1667&gt;=100,"Gold",IF(N1667&gt;=50,"Silver","Regular")))</f>
        <v>Platinum</v>
      </c>
      <c r="P1667" s="4" t="str">
        <f t="shared" si="183"/>
        <v>Friday</v>
      </c>
      <c r="Q1667" s="4" t="str">
        <f t="shared" si="184"/>
        <v>Medium Order</v>
      </c>
      <c r="R1667" s="4" t="str">
        <f t="shared" si="185"/>
        <v>Weekday</v>
      </c>
      <c r="S1667" s="4" t="str">
        <f t="shared" si="186"/>
        <v>High Value</v>
      </c>
    </row>
    <row r="1668" spans="1:19" x14ac:dyDescent="0.3">
      <c r="A1668">
        <v>8800</v>
      </c>
      <c r="B1668" t="s">
        <v>8</v>
      </c>
      <c r="C1668" s="1">
        <v>45646</v>
      </c>
      <c r="D1668" t="s">
        <v>24</v>
      </c>
      <c r="E1668" t="s">
        <v>2</v>
      </c>
      <c r="F1668">
        <v>4</v>
      </c>
      <c r="G1668">
        <v>26.61</v>
      </c>
      <c r="H1668">
        <v>106.44</v>
      </c>
      <c r="I1668" t="str">
        <f t="shared" si="182"/>
        <v>No Discount</v>
      </c>
      <c r="J1668">
        <v>0</v>
      </c>
      <c r="K1668">
        <f t="shared" si="187"/>
        <v>106.44</v>
      </c>
      <c r="L1668" t="str">
        <f t="shared" si="188"/>
        <v>December</v>
      </c>
      <c r="M1668">
        <f>YEAR(C1668)</f>
        <v>2024</v>
      </c>
      <c r="N1668">
        <v>17</v>
      </c>
      <c r="O1668" t="str">
        <f>IF(N1668&gt;=200,"Platinum",IF(N1668&gt;=100,"Gold",IF(N1668&gt;=50,"Silver","Regular")))</f>
        <v>Regular</v>
      </c>
      <c r="P1668" s="4" t="str">
        <f t="shared" si="183"/>
        <v>Friday</v>
      </c>
      <c r="Q1668" s="4" t="str">
        <f t="shared" si="184"/>
        <v>Medium Order</v>
      </c>
      <c r="R1668" s="4" t="str">
        <f t="shared" si="185"/>
        <v>Weekday</v>
      </c>
      <c r="S1668" s="4" t="str">
        <f t="shared" si="186"/>
        <v>High Value</v>
      </c>
    </row>
    <row r="1669" spans="1:19" x14ac:dyDescent="0.3">
      <c r="A1669">
        <v>2889</v>
      </c>
      <c r="B1669" t="s">
        <v>0</v>
      </c>
      <c r="C1669" s="1">
        <v>45322</v>
      </c>
      <c r="D1669" t="s">
        <v>11</v>
      </c>
      <c r="E1669" t="s">
        <v>12</v>
      </c>
      <c r="F1669">
        <v>5</v>
      </c>
      <c r="G1669">
        <v>20.66</v>
      </c>
      <c r="H1669">
        <v>103.3</v>
      </c>
      <c r="I1669" t="str">
        <f t="shared" si="182"/>
        <v>No Discount</v>
      </c>
      <c r="J1669">
        <v>0</v>
      </c>
      <c r="K1669">
        <f t="shared" si="187"/>
        <v>103.3</v>
      </c>
      <c r="L1669" t="str">
        <f t="shared" si="188"/>
        <v>January</v>
      </c>
      <c r="M1669">
        <f>YEAR(C1669)</f>
        <v>2024</v>
      </c>
      <c r="N1669">
        <v>33</v>
      </c>
      <c r="O1669" t="str">
        <f>IF(N1669&gt;=200,"Platinum",IF(N1669&gt;=100,"Gold",IF(N1669&gt;=50,"Silver","Regular")))</f>
        <v>Regular</v>
      </c>
      <c r="P1669" s="4" t="str">
        <f t="shared" si="183"/>
        <v>Wednesday</v>
      </c>
      <c r="Q1669" s="4" t="str">
        <f t="shared" si="184"/>
        <v>Medium Order</v>
      </c>
      <c r="R1669" s="4" t="str">
        <f t="shared" si="185"/>
        <v>Weekday</v>
      </c>
      <c r="S1669" s="4" t="str">
        <f t="shared" si="186"/>
        <v>High Value</v>
      </c>
    </row>
    <row r="1670" spans="1:19" x14ac:dyDescent="0.3">
      <c r="A1670">
        <v>3390</v>
      </c>
      <c r="B1670" t="s">
        <v>25</v>
      </c>
      <c r="C1670" s="1">
        <v>45157</v>
      </c>
      <c r="D1670" t="s">
        <v>1</v>
      </c>
      <c r="E1670" t="s">
        <v>37</v>
      </c>
      <c r="F1670">
        <v>5</v>
      </c>
      <c r="G1670">
        <v>20.55</v>
      </c>
      <c r="H1670">
        <v>102.75</v>
      </c>
      <c r="I1670" t="str">
        <f t="shared" si="182"/>
        <v>No Discount</v>
      </c>
      <c r="J1670">
        <v>0</v>
      </c>
      <c r="K1670">
        <f t="shared" si="187"/>
        <v>102.75</v>
      </c>
      <c r="L1670" t="str">
        <f t="shared" si="188"/>
        <v>August</v>
      </c>
      <c r="M1670">
        <f>YEAR(C1670)</f>
        <v>2023</v>
      </c>
      <c r="N1670">
        <v>378</v>
      </c>
      <c r="O1670" t="str">
        <f>IF(N1670&gt;=200,"Platinum",IF(N1670&gt;=100,"Gold",IF(N1670&gt;=50,"Silver","Regular")))</f>
        <v>Platinum</v>
      </c>
      <c r="P1670" s="4" t="str">
        <f t="shared" si="183"/>
        <v>Saturday</v>
      </c>
      <c r="Q1670" s="4" t="str">
        <f t="shared" si="184"/>
        <v>Medium Order</v>
      </c>
      <c r="R1670" s="4" t="str">
        <f t="shared" si="185"/>
        <v>Weekend</v>
      </c>
      <c r="S1670" s="4" t="str">
        <f t="shared" si="186"/>
        <v>High Value</v>
      </c>
    </row>
    <row r="1671" spans="1:19" x14ac:dyDescent="0.3">
      <c r="A1671">
        <v>9548</v>
      </c>
      <c r="B1671" t="s">
        <v>8</v>
      </c>
      <c r="C1671" s="1">
        <v>45650</v>
      </c>
      <c r="D1671" t="s">
        <v>24</v>
      </c>
      <c r="E1671" t="s">
        <v>37</v>
      </c>
      <c r="F1671">
        <v>5</v>
      </c>
      <c r="G1671">
        <v>20.54</v>
      </c>
      <c r="H1671">
        <v>102.7</v>
      </c>
      <c r="I1671" t="str">
        <f t="shared" si="182"/>
        <v>No Discount</v>
      </c>
      <c r="J1671">
        <v>0</v>
      </c>
      <c r="K1671">
        <f t="shared" si="187"/>
        <v>102.7</v>
      </c>
      <c r="L1671" t="str">
        <f t="shared" si="188"/>
        <v>December</v>
      </c>
      <c r="M1671">
        <f>YEAR(C1671)</f>
        <v>2024</v>
      </c>
      <c r="N1671">
        <v>59</v>
      </c>
      <c r="O1671" t="str">
        <f>IF(N1671&gt;=200,"Platinum",IF(N1671&gt;=100,"Gold",IF(N1671&gt;=50,"Silver","Regular")))</f>
        <v>Silver</v>
      </c>
      <c r="P1671" s="4" t="str">
        <f t="shared" si="183"/>
        <v>Tuesday</v>
      </c>
      <c r="Q1671" s="4" t="str">
        <f t="shared" si="184"/>
        <v>Medium Order</v>
      </c>
      <c r="R1671" s="4" t="str">
        <f t="shared" si="185"/>
        <v>Weekday</v>
      </c>
      <c r="S1671" s="4" t="str">
        <f t="shared" si="186"/>
        <v>High Value</v>
      </c>
    </row>
    <row r="1672" spans="1:19" x14ac:dyDescent="0.3">
      <c r="A1672">
        <v>3522</v>
      </c>
      <c r="B1672" t="s">
        <v>0</v>
      </c>
      <c r="C1672" s="1">
        <v>45532</v>
      </c>
      <c r="D1672" t="s">
        <v>6</v>
      </c>
      <c r="E1672" t="s">
        <v>33</v>
      </c>
      <c r="F1672">
        <v>4</v>
      </c>
      <c r="G1672">
        <v>25.22</v>
      </c>
      <c r="H1672">
        <v>100.88</v>
      </c>
      <c r="I1672" t="str">
        <f t="shared" si="182"/>
        <v>No Discount</v>
      </c>
      <c r="J1672">
        <v>0</v>
      </c>
      <c r="K1672">
        <f t="shared" si="187"/>
        <v>100.88</v>
      </c>
      <c r="L1672" t="str">
        <f t="shared" si="188"/>
        <v>August</v>
      </c>
      <c r="M1672">
        <f>YEAR(C1672)</f>
        <v>2024</v>
      </c>
      <c r="N1672">
        <v>105</v>
      </c>
      <c r="O1672" t="str">
        <f>IF(N1672&gt;=200,"Platinum",IF(N1672&gt;=100,"Gold",IF(N1672&gt;=50,"Silver","Regular")))</f>
        <v>Gold</v>
      </c>
      <c r="P1672" s="4" t="str">
        <f t="shared" si="183"/>
        <v>Wednesday</v>
      </c>
      <c r="Q1672" s="4" t="str">
        <f t="shared" si="184"/>
        <v>Medium Order</v>
      </c>
      <c r="R1672" s="4" t="str">
        <f t="shared" si="185"/>
        <v>Weekday</v>
      </c>
      <c r="S1672" s="4" t="str">
        <f t="shared" si="186"/>
        <v>High Value</v>
      </c>
    </row>
    <row r="1673" spans="1:19" x14ac:dyDescent="0.3">
      <c r="A1673">
        <v>4963</v>
      </c>
      <c r="B1673" t="s">
        <v>15</v>
      </c>
      <c r="C1673" s="1">
        <v>45703</v>
      </c>
      <c r="D1673" t="s">
        <v>34</v>
      </c>
      <c r="E1673" t="s">
        <v>2</v>
      </c>
      <c r="F1673">
        <v>5</v>
      </c>
      <c r="G1673">
        <v>20.07</v>
      </c>
      <c r="H1673">
        <v>100.35</v>
      </c>
      <c r="I1673" t="str">
        <f t="shared" si="182"/>
        <v>No Discount</v>
      </c>
      <c r="J1673">
        <v>0</v>
      </c>
      <c r="K1673">
        <f t="shared" si="187"/>
        <v>100.35</v>
      </c>
      <c r="L1673" t="str">
        <f t="shared" si="188"/>
        <v>February</v>
      </c>
      <c r="M1673">
        <f>YEAR(C1673)</f>
        <v>2025</v>
      </c>
      <c r="N1673">
        <v>168</v>
      </c>
      <c r="O1673" t="str">
        <f>IF(N1673&gt;=200,"Platinum",IF(N1673&gt;=100,"Gold",IF(N1673&gt;=50,"Silver","Regular")))</f>
        <v>Gold</v>
      </c>
      <c r="P1673" s="4" t="str">
        <f t="shared" si="183"/>
        <v>Saturday</v>
      </c>
      <c r="Q1673" s="4" t="str">
        <f t="shared" si="184"/>
        <v>Medium Order</v>
      </c>
      <c r="R1673" s="4" t="str">
        <f t="shared" si="185"/>
        <v>Weekend</v>
      </c>
      <c r="S1673" s="4" t="str">
        <f t="shared" si="186"/>
        <v>High Value</v>
      </c>
    </row>
    <row r="1674" spans="1:19" x14ac:dyDescent="0.3">
      <c r="A1674">
        <v>1528</v>
      </c>
      <c r="B1674" t="s">
        <v>3</v>
      </c>
      <c r="C1674" s="1">
        <v>45494</v>
      </c>
      <c r="D1674" t="s">
        <v>4</v>
      </c>
      <c r="E1674" t="s">
        <v>22</v>
      </c>
      <c r="F1674">
        <v>5</v>
      </c>
      <c r="G1674">
        <v>19.850000000000001</v>
      </c>
      <c r="H1674">
        <v>99.25</v>
      </c>
      <c r="I1674" t="str">
        <f t="shared" si="182"/>
        <v>No Discount</v>
      </c>
      <c r="J1674">
        <v>0</v>
      </c>
      <c r="K1674">
        <f t="shared" si="187"/>
        <v>99.25</v>
      </c>
      <c r="L1674" t="str">
        <f t="shared" si="188"/>
        <v>July</v>
      </c>
      <c r="M1674">
        <f>YEAR(C1674)</f>
        <v>2024</v>
      </c>
      <c r="N1674">
        <v>97</v>
      </c>
      <c r="O1674" t="str">
        <f>IF(N1674&gt;=200,"Platinum",IF(N1674&gt;=100,"Gold",IF(N1674&gt;=50,"Silver","Regular")))</f>
        <v>Silver</v>
      </c>
      <c r="P1674" s="4" t="str">
        <f t="shared" si="183"/>
        <v>Sunday</v>
      </c>
      <c r="Q1674" s="4" t="str">
        <f t="shared" si="184"/>
        <v>Medium Order</v>
      </c>
      <c r="R1674" s="4" t="str">
        <f t="shared" si="185"/>
        <v>Weekend</v>
      </c>
      <c r="S1674" s="4" t="str">
        <f t="shared" si="186"/>
        <v>Regular</v>
      </c>
    </row>
    <row r="1675" spans="1:19" x14ac:dyDescent="0.3">
      <c r="A1675">
        <v>3430</v>
      </c>
      <c r="B1675" t="s">
        <v>15</v>
      </c>
      <c r="C1675" s="1">
        <v>45196</v>
      </c>
      <c r="D1675" t="s">
        <v>27</v>
      </c>
      <c r="E1675" t="s">
        <v>36</v>
      </c>
      <c r="F1675">
        <v>4</v>
      </c>
      <c r="G1675">
        <v>24.42</v>
      </c>
      <c r="H1675">
        <v>97.68</v>
      </c>
      <c r="I1675" t="str">
        <f t="shared" si="182"/>
        <v>No Discount</v>
      </c>
      <c r="J1675">
        <v>0</v>
      </c>
      <c r="K1675">
        <f t="shared" si="187"/>
        <v>97.68</v>
      </c>
      <c r="L1675" t="str">
        <f t="shared" si="188"/>
        <v>September</v>
      </c>
      <c r="M1675">
        <f>YEAR(C1675)</f>
        <v>2023</v>
      </c>
      <c r="N1675">
        <v>452</v>
      </c>
      <c r="O1675" t="str">
        <f>IF(N1675&gt;=200,"Platinum",IF(N1675&gt;=100,"Gold",IF(N1675&gt;=50,"Silver","Regular")))</f>
        <v>Platinum</v>
      </c>
      <c r="P1675" s="4" t="str">
        <f t="shared" si="183"/>
        <v>Wednesday</v>
      </c>
      <c r="Q1675" s="4" t="str">
        <f t="shared" si="184"/>
        <v>Medium Order</v>
      </c>
      <c r="R1675" s="4" t="str">
        <f t="shared" si="185"/>
        <v>Weekday</v>
      </c>
      <c r="S1675" s="4" t="str">
        <f t="shared" si="186"/>
        <v>Regular</v>
      </c>
    </row>
    <row r="1676" spans="1:19" x14ac:dyDescent="0.3">
      <c r="A1676">
        <v>9843</v>
      </c>
      <c r="B1676" t="s">
        <v>0</v>
      </c>
      <c r="C1676" s="1">
        <v>45793</v>
      </c>
      <c r="D1676" t="s">
        <v>16</v>
      </c>
      <c r="E1676" t="s">
        <v>35</v>
      </c>
      <c r="F1676">
        <v>4</v>
      </c>
      <c r="G1676">
        <v>23.98</v>
      </c>
      <c r="H1676">
        <v>95.92</v>
      </c>
      <c r="I1676" t="str">
        <f t="shared" si="182"/>
        <v>No Discount</v>
      </c>
      <c r="J1676">
        <v>0</v>
      </c>
      <c r="K1676">
        <f t="shared" si="187"/>
        <v>95.92</v>
      </c>
      <c r="L1676" t="str">
        <f t="shared" si="188"/>
        <v>May</v>
      </c>
      <c r="M1676">
        <f>YEAR(C1676)</f>
        <v>2025</v>
      </c>
      <c r="N1676">
        <v>103</v>
      </c>
      <c r="O1676" t="str">
        <f>IF(N1676&gt;=200,"Platinum",IF(N1676&gt;=100,"Gold",IF(N1676&gt;=50,"Silver","Regular")))</f>
        <v>Gold</v>
      </c>
      <c r="P1676" s="4" t="str">
        <f t="shared" si="183"/>
        <v>Friday</v>
      </c>
      <c r="Q1676" s="4" t="str">
        <f t="shared" si="184"/>
        <v>Medium Order</v>
      </c>
      <c r="R1676" s="4" t="str">
        <f t="shared" si="185"/>
        <v>Weekday</v>
      </c>
      <c r="S1676" s="4" t="str">
        <f t="shared" si="186"/>
        <v>Regular</v>
      </c>
    </row>
    <row r="1677" spans="1:19" x14ac:dyDescent="0.3">
      <c r="A1677">
        <v>3037</v>
      </c>
      <c r="B1677" t="s">
        <v>20</v>
      </c>
      <c r="C1677" s="1">
        <v>45509</v>
      </c>
      <c r="D1677" t="s">
        <v>9</v>
      </c>
      <c r="E1677" t="s">
        <v>2</v>
      </c>
      <c r="F1677">
        <v>5</v>
      </c>
      <c r="G1677">
        <v>19.059999999999999</v>
      </c>
      <c r="H1677">
        <v>95.3</v>
      </c>
      <c r="I1677" t="str">
        <f t="shared" si="182"/>
        <v>No Discount</v>
      </c>
      <c r="J1677">
        <v>0</v>
      </c>
      <c r="K1677">
        <f t="shared" si="187"/>
        <v>95.3</v>
      </c>
      <c r="L1677" t="str">
        <f t="shared" si="188"/>
        <v>August</v>
      </c>
      <c r="M1677">
        <f>YEAR(C1677)</f>
        <v>2024</v>
      </c>
      <c r="N1677">
        <v>304</v>
      </c>
      <c r="O1677" t="str">
        <f>IF(N1677&gt;=200,"Platinum",IF(N1677&gt;=100,"Gold",IF(N1677&gt;=50,"Silver","Regular")))</f>
        <v>Platinum</v>
      </c>
      <c r="P1677" s="4" t="str">
        <f t="shared" si="183"/>
        <v>Monday</v>
      </c>
      <c r="Q1677" s="4" t="str">
        <f t="shared" si="184"/>
        <v>Medium Order</v>
      </c>
      <c r="R1677" s="4" t="str">
        <f t="shared" si="185"/>
        <v>Weekday</v>
      </c>
      <c r="S1677" s="4" t="str">
        <f t="shared" si="186"/>
        <v>Regular</v>
      </c>
    </row>
    <row r="1678" spans="1:19" x14ac:dyDescent="0.3">
      <c r="A1678">
        <v>3852</v>
      </c>
      <c r="B1678" t="s">
        <v>3</v>
      </c>
      <c r="C1678" s="1">
        <v>45761</v>
      </c>
      <c r="D1678" t="s">
        <v>6</v>
      </c>
      <c r="E1678" t="s">
        <v>32</v>
      </c>
      <c r="F1678">
        <v>5</v>
      </c>
      <c r="G1678">
        <v>18.96</v>
      </c>
      <c r="H1678">
        <v>94.8</v>
      </c>
      <c r="I1678" t="str">
        <f t="shared" si="182"/>
        <v>No Discount</v>
      </c>
      <c r="J1678">
        <v>0</v>
      </c>
      <c r="K1678">
        <f t="shared" si="187"/>
        <v>94.8</v>
      </c>
      <c r="L1678" t="str">
        <f t="shared" si="188"/>
        <v>April</v>
      </c>
      <c r="M1678">
        <f>YEAR(C1678)</f>
        <v>2025</v>
      </c>
      <c r="N1678">
        <v>391</v>
      </c>
      <c r="O1678" t="str">
        <f>IF(N1678&gt;=200,"Platinum",IF(N1678&gt;=100,"Gold",IF(N1678&gt;=50,"Silver","Regular")))</f>
        <v>Platinum</v>
      </c>
      <c r="P1678" s="4" t="str">
        <f t="shared" si="183"/>
        <v>Monday</v>
      </c>
      <c r="Q1678" s="4" t="str">
        <f t="shared" si="184"/>
        <v>Medium Order</v>
      </c>
      <c r="R1678" s="4" t="str">
        <f t="shared" si="185"/>
        <v>Weekday</v>
      </c>
      <c r="S1678" s="4" t="str">
        <f t="shared" si="186"/>
        <v>Regular</v>
      </c>
    </row>
    <row r="1679" spans="1:19" x14ac:dyDescent="0.3">
      <c r="A1679">
        <v>8353</v>
      </c>
      <c r="B1679" t="s">
        <v>3</v>
      </c>
      <c r="C1679" s="1">
        <v>45577</v>
      </c>
      <c r="D1679" t="s">
        <v>6</v>
      </c>
      <c r="E1679" t="s">
        <v>37</v>
      </c>
      <c r="F1679">
        <v>5</v>
      </c>
      <c r="G1679">
        <v>18.7</v>
      </c>
      <c r="H1679">
        <v>93.5</v>
      </c>
      <c r="I1679" t="str">
        <f t="shared" si="182"/>
        <v>No Discount</v>
      </c>
      <c r="J1679">
        <v>0</v>
      </c>
      <c r="K1679">
        <f t="shared" si="187"/>
        <v>93.5</v>
      </c>
      <c r="L1679" t="str">
        <f t="shared" si="188"/>
        <v>October</v>
      </c>
      <c r="M1679">
        <f>YEAR(C1679)</f>
        <v>2024</v>
      </c>
      <c r="N1679">
        <v>66</v>
      </c>
      <c r="O1679" t="str">
        <f>IF(N1679&gt;=200,"Platinum",IF(N1679&gt;=100,"Gold",IF(N1679&gt;=50,"Silver","Regular")))</f>
        <v>Silver</v>
      </c>
      <c r="P1679" s="4" t="str">
        <f t="shared" si="183"/>
        <v>Saturday</v>
      </c>
      <c r="Q1679" s="4" t="str">
        <f t="shared" si="184"/>
        <v>Medium Order</v>
      </c>
      <c r="R1679" s="4" t="str">
        <f t="shared" si="185"/>
        <v>Weekend</v>
      </c>
      <c r="S1679" s="4" t="str">
        <f t="shared" si="186"/>
        <v>Regular</v>
      </c>
    </row>
    <row r="1680" spans="1:19" x14ac:dyDescent="0.3">
      <c r="A1680">
        <v>5264</v>
      </c>
      <c r="B1680" t="s">
        <v>8</v>
      </c>
      <c r="C1680" s="1">
        <v>45691</v>
      </c>
      <c r="D1680" t="s">
        <v>9</v>
      </c>
      <c r="E1680" t="s">
        <v>7</v>
      </c>
      <c r="F1680">
        <v>4</v>
      </c>
      <c r="G1680">
        <v>23.1</v>
      </c>
      <c r="H1680">
        <v>92.4</v>
      </c>
      <c r="I1680" t="str">
        <f t="shared" si="182"/>
        <v>No Discount</v>
      </c>
      <c r="J1680">
        <v>0</v>
      </c>
      <c r="K1680">
        <f t="shared" si="187"/>
        <v>92.4</v>
      </c>
      <c r="L1680" t="str">
        <f t="shared" si="188"/>
        <v>February</v>
      </c>
      <c r="M1680">
        <f>YEAR(C1680)</f>
        <v>2025</v>
      </c>
      <c r="N1680">
        <v>275</v>
      </c>
      <c r="O1680" t="str">
        <f>IF(N1680&gt;=200,"Platinum",IF(N1680&gt;=100,"Gold",IF(N1680&gt;=50,"Silver","Regular")))</f>
        <v>Platinum</v>
      </c>
      <c r="P1680" s="4" t="str">
        <f t="shared" si="183"/>
        <v>Monday</v>
      </c>
      <c r="Q1680" s="4" t="str">
        <f t="shared" si="184"/>
        <v>Medium Order</v>
      </c>
      <c r="R1680" s="4" t="str">
        <f t="shared" si="185"/>
        <v>Weekday</v>
      </c>
      <c r="S1680" s="4" t="str">
        <f t="shared" si="186"/>
        <v>Regular</v>
      </c>
    </row>
    <row r="1681" spans="1:19" x14ac:dyDescent="0.3">
      <c r="A1681">
        <v>9288</v>
      </c>
      <c r="B1681" t="s">
        <v>0</v>
      </c>
      <c r="C1681" s="1">
        <v>45350</v>
      </c>
      <c r="D1681" t="s">
        <v>23</v>
      </c>
      <c r="E1681" t="s">
        <v>36</v>
      </c>
      <c r="F1681">
        <v>4</v>
      </c>
      <c r="G1681">
        <v>22.87</v>
      </c>
      <c r="H1681">
        <v>91.48</v>
      </c>
      <c r="I1681" t="str">
        <f t="shared" si="182"/>
        <v>No Discount</v>
      </c>
      <c r="J1681">
        <v>0</v>
      </c>
      <c r="K1681">
        <f t="shared" si="187"/>
        <v>91.48</v>
      </c>
      <c r="L1681" t="str">
        <f t="shared" si="188"/>
        <v>February</v>
      </c>
      <c r="M1681">
        <f>YEAR(C1681)</f>
        <v>2024</v>
      </c>
      <c r="N1681">
        <v>389</v>
      </c>
      <c r="O1681" t="str">
        <f>IF(N1681&gt;=200,"Platinum",IF(N1681&gt;=100,"Gold",IF(N1681&gt;=50,"Silver","Regular")))</f>
        <v>Platinum</v>
      </c>
      <c r="P1681" s="4" t="str">
        <f t="shared" si="183"/>
        <v>Wednesday</v>
      </c>
      <c r="Q1681" s="4" t="str">
        <f t="shared" si="184"/>
        <v>Medium Order</v>
      </c>
      <c r="R1681" s="4" t="str">
        <f t="shared" si="185"/>
        <v>Weekday</v>
      </c>
      <c r="S1681" s="4" t="str">
        <f t="shared" si="186"/>
        <v>Regular</v>
      </c>
    </row>
    <row r="1682" spans="1:19" x14ac:dyDescent="0.3">
      <c r="A1682">
        <v>2353</v>
      </c>
      <c r="B1682" t="s">
        <v>8</v>
      </c>
      <c r="C1682" s="1">
        <v>45709</v>
      </c>
      <c r="D1682" t="s">
        <v>1</v>
      </c>
      <c r="E1682" t="s">
        <v>28</v>
      </c>
      <c r="F1682">
        <v>5</v>
      </c>
      <c r="G1682">
        <v>18.170000000000002</v>
      </c>
      <c r="H1682">
        <v>90.85</v>
      </c>
      <c r="I1682" t="str">
        <f t="shared" si="182"/>
        <v>No Discount</v>
      </c>
      <c r="J1682">
        <v>0</v>
      </c>
      <c r="K1682">
        <f t="shared" si="187"/>
        <v>90.85</v>
      </c>
      <c r="L1682" t="str">
        <f t="shared" si="188"/>
        <v>February</v>
      </c>
      <c r="M1682">
        <f>YEAR(C1682)</f>
        <v>2025</v>
      </c>
      <c r="N1682">
        <v>123</v>
      </c>
      <c r="O1682" t="str">
        <f>IF(N1682&gt;=200,"Platinum",IF(N1682&gt;=100,"Gold",IF(N1682&gt;=50,"Silver","Regular")))</f>
        <v>Gold</v>
      </c>
      <c r="P1682" s="4" t="str">
        <f t="shared" si="183"/>
        <v>Friday</v>
      </c>
      <c r="Q1682" s="4" t="str">
        <f t="shared" si="184"/>
        <v>Medium Order</v>
      </c>
      <c r="R1682" s="4" t="str">
        <f t="shared" si="185"/>
        <v>Weekday</v>
      </c>
      <c r="S1682" s="4" t="str">
        <f t="shared" si="186"/>
        <v>Regular</v>
      </c>
    </row>
    <row r="1683" spans="1:19" x14ac:dyDescent="0.3">
      <c r="A1683">
        <v>6134</v>
      </c>
      <c r="B1683" t="s">
        <v>25</v>
      </c>
      <c r="C1683" s="1">
        <v>45608</v>
      </c>
      <c r="D1683" t="s">
        <v>23</v>
      </c>
      <c r="E1683" t="s">
        <v>14</v>
      </c>
      <c r="F1683">
        <v>4</v>
      </c>
      <c r="G1683">
        <v>21.93</v>
      </c>
      <c r="H1683">
        <v>87.72</v>
      </c>
      <c r="I1683" t="str">
        <f t="shared" si="182"/>
        <v>No Discount</v>
      </c>
      <c r="J1683">
        <v>0</v>
      </c>
      <c r="K1683">
        <f t="shared" si="187"/>
        <v>87.72</v>
      </c>
      <c r="L1683" t="str">
        <f t="shared" si="188"/>
        <v>November</v>
      </c>
      <c r="M1683">
        <f>YEAR(C1683)</f>
        <v>2024</v>
      </c>
      <c r="N1683">
        <v>35</v>
      </c>
      <c r="O1683" t="str">
        <f>IF(N1683&gt;=200,"Platinum",IF(N1683&gt;=100,"Gold",IF(N1683&gt;=50,"Silver","Regular")))</f>
        <v>Regular</v>
      </c>
      <c r="P1683" s="4" t="str">
        <f t="shared" si="183"/>
        <v>Tuesday</v>
      </c>
      <c r="Q1683" s="4" t="str">
        <f t="shared" si="184"/>
        <v>Medium Order</v>
      </c>
      <c r="R1683" s="4" t="str">
        <f t="shared" si="185"/>
        <v>Weekday</v>
      </c>
      <c r="S1683" s="4" t="str">
        <f t="shared" si="186"/>
        <v>Regular</v>
      </c>
    </row>
    <row r="1684" spans="1:19" x14ac:dyDescent="0.3">
      <c r="A1684">
        <v>8178</v>
      </c>
      <c r="B1684" t="s">
        <v>15</v>
      </c>
      <c r="C1684" s="1">
        <v>45705</v>
      </c>
      <c r="D1684" t="s">
        <v>9</v>
      </c>
      <c r="E1684" t="s">
        <v>2</v>
      </c>
      <c r="F1684">
        <v>3</v>
      </c>
      <c r="G1684">
        <v>29.17</v>
      </c>
      <c r="H1684">
        <v>87.51</v>
      </c>
      <c r="I1684" t="str">
        <f t="shared" si="182"/>
        <v>No Discount</v>
      </c>
      <c r="J1684">
        <v>0</v>
      </c>
      <c r="K1684">
        <f t="shared" si="187"/>
        <v>87.51</v>
      </c>
      <c r="L1684" t="str">
        <f t="shared" si="188"/>
        <v>February</v>
      </c>
      <c r="M1684">
        <f>YEAR(C1684)</f>
        <v>2025</v>
      </c>
      <c r="N1684">
        <v>352</v>
      </c>
      <c r="O1684" t="str">
        <f>IF(N1684&gt;=200,"Platinum",IF(N1684&gt;=100,"Gold",IF(N1684&gt;=50,"Silver","Regular")))</f>
        <v>Platinum</v>
      </c>
      <c r="P1684" s="4" t="str">
        <f t="shared" si="183"/>
        <v>Monday</v>
      </c>
      <c r="Q1684" s="4" t="str">
        <f t="shared" si="184"/>
        <v>Medium Order</v>
      </c>
      <c r="R1684" s="4" t="str">
        <f t="shared" si="185"/>
        <v>Weekday</v>
      </c>
      <c r="S1684" s="4" t="str">
        <f t="shared" si="186"/>
        <v>Regular</v>
      </c>
    </row>
    <row r="1685" spans="1:19" x14ac:dyDescent="0.3">
      <c r="A1685">
        <v>3588</v>
      </c>
      <c r="B1685" t="s">
        <v>31</v>
      </c>
      <c r="C1685" s="1">
        <v>45487</v>
      </c>
      <c r="D1685" t="s">
        <v>11</v>
      </c>
      <c r="E1685" t="s">
        <v>5</v>
      </c>
      <c r="F1685">
        <v>4</v>
      </c>
      <c r="G1685">
        <v>21.82</v>
      </c>
      <c r="H1685">
        <v>87.28</v>
      </c>
      <c r="I1685" t="str">
        <f t="shared" si="182"/>
        <v>No Discount</v>
      </c>
      <c r="J1685">
        <v>0</v>
      </c>
      <c r="K1685">
        <f t="shared" si="187"/>
        <v>87.28</v>
      </c>
      <c r="L1685" t="str">
        <f t="shared" si="188"/>
        <v>July</v>
      </c>
      <c r="M1685">
        <f>YEAR(C1685)</f>
        <v>2024</v>
      </c>
      <c r="N1685">
        <v>20</v>
      </c>
      <c r="O1685" t="str">
        <f>IF(N1685&gt;=200,"Platinum",IF(N1685&gt;=100,"Gold",IF(N1685&gt;=50,"Silver","Regular")))</f>
        <v>Regular</v>
      </c>
      <c r="P1685" s="4" t="str">
        <f t="shared" si="183"/>
        <v>Sunday</v>
      </c>
      <c r="Q1685" s="4" t="str">
        <f t="shared" si="184"/>
        <v>Medium Order</v>
      </c>
      <c r="R1685" s="4" t="str">
        <f t="shared" si="185"/>
        <v>Weekend</v>
      </c>
      <c r="S1685" s="4" t="str">
        <f t="shared" si="186"/>
        <v>Regular</v>
      </c>
    </row>
    <row r="1686" spans="1:19" x14ac:dyDescent="0.3">
      <c r="A1686">
        <v>7311</v>
      </c>
      <c r="B1686" t="s">
        <v>20</v>
      </c>
      <c r="C1686" s="1">
        <v>45843</v>
      </c>
      <c r="D1686" t="s">
        <v>17</v>
      </c>
      <c r="E1686" t="s">
        <v>36</v>
      </c>
      <c r="F1686">
        <v>3</v>
      </c>
      <c r="G1686">
        <v>29.04</v>
      </c>
      <c r="H1686">
        <v>87.12</v>
      </c>
      <c r="I1686" t="str">
        <f t="shared" si="182"/>
        <v>No Discount</v>
      </c>
      <c r="J1686">
        <v>0</v>
      </c>
      <c r="K1686">
        <f t="shared" si="187"/>
        <v>87.12</v>
      </c>
      <c r="L1686" t="str">
        <f t="shared" si="188"/>
        <v>July</v>
      </c>
      <c r="M1686">
        <f>YEAR(C1686)</f>
        <v>2025</v>
      </c>
      <c r="N1686">
        <v>400</v>
      </c>
      <c r="O1686" t="str">
        <f>IF(N1686&gt;=200,"Platinum",IF(N1686&gt;=100,"Gold",IF(N1686&gt;=50,"Silver","Regular")))</f>
        <v>Platinum</v>
      </c>
      <c r="P1686" s="4" t="str">
        <f t="shared" si="183"/>
        <v>Saturday</v>
      </c>
      <c r="Q1686" s="4" t="str">
        <f t="shared" si="184"/>
        <v>Medium Order</v>
      </c>
      <c r="R1686" s="4" t="str">
        <f t="shared" si="185"/>
        <v>Weekend</v>
      </c>
      <c r="S1686" s="4" t="str">
        <f t="shared" si="186"/>
        <v>Regular</v>
      </c>
    </row>
    <row r="1687" spans="1:19" x14ac:dyDescent="0.3">
      <c r="A1687">
        <v>5246</v>
      </c>
      <c r="B1687" t="s">
        <v>19</v>
      </c>
      <c r="C1687" s="1">
        <v>45728</v>
      </c>
      <c r="D1687" t="s">
        <v>9</v>
      </c>
      <c r="E1687" t="s">
        <v>32</v>
      </c>
      <c r="F1687">
        <v>3</v>
      </c>
      <c r="G1687">
        <v>28.81</v>
      </c>
      <c r="H1687">
        <v>86.43</v>
      </c>
      <c r="I1687" t="str">
        <f t="shared" si="182"/>
        <v>No Discount</v>
      </c>
      <c r="J1687">
        <v>0</v>
      </c>
      <c r="K1687">
        <f t="shared" si="187"/>
        <v>86.43</v>
      </c>
      <c r="L1687" t="str">
        <f t="shared" si="188"/>
        <v>March</v>
      </c>
      <c r="M1687">
        <f>YEAR(C1687)</f>
        <v>2025</v>
      </c>
      <c r="N1687">
        <v>235</v>
      </c>
      <c r="O1687" t="str">
        <f>IF(N1687&gt;=200,"Platinum",IF(N1687&gt;=100,"Gold",IF(N1687&gt;=50,"Silver","Regular")))</f>
        <v>Platinum</v>
      </c>
      <c r="P1687" s="4" t="str">
        <f t="shared" si="183"/>
        <v>Wednesday</v>
      </c>
      <c r="Q1687" s="4" t="str">
        <f t="shared" si="184"/>
        <v>Medium Order</v>
      </c>
      <c r="R1687" s="4" t="str">
        <f t="shared" si="185"/>
        <v>Weekday</v>
      </c>
      <c r="S1687" s="4" t="str">
        <f t="shared" si="186"/>
        <v>Regular</v>
      </c>
    </row>
    <row r="1688" spans="1:19" x14ac:dyDescent="0.3">
      <c r="A1688">
        <v>6994</v>
      </c>
      <c r="B1688" t="s">
        <v>31</v>
      </c>
      <c r="C1688" s="1">
        <v>45557</v>
      </c>
      <c r="D1688" t="s">
        <v>34</v>
      </c>
      <c r="E1688" t="s">
        <v>21</v>
      </c>
      <c r="F1688">
        <v>3</v>
      </c>
      <c r="G1688">
        <v>28.14</v>
      </c>
      <c r="H1688">
        <v>84.42</v>
      </c>
      <c r="I1688" t="str">
        <f t="shared" si="182"/>
        <v>No Discount</v>
      </c>
      <c r="J1688">
        <v>0</v>
      </c>
      <c r="K1688">
        <f t="shared" si="187"/>
        <v>84.42</v>
      </c>
      <c r="L1688" t="str">
        <f t="shared" si="188"/>
        <v>September</v>
      </c>
      <c r="M1688">
        <f>YEAR(C1688)</f>
        <v>2024</v>
      </c>
      <c r="N1688">
        <v>81</v>
      </c>
      <c r="O1688" t="str">
        <f>IF(N1688&gt;=200,"Platinum",IF(N1688&gt;=100,"Gold",IF(N1688&gt;=50,"Silver","Regular")))</f>
        <v>Silver</v>
      </c>
      <c r="P1688" s="4" t="str">
        <f t="shared" si="183"/>
        <v>Sunday</v>
      </c>
      <c r="Q1688" s="4" t="str">
        <f t="shared" si="184"/>
        <v>Medium Order</v>
      </c>
      <c r="R1688" s="4" t="str">
        <f t="shared" si="185"/>
        <v>Weekend</v>
      </c>
      <c r="S1688" s="4" t="str">
        <f t="shared" si="186"/>
        <v>Regular</v>
      </c>
    </row>
    <row r="1689" spans="1:19" x14ac:dyDescent="0.3">
      <c r="A1689">
        <v>2275</v>
      </c>
      <c r="B1689" t="s">
        <v>0</v>
      </c>
      <c r="C1689" s="1">
        <v>45814</v>
      </c>
      <c r="D1689" t="s">
        <v>16</v>
      </c>
      <c r="E1689" t="s">
        <v>26</v>
      </c>
      <c r="F1689">
        <v>4</v>
      </c>
      <c r="G1689">
        <v>21.1</v>
      </c>
      <c r="H1689">
        <v>84.4</v>
      </c>
      <c r="I1689" t="str">
        <f t="shared" si="182"/>
        <v>No Discount</v>
      </c>
      <c r="J1689">
        <v>0</v>
      </c>
      <c r="K1689">
        <f t="shared" si="187"/>
        <v>84.4</v>
      </c>
      <c r="L1689" t="str">
        <f t="shared" si="188"/>
        <v>June</v>
      </c>
      <c r="M1689">
        <f>YEAR(C1689)</f>
        <v>2025</v>
      </c>
      <c r="N1689">
        <v>405</v>
      </c>
      <c r="O1689" t="str">
        <f>IF(N1689&gt;=200,"Platinum",IF(N1689&gt;=100,"Gold",IF(N1689&gt;=50,"Silver","Regular")))</f>
        <v>Platinum</v>
      </c>
      <c r="P1689" s="4" t="str">
        <f t="shared" si="183"/>
        <v>Friday</v>
      </c>
      <c r="Q1689" s="4" t="str">
        <f t="shared" si="184"/>
        <v>Medium Order</v>
      </c>
      <c r="R1689" s="4" t="str">
        <f t="shared" si="185"/>
        <v>Weekday</v>
      </c>
      <c r="S1689" s="4" t="str">
        <f t="shared" si="186"/>
        <v>Regular</v>
      </c>
    </row>
    <row r="1690" spans="1:19" x14ac:dyDescent="0.3">
      <c r="A1690">
        <v>6353</v>
      </c>
      <c r="B1690" t="s">
        <v>20</v>
      </c>
      <c r="C1690" s="1">
        <v>45448</v>
      </c>
      <c r="D1690" t="s">
        <v>11</v>
      </c>
      <c r="E1690" t="s">
        <v>32</v>
      </c>
      <c r="F1690">
        <v>3</v>
      </c>
      <c r="G1690">
        <v>28.01</v>
      </c>
      <c r="H1690">
        <v>84.03</v>
      </c>
      <c r="I1690" t="str">
        <f t="shared" si="182"/>
        <v>No Discount</v>
      </c>
      <c r="J1690">
        <v>0</v>
      </c>
      <c r="K1690">
        <f t="shared" si="187"/>
        <v>84.03</v>
      </c>
      <c r="L1690" t="str">
        <f t="shared" si="188"/>
        <v>June</v>
      </c>
      <c r="M1690">
        <f>YEAR(C1690)</f>
        <v>2024</v>
      </c>
      <c r="N1690">
        <v>182</v>
      </c>
      <c r="O1690" t="str">
        <f>IF(N1690&gt;=200,"Platinum",IF(N1690&gt;=100,"Gold",IF(N1690&gt;=50,"Silver","Regular")))</f>
        <v>Gold</v>
      </c>
      <c r="P1690" s="4" t="str">
        <f t="shared" si="183"/>
        <v>Wednesday</v>
      </c>
      <c r="Q1690" s="4" t="str">
        <f t="shared" si="184"/>
        <v>Medium Order</v>
      </c>
      <c r="R1690" s="4" t="str">
        <f t="shared" si="185"/>
        <v>Weekday</v>
      </c>
      <c r="S1690" s="4" t="str">
        <f t="shared" si="186"/>
        <v>Regular</v>
      </c>
    </row>
    <row r="1691" spans="1:19" x14ac:dyDescent="0.3">
      <c r="A1691">
        <v>5470</v>
      </c>
      <c r="B1691" t="s">
        <v>20</v>
      </c>
      <c r="C1691" s="1">
        <v>45294</v>
      </c>
      <c r="D1691" t="s">
        <v>16</v>
      </c>
      <c r="E1691" t="s">
        <v>30</v>
      </c>
      <c r="F1691">
        <v>3</v>
      </c>
      <c r="G1691">
        <v>27.88</v>
      </c>
      <c r="H1691">
        <v>83.64</v>
      </c>
      <c r="I1691" t="str">
        <f t="shared" si="182"/>
        <v>No Discount</v>
      </c>
      <c r="J1691">
        <v>0</v>
      </c>
      <c r="K1691">
        <f t="shared" si="187"/>
        <v>83.64</v>
      </c>
      <c r="L1691" t="str">
        <f t="shared" si="188"/>
        <v>January</v>
      </c>
      <c r="M1691">
        <f>YEAR(C1691)</f>
        <v>2024</v>
      </c>
      <c r="N1691">
        <v>138</v>
      </c>
      <c r="O1691" t="str">
        <f>IF(N1691&gt;=200,"Platinum",IF(N1691&gt;=100,"Gold",IF(N1691&gt;=50,"Silver","Regular")))</f>
        <v>Gold</v>
      </c>
      <c r="P1691" s="4" t="str">
        <f t="shared" si="183"/>
        <v>Wednesday</v>
      </c>
      <c r="Q1691" s="4" t="str">
        <f t="shared" si="184"/>
        <v>Medium Order</v>
      </c>
      <c r="R1691" s="4" t="str">
        <f t="shared" si="185"/>
        <v>Weekday</v>
      </c>
      <c r="S1691" s="4" t="str">
        <f t="shared" si="186"/>
        <v>Regular</v>
      </c>
    </row>
    <row r="1692" spans="1:19" x14ac:dyDescent="0.3">
      <c r="A1692">
        <v>8909</v>
      </c>
      <c r="B1692" t="s">
        <v>8</v>
      </c>
      <c r="C1692" s="1">
        <v>45226</v>
      </c>
      <c r="D1692" t="s">
        <v>17</v>
      </c>
      <c r="E1692" t="s">
        <v>35</v>
      </c>
      <c r="F1692">
        <v>4</v>
      </c>
      <c r="G1692">
        <v>20.89</v>
      </c>
      <c r="H1692">
        <v>83.56</v>
      </c>
      <c r="I1692" t="str">
        <f t="shared" si="182"/>
        <v>No Discount</v>
      </c>
      <c r="J1692">
        <v>0</v>
      </c>
      <c r="K1692">
        <f t="shared" si="187"/>
        <v>83.56</v>
      </c>
      <c r="L1692" t="str">
        <f t="shared" si="188"/>
        <v>October</v>
      </c>
      <c r="M1692">
        <f>YEAR(C1692)</f>
        <v>2023</v>
      </c>
      <c r="N1692">
        <v>5</v>
      </c>
      <c r="O1692" t="str">
        <f>IF(N1692&gt;=200,"Platinum",IF(N1692&gt;=100,"Gold",IF(N1692&gt;=50,"Silver","Regular")))</f>
        <v>Regular</v>
      </c>
      <c r="P1692" s="4" t="str">
        <f t="shared" si="183"/>
        <v>Friday</v>
      </c>
      <c r="Q1692" s="4" t="str">
        <f t="shared" si="184"/>
        <v>Medium Order</v>
      </c>
      <c r="R1692" s="4" t="str">
        <f t="shared" si="185"/>
        <v>Weekday</v>
      </c>
      <c r="S1692" s="4" t="str">
        <f t="shared" si="186"/>
        <v>Regular</v>
      </c>
    </row>
    <row r="1693" spans="1:19" x14ac:dyDescent="0.3">
      <c r="A1693">
        <v>9950</v>
      </c>
      <c r="B1693" t="s">
        <v>25</v>
      </c>
      <c r="C1693" s="1">
        <v>45420</v>
      </c>
      <c r="D1693" t="s">
        <v>27</v>
      </c>
      <c r="E1693" t="s">
        <v>12</v>
      </c>
      <c r="F1693">
        <v>5</v>
      </c>
      <c r="G1693">
        <v>16.600000000000001</v>
      </c>
      <c r="H1693">
        <v>83</v>
      </c>
      <c r="I1693" t="str">
        <f t="shared" si="182"/>
        <v>No Discount</v>
      </c>
      <c r="J1693">
        <v>0</v>
      </c>
      <c r="K1693">
        <f t="shared" si="187"/>
        <v>83</v>
      </c>
      <c r="L1693" t="str">
        <f t="shared" si="188"/>
        <v>May</v>
      </c>
      <c r="M1693">
        <f>YEAR(C1693)</f>
        <v>2024</v>
      </c>
      <c r="N1693">
        <v>107</v>
      </c>
      <c r="O1693" t="str">
        <f>IF(N1693&gt;=200,"Platinum",IF(N1693&gt;=100,"Gold",IF(N1693&gt;=50,"Silver","Regular")))</f>
        <v>Gold</v>
      </c>
      <c r="P1693" s="4" t="str">
        <f t="shared" si="183"/>
        <v>Wednesday</v>
      </c>
      <c r="Q1693" s="4" t="str">
        <f t="shared" si="184"/>
        <v>Medium Order</v>
      </c>
      <c r="R1693" s="4" t="str">
        <f t="shared" si="185"/>
        <v>Weekday</v>
      </c>
      <c r="S1693" s="4" t="str">
        <f t="shared" si="186"/>
        <v>Regular</v>
      </c>
    </row>
    <row r="1694" spans="1:19" x14ac:dyDescent="0.3">
      <c r="A1694">
        <v>8022</v>
      </c>
      <c r="B1694" t="s">
        <v>25</v>
      </c>
      <c r="C1694" s="1">
        <v>45250</v>
      </c>
      <c r="D1694" t="s">
        <v>34</v>
      </c>
      <c r="E1694" t="s">
        <v>18</v>
      </c>
      <c r="F1694">
        <v>3</v>
      </c>
      <c r="G1694">
        <v>27.63</v>
      </c>
      <c r="H1694">
        <v>82.89</v>
      </c>
      <c r="I1694" t="str">
        <f t="shared" si="182"/>
        <v>No Discount</v>
      </c>
      <c r="J1694">
        <v>0</v>
      </c>
      <c r="K1694">
        <f t="shared" si="187"/>
        <v>82.89</v>
      </c>
      <c r="L1694" t="str">
        <f t="shared" si="188"/>
        <v>November</v>
      </c>
      <c r="M1694">
        <f>YEAR(C1694)</f>
        <v>2023</v>
      </c>
      <c r="N1694">
        <v>302</v>
      </c>
      <c r="O1694" t="str">
        <f>IF(N1694&gt;=200,"Platinum",IF(N1694&gt;=100,"Gold",IF(N1694&gt;=50,"Silver","Regular")))</f>
        <v>Platinum</v>
      </c>
      <c r="P1694" s="4" t="str">
        <f t="shared" si="183"/>
        <v>Monday</v>
      </c>
      <c r="Q1694" s="4" t="str">
        <f t="shared" si="184"/>
        <v>Medium Order</v>
      </c>
      <c r="R1694" s="4" t="str">
        <f t="shared" si="185"/>
        <v>Weekday</v>
      </c>
      <c r="S1694" s="4" t="str">
        <f t="shared" si="186"/>
        <v>Regular</v>
      </c>
    </row>
    <row r="1695" spans="1:19" x14ac:dyDescent="0.3">
      <c r="A1695">
        <v>9856</v>
      </c>
      <c r="B1695" t="s">
        <v>15</v>
      </c>
      <c r="C1695" s="1">
        <v>45794</v>
      </c>
      <c r="D1695" t="s">
        <v>1</v>
      </c>
      <c r="E1695" t="s">
        <v>7</v>
      </c>
      <c r="F1695">
        <v>3</v>
      </c>
      <c r="G1695">
        <v>27.53</v>
      </c>
      <c r="H1695">
        <v>82.59</v>
      </c>
      <c r="I1695" t="str">
        <f t="shared" si="182"/>
        <v>No Discount</v>
      </c>
      <c r="J1695">
        <v>0</v>
      </c>
      <c r="K1695">
        <f t="shared" si="187"/>
        <v>82.59</v>
      </c>
      <c r="L1695" t="str">
        <f t="shared" si="188"/>
        <v>May</v>
      </c>
      <c r="M1695">
        <f>YEAR(C1695)</f>
        <v>2025</v>
      </c>
      <c r="N1695">
        <v>113</v>
      </c>
      <c r="O1695" t="str">
        <f>IF(N1695&gt;=200,"Platinum",IF(N1695&gt;=100,"Gold",IF(N1695&gt;=50,"Silver","Regular")))</f>
        <v>Gold</v>
      </c>
      <c r="P1695" s="4" t="str">
        <f t="shared" si="183"/>
        <v>Saturday</v>
      </c>
      <c r="Q1695" s="4" t="str">
        <f t="shared" si="184"/>
        <v>Medium Order</v>
      </c>
      <c r="R1695" s="4" t="str">
        <f t="shared" si="185"/>
        <v>Weekend</v>
      </c>
      <c r="S1695" s="4" t="str">
        <f t="shared" si="186"/>
        <v>Regular</v>
      </c>
    </row>
    <row r="1696" spans="1:19" x14ac:dyDescent="0.3">
      <c r="A1696">
        <v>9395</v>
      </c>
      <c r="B1696" t="s">
        <v>20</v>
      </c>
      <c r="C1696" s="1">
        <v>45461</v>
      </c>
      <c r="D1696" t="s">
        <v>9</v>
      </c>
      <c r="E1696" t="s">
        <v>32</v>
      </c>
      <c r="F1696">
        <v>3</v>
      </c>
      <c r="G1696">
        <v>27.44</v>
      </c>
      <c r="H1696">
        <v>82.32</v>
      </c>
      <c r="I1696" t="str">
        <f t="shared" si="182"/>
        <v>No Discount</v>
      </c>
      <c r="J1696">
        <v>0</v>
      </c>
      <c r="K1696">
        <f t="shared" si="187"/>
        <v>82.32</v>
      </c>
      <c r="L1696" t="str">
        <f t="shared" si="188"/>
        <v>June</v>
      </c>
      <c r="M1696">
        <f>YEAR(C1696)</f>
        <v>2024</v>
      </c>
      <c r="N1696">
        <v>392</v>
      </c>
      <c r="O1696" t="str">
        <f>IF(N1696&gt;=200,"Platinum",IF(N1696&gt;=100,"Gold",IF(N1696&gt;=50,"Silver","Regular")))</f>
        <v>Platinum</v>
      </c>
      <c r="P1696" s="4" t="str">
        <f t="shared" si="183"/>
        <v>Tuesday</v>
      </c>
      <c r="Q1696" s="4" t="str">
        <f t="shared" si="184"/>
        <v>Medium Order</v>
      </c>
      <c r="R1696" s="4" t="str">
        <f t="shared" si="185"/>
        <v>Weekday</v>
      </c>
      <c r="S1696" s="4" t="str">
        <f t="shared" si="186"/>
        <v>Regular</v>
      </c>
    </row>
    <row r="1697" spans="1:19" x14ac:dyDescent="0.3">
      <c r="A1697">
        <v>7167</v>
      </c>
      <c r="B1697" t="s">
        <v>15</v>
      </c>
      <c r="C1697" s="1">
        <v>45287</v>
      </c>
      <c r="D1697" t="s">
        <v>16</v>
      </c>
      <c r="E1697" t="s">
        <v>37</v>
      </c>
      <c r="F1697">
        <v>5</v>
      </c>
      <c r="G1697">
        <v>16.29</v>
      </c>
      <c r="H1697">
        <v>81.45</v>
      </c>
      <c r="I1697" t="str">
        <f t="shared" si="182"/>
        <v>No Discount</v>
      </c>
      <c r="J1697">
        <v>0</v>
      </c>
      <c r="K1697">
        <f t="shared" si="187"/>
        <v>81.45</v>
      </c>
      <c r="L1697" t="str">
        <f t="shared" si="188"/>
        <v>December</v>
      </c>
      <c r="M1697">
        <f>YEAR(C1697)</f>
        <v>2023</v>
      </c>
      <c r="N1697">
        <v>295</v>
      </c>
      <c r="O1697" t="str">
        <f>IF(N1697&gt;=200,"Platinum",IF(N1697&gt;=100,"Gold",IF(N1697&gt;=50,"Silver","Regular")))</f>
        <v>Platinum</v>
      </c>
      <c r="P1697" s="4" t="str">
        <f t="shared" si="183"/>
        <v>Wednesday</v>
      </c>
      <c r="Q1697" s="4" t="str">
        <f t="shared" si="184"/>
        <v>Medium Order</v>
      </c>
      <c r="R1697" s="4" t="str">
        <f t="shared" si="185"/>
        <v>Weekday</v>
      </c>
      <c r="S1697" s="4" t="str">
        <f t="shared" si="186"/>
        <v>Regular</v>
      </c>
    </row>
    <row r="1698" spans="1:19" x14ac:dyDescent="0.3">
      <c r="A1698">
        <v>2234</v>
      </c>
      <c r="B1698" t="s">
        <v>25</v>
      </c>
      <c r="C1698" s="1">
        <v>45282</v>
      </c>
      <c r="D1698" t="s">
        <v>34</v>
      </c>
      <c r="E1698" t="s">
        <v>36</v>
      </c>
      <c r="F1698">
        <v>5</v>
      </c>
      <c r="G1698">
        <v>16.260000000000002</v>
      </c>
      <c r="H1698">
        <v>81.3</v>
      </c>
      <c r="I1698" t="str">
        <f t="shared" si="182"/>
        <v>No Discount</v>
      </c>
      <c r="J1698">
        <v>0</v>
      </c>
      <c r="K1698">
        <f t="shared" si="187"/>
        <v>81.3</v>
      </c>
      <c r="L1698" t="str">
        <f t="shared" si="188"/>
        <v>December</v>
      </c>
      <c r="M1698">
        <f>YEAR(C1698)</f>
        <v>2023</v>
      </c>
      <c r="N1698">
        <v>62</v>
      </c>
      <c r="O1698" t="str">
        <f>IF(N1698&gt;=200,"Platinum",IF(N1698&gt;=100,"Gold",IF(N1698&gt;=50,"Silver","Regular")))</f>
        <v>Silver</v>
      </c>
      <c r="P1698" s="4" t="str">
        <f t="shared" si="183"/>
        <v>Friday</v>
      </c>
      <c r="Q1698" s="4" t="str">
        <f t="shared" si="184"/>
        <v>Medium Order</v>
      </c>
      <c r="R1698" s="4" t="str">
        <f t="shared" si="185"/>
        <v>Weekday</v>
      </c>
      <c r="S1698" s="4" t="str">
        <f t="shared" si="186"/>
        <v>Regular</v>
      </c>
    </row>
    <row r="1699" spans="1:19" x14ac:dyDescent="0.3">
      <c r="A1699">
        <v>9897</v>
      </c>
      <c r="B1699" t="s">
        <v>25</v>
      </c>
      <c r="C1699" s="1">
        <v>45512</v>
      </c>
      <c r="D1699" t="s">
        <v>1</v>
      </c>
      <c r="E1699" t="s">
        <v>7</v>
      </c>
      <c r="F1699">
        <v>3</v>
      </c>
      <c r="G1699">
        <v>26.98</v>
      </c>
      <c r="H1699">
        <v>80.94</v>
      </c>
      <c r="I1699" t="str">
        <f t="shared" si="182"/>
        <v>No Discount</v>
      </c>
      <c r="J1699">
        <v>0</v>
      </c>
      <c r="K1699">
        <f t="shared" si="187"/>
        <v>80.94</v>
      </c>
      <c r="L1699" t="str">
        <f t="shared" si="188"/>
        <v>August</v>
      </c>
      <c r="M1699">
        <f>YEAR(C1699)</f>
        <v>2024</v>
      </c>
      <c r="N1699">
        <v>436</v>
      </c>
      <c r="O1699" t="str">
        <f>IF(N1699&gt;=200,"Platinum",IF(N1699&gt;=100,"Gold",IF(N1699&gt;=50,"Silver","Regular")))</f>
        <v>Platinum</v>
      </c>
      <c r="P1699" s="4" t="str">
        <f t="shared" si="183"/>
        <v>Thursday</v>
      </c>
      <c r="Q1699" s="4" t="str">
        <f t="shared" si="184"/>
        <v>Medium Order</v>
      </c>
      <c r="R1699" s="4" t="str">
        <f t="shared" si="185"/>
        <v>Weekday</v>
      </c>
      <c r="S1699" s="4" t="str">
        <f t="shared" si="186"/>
        <v>Regular</v>
      </c>
    </row>
    <row r="1700" spans="1:19" x14ac:dyDescent="0.3">
      <c r="A1700">
        <v>9056</v>
      </c>
      <c r="B1700" t="s">
        <v>0</v>
      </c>
      <c r="C1700" s="1">
        <v>45202</v>
      </c>
      <c r="D1700" t="s">
        <v>24</v>
      </c>
      <c r="E1700" t="s">
        <v>7</v>
      </c>
      <c r="F1700">
        <v>3</v>
      </c>
      <c r="G1700">
        <v>26.45</v>
      </c>
      <c r="H1700">
        <v>79.349999999999994</v>
      </c>
      <c r="I1700" t="str">
        <f t="shared" si="182"/>
        <v>No Discount</v>
      </c>
      <c r="J1700">
        <v>0</v>
      </c>
      <c r="K1700">
        <f t="shared" si="187"/>
        <v>79.349999999999994</v>
      </c>
      <c r="L1700" t="str">
        <f t="shared" si="188"/>
        <v>October</v>
      </c>
      <c r="M1700">
        <f>YEAR(C1700)</f>
        <v>2023</v>
      </c>
      <c r="N1700">
        <v>135</v>
      </c>
      <c r="O1700" t="str">
        <f>IF(N1700&gt;=200,"Platinum",IF(N1700&gt;=100,"Gold",IF(N1700&gt;=50,"Silver","Regular")))</f>
        <v>Gold</v>
      </c>
      <c r="P1700" s="4" t="str">
        <f t="shared" si="183"/>
        <v>Tuesday</v>
      </c>
      <c r="Q1700" s="4" t="str">
        <f t="shared" si="184"/>
        <v>Medium Order</v>
      </c>
      <c r="R1700" s="4" t="str">
        <f t="shared" si="185"/>
        <v>Weekday</v>
      </c>
      <c r="S1700" s="4" t="str">
        <f t="shared" si="186"/>
        <v>Regular</v>
      </c>
    </row>
    <row r="1701" spans="1:19" x14ac:dyDescent="0.3">
      <c r="A1701">
        <v>5947</v>
      </c>
      <c r="B1701" t="s">
        <v>19</v>
      </c>
      <c r="C1701" s="1">
        <v>45597</v>
      </c>
      <c r="D1701" t="s">
        <v>17</v>
      </c>
      <c r="E1701" t="s">
        <v>26</v>
      </c>
      <c r="F1701">
        <v>3</v>
      </c>
      <c r="G1701">
        <v>26.38</v>
      </c>
      <c r="H1701">
        <v>79.14</v>
      </c>
      <c r="I1701" t="str">
        <f t="shared" si="182"/>
        <v>No Discount</v>
      </c>
      <c r="J1701">
        <v>0</v>
      </c>
      <c r="K1701">
        <f t="shared" si="187"/>
        <v>79.14</v>
      </c>
      <c r="L1701" t="str">
        <f t="shared" si="188"/>
        <v>November</v>
      </c>
      <c r="M1701">
        <f>YEAR(C1701)</f>
        <v>2024</v>
      </c>
      <c r="N1701">
        <v>138</v>
      </c>
      <c r="O1701" t="str">
        <f>IF(N1701&gt;=200,"Platinum",IF(N1701&gt;=100,"Gold",IF(N1701&gt;=50,"Silver","Regular")))</f>
        <v>Gold</v>
      </c>
      <c r="P1701" s="4" t="str">
        <f t="shared" si="183"/>
        <v>Friday</v>
      </c>
      <c r="Q1701" s="4" t="str">
        <f t="shared" si="184"/>
        <v>Medium Order</v>
      </c>
      <c r="R1701" s="4" t="str">
        <f t="shared" si="185"/>
        <v>Weekday</v>
      </c>
      <c r="S1701" s="4" t="str">
        <f t="shared" si="186"/>
        <v>Regular</v>
      </c>
    </row>
    <row r="1702" spans="1:19" x14ac:dyDescent="0.3">
      <c r="A1702">
        <v>6355</v>
      </c>
      <c r="B1702" t="s">
        <v>8</v>
      </c>
      <c r="C1702" s="1">
        <v>45407</v>
      </c>
      <c r="D1702" t="s">
        <v>6</v>
      </c>
      <c r="E1702" t="s">
        <v>21</v>
      </c>
      <c r="F1702">
        <v>5</v>
      </c>
      <c r="G1702">
        <v>15.65</v>
      </c>
      <c r="H1702">
        <v>78.25</v>
      </c>
      <c r="I1702" t="str">
        <f t="shared" si="182"/>
        <v>No Discount</v>
      </c>
      <c r="J1702">
        <v>0</v>
      </c>
      <c r="K1702">
        <f t="shared" si="187"/>
        <v>78.25</v>
      </c>
      <c r="L1702" t="str">
        <f t="shared" si="188"/>
        <v>April</v>
      </c>
      <c r="M1702">
        <f>YEAR(C1702)</f>
        <v>2024</v>
      </c>
      <c r="N1702">
        <v>253</v>
      </c>
      <c r="O1702" t="str">
        <f>IF(N1702&gt;=200,"Platinum",IF(N1702&gt;=100,"Gold",IF(N1702&gt;=50,"Silver","Regular")))</f>
        <v>Platinum</v>
      </c>
      <c r="P1702" s="4" t="str">
        <f t="shared" si="183"/>
        <v>Thursday</v>
      </c>
      <c r="Q1702" s="4" t="str">
        <f t="shared" si="184"/>
        <v>Medium Order</v>
      </c>
      <c r="R1702" s="4" t="str">
        <f t="shared" si="185"/>
        <v>Weekday</v>
      </c>
      <c r="S1702" s="4" t="str">
        <f t="shared" si="186"/>
        <v>Regular</v>
      </c>
    </row>
    <row r="1703" spans="1:19" x14ac:dyDescent="0.3">
      <c r="A1703">
        <v>5728</v>
      </c>
      <c r="B1703" t="s">
        <v>8</v>
      </c>
      <c r="C1703" s="1">
        <v>45486</v>
      </c>
      <c r="D1703" t="s">
        <v>6</v>
      </c>
      <c r="E1703" t="s">
        <v>28</v>
      </c>
      <c r="F1703">
        <v>5</v>
      </c>
      <c r="G1703">
        <v>15.62</v>
      </c>
      <c r="H1703">
        <v>78.099999999999994</v>
      </c>
      <c r="I1703" t="str">
        <f t="shared" si="182"/>
        <v>No Discount</v>
      </c>
      <c r="J1703">
        <v>0</v>
      </c>
      <c r="K1703">
        <f t="shared" si="187"/>
        <v>78.099999999999994</v>
      </c>
      <c r="L1703" t="str">
        <f t="shared" si="188"/>
        <v>July</v>
      </c>
      <c r="M1703">
        <f>YEAR(C1703)</f>
        <v>2024</v>
      </c>
      <c r="N1703">
        <v>63</v>
      </c>
      <c r="O1703" t="str">
        <f>IF(N1703&gt;=200,"Platinum",IF(N1703&gt;=100,"Gold",IF(N1703&gt;=50,"Silver","Regular")))</f>
        <v>Silver</v>
      </c>
      <c r="P1703" s="4" t="str">
        <f t="shared" si="183"/>
        <v>Saturday</v>
      </c>
      <c r="Q1703" s="4" t="str">
        <f t="shared" si="184"/>
        <v>Medium Order</v>
      </c>
      <c r="R1703" s="4" t="str">
        <f t="shared" si="185"/>
        <v>Weekend</v>
      </c>
      <c r="S1703" s="4" t="str">
        <f t="shared" si="186"/>
        <v>Regular</v>
      </c>
    </row>
    <row r="1704" spans="1:19" x14ac:dyDescent="0.3">
      <c r="A1704">
        <v>8846</v>
      </c>
      <c r="B1704" t="s">
        <v>31</v>
      </c>
      <c r="C1704" s="1">
        <v>45855</v>
      </c>
      <c r="D1704" t="s">
        <v>4</v>
      </c>
      <c r="E1704" t="s">
        <v>33</v>
      </c>
      <c r="F1704">
        <v>4</v>
      </c>
      <c r="G1704">
        <v>19.510000000000002</v>
      </c>
      <c r="H1704">
        <v>78.040000000000006</v>
      </c>
      <c r="I1704" t="str">
        <f t="shared" si="182"/>
        <v>No Discount</v>
      </c>
      <c r="J1704">
        <v>0</v>
      </c>
      <c r="K1704">
        <f t="shared" si="187"/>
        <v>78.040000000000006</v>
      </c>
      <c r="L1704" t="str">
        <f t="shared" si="188"/>
        <v>July</v>
      </c>
      <c r="M1704">
        <f>YEAR(C1704)</f>
        <v>2025</v>
      </c>
      <c r="N1704">
        <v>494</v>
      </c>
      <c r="O1704" t="str">
        <f>IF(N1704&gt;=200,"Platinum",IF(N1704&gt;=100,"Gold",IF(N1704&gt;=50,"Silver","Regular")))</f>
        <v>Platinum</v>
      </c>
      <c r="P1704" s="4" t="str">
        <f t="shared" si="183"/>
        <v>Thursday</v>
      </c>
      <c r="Q1704" s="4" t="str">
        <f t="shared" si="184"/>
        <v>Medium Order</v>
      </c>
      <c r="R1704" s="4" t="str">
        <f t="shared" si="185"/>
        <v>Weekday</v>
      </c>
      <c r="S1704" s="4" t="str">
        <f t="shared" si="186"/>
        <v>Regular</v>
      </c>
    </row>
    <row r="1705" spans="1:19" x14ac:dyDescent="0.3">
      <c r="A1705">
        <v>4271</v>
      </c>
      <c r="B1705" t="s">
        <v>19</v>
      </c>
      <c r="C1705" s="1">
        <v>45767</v>
      </c>
      <c r="D1705" t="s">
        <v>9</v>
      </c>
      <c r="E1705" t="s">
        <v>5</v>
      </c>
      <c r="F1705">
        <v>3</v>
      </c>
      <c r="G1705">
        <v>25.94</v>
      </c>
      <c r="H1705">
        <v>77.819999999999993</v>
      </c>
      <c r="I1705" t="str">
        <f t="shared" si="182"/>
        <v>No Discount</v>
      </c>
      <c r="J1705">
        <v>0</v>
      </c>
      <c r="K1705">
        <f t="shared" si="187"/>
        <v>77.819999999999993</v>
      </c>
      <c r="L1705" t="str">
        <f t="shared" si="188"/>
        <v>April</v>
      </c>
      <c r="M1705">
        <f>YEAR(C1705)</f>
        <v>2025</v>
      </c>
      <c r="N1705">
        <v>466</v>
      </c>
      <c r="O1705" t="str">
        <f>IF(N1705&gt;=200,"Platinum",IF(N1705&gt;=100,"Gold",IF(N1705&gt;=50,"Silver","Regular")))</f>
        <v>Platinum</v>
      </c>
      <c r="P1705" s="4" t="str">
        <f t="shared" si="183"/>
        <v>Sunday</v>
      </c>
      <c r="Q1705" s="4" t="str">
        <f t="shared" si="184"/>
        <v>Medium Order</v>
      </c>
      <c r="R1705" s="4" t="str">
        <f t="shared" si="185"/>
        <v>Weekend</v>
      </c>
      <c r="S1705" s="4" t="str">
        <f t="shared" si="186"/>
        <v>Regular</v>
      </c>
    </row>
    <row r="1706" spans="1:19" x14ac:dyDescent="0.3">
      <c r="A1706">
        <v>2041</v>
      </c>
      <c r="B1706" t="s">
        <v>0</v>
      </c>
      <c r="C1706" s="1">
        <v>45514</v>
      </c>
      <c r="D1706" t="s">
        <v>4</v>
      </c>
      <c r="E1706" t="s">
        <v>37</v>
      </c>
      <c r="F1706">
        <v>4</v>
      </c>
      <c r="G1706">
        <v>19.38</v>
      </c>
      <c r="H1706">
        <v>77.52</v>
      </c>
      <c r="I1706" t="str">
        <f t="shared" si="182"/>
        <v>No Discount</v>
      </c>
      <c r="J1706">
        <v>0</v>
      </c>
      <c r="K1706">
        <f t="shared" si="187"/>
        <v>77.52</v>
      </c>
      <c r="L1706" t="str">
        <f t="shared" si="188"/>
        <v>August</v>
      </c>
      <c r="M1706">
        <f>YEAR(C1706)</f>
        <v>2024</v>
      </c>
      <c r="N1706">
        <v>43</v>
      </c>
      <c r="O1706" t="str">
        <f>IF(N1706&gt;=200,"Platinum",IF(N1706&gt;=100,"Gold",IF(N1706&gt;=50,"Silver","Regular")))</f>
        <v>Regular</v>
      </c>
      <c r="P1706" s="4" t="str">
        <f t="shared" si="183"/>
        <v>Saturday</v>
      </c>
      <c r="Q1706" s="4" t="str">
        <f t="shared" si="184"/>
        <v>Medium Order</v>
      </c>
      <c r="R1706" s="4" t="str">
        <f t="shared" si="185"/>
        <v>Weekend</v>
      </c>
      <c r="S1706" s="4" t="str">
        <f t="shared" si="186"/>
        <v>Regular</v>
      </c>
    </row>
    <row r="1707" spans="1:19" x14ac:dyDescent="0.3">
      <c r="A1707">
        <v>2213</v>
      </c>
      <c r="B1707" t="s">
        <v>13</v>
      </c>
      <c r="C1707" s="1">
        <v>45496</v>
      </c>
      <c r="D1707" t="s">
        <v>4</v>
      </c>
      <c r="E1707" t="s">
        <v>2</v>
      </c>
      <c r="F1707">
        <v>5</v>
      </c>
      <c r="G1707">
        <v>15.5</v>
      </c>
      <c r="H1707">
        <v>77.5</v>
      </c>
      <c r="I1707" t="str">
        <f t="shared" si="182"/>
        <v>No Discount</v>
      </c>
      <c r="J1707">
        <v>0</v>
      </c>
      <c r="K1707">
        <f t="shared" si="187"/>
        <v>77.5</v>
      </c>
      <c r="L1707" t="str">
        <f t="shared" si="188"/>
        <v>July</v>
      </c>
      <c r="M1707">
        <f>YEAR(C1707)</f>
        <v>2024</v>
      </c>
      <c r="N1707">
        <v>87</v>
      </c>
      <c r="O1707" t="str">
        <f>IF(N1707&gt;=200,"Platinum",IF(N1707&gt;=100,"Gold",IF(N1707&gt;=50,"Silver","Regular")))</f>
        <v>Silver</v>
      </c>
      <c r="P1707" s="4" t="str">
        <f t="shared" si="183"/>
        <v>Tuesday</v>
      </c>
      <c r="Q1707" s="4" t="str">
        <f t="shared" si="184"/>
        <v>Medium Order</v>
      </c>
      <c r="R1707" s="4" t="str">
        <f t="shared" si="185"/>
        <v>Weekday</v>
      </c>
      <c r="S1707" s="4" t="str">
        <f t="shared" si="186"/>
        <v>Regular</v>
      </c>
    </row>
    <row r="1708" spans="1:19" x14ac:dyDescent="0.3">
      <c r="A1708">
        <v>6325</v>
      </c>
      <c r="B1708" t="s">
        <v>8</v>
      </c>
      <c r="C1708" s="1">
        <v>45286</v>
      </c>
      <c r="D1708" t="s">
        <v>6</v>
      </c>
      <c r="E1708" t="s">
        <v>26</v>
      </c>
      <c r="F1708">
        <v>3</v>
      </c>
      <c r="G1708">
        <v>25.67</v>
      </c>
      <c r="H1708">
        <v>77.010000000000005</v>
      </c>
      <c r="I1708" t="str">
        <f t="shared" si="182"/>
        <v>No Discount</v>
      </c>
      <c r="J1708">
        <v>0</v>
      </c>
      <c r="K1708">
        <f t="shared" si="187"/>
        <v>77.010000000000005</v>
      </c>
      <c r="L1708" t="str">
        <f t="shared" si="188"/>
        <v>December</v>
      </c>
      <c r="M1708">
        <f>YEAR(C1708)</f>
        <v>2023</v>
      </c>
      <c r="N1708">
        <v>474</v>
      </c>
      <c r="O1708" t="str">
        <f>IF(N1708&gt;=200,"Platinum",IF(N1708&gt;=100,"Gold",IF(N1708&gt;=50,"Silver","Regular")))</f>
        <v>Platinum</v>
      </c>
      <c r="P1708" s="4" t="str">
        <f t="shared" si="183"/>
        <v>Tuesday</v>
      </c>
      <c r="Q1708" s="4" t="str">
        <f t="shared" si="184"/>
        <v>Medium Order</v>
      </c>
      <c r="R1708" s="4" t="str">
        <f t="shared" si="185"/>
        <v>Weekday</v>
      </c>
      <c r="S1708" s="4" t="str">
        <f t="shared" si="186"/>
        <v>Regular</v>
      </c>
    </row>
    <row r="1709" spans="1:19" x14ac:dyDescent="0.3">
      <c r="A1709">
        <v>7291</v>
      </c>
      <c r="B1709" t="s">
        <v>8</v>
      </c>
      <c r="C1709" s="1">
        <v>45528</v>
      </c>
      <c r="D1709" t="s">
        <v>16</v>
      </c>
      <c r="E1709" t="s">
        <v>5</v>
      </c>
      <c r="F1709">
        <v>5</v>
      </c>
      <c r="G1709">
        <v>15.36</v>
      </c>
      <c r="H1709">
        <v>76.8</v>
      </c>
      <c r="I1709" t="str">
        <f t="shared" si="182"/>
        <v>No Discount</v>
      </c>
      <c r="J1709">
        <v>0</v>
      </c>
      <c r="K1709">
        <f t="shared" si="187"/>
        <v>76.8</v>
      </c>
      <c r="L1709" t="str">
        <f t="shared" si="188"/>
        <v>August</v>
      </c>
      <c r="M1709">
        <f>YEAR(C1709)</f>
        <v>2024</v>
      </c>
      <c r="N1709">
        <v>497</v>
      </c>
      <c r="O1709" t="str">
        <f>IF(N1709&gt;=200,"Platinum",IF(N1709&gt;=100,"Gold",IF(N1709&gt;=50,"Silver","Regular")))</f>
        <v>Platinum</v>
      </c>
      <c r="P1709" s="4" t="str">
        <f t="shared" si="183"/>
        <v>Saturday</v>
      </c>
      <c r="Q1709" s="4" t="str">
        <f t="shared" si="184"/>
        <v>Medium Order</v>
      </c>
      <c r="R1709" s="4" t="str">
        <f t="shared" si="185"/>
        <v>Weekend</v>
      </c>
      <c r="S1709" s="4" t="str">
        <f t="shared" si="186"/>
        <v>Regular</v>
      </c>
    </row>
    <row r="1710" spans="1:19" x14ac:dyDescent="0.3">
      <c r="A1710">
        <v>2036</v>
      </c>
      <c r="B1710" t="s">
        <v>19</v>
      </c>
      <c r="C1710" s="1">
        <v>45274</v>
      </c>
      <c r="D1710" t="s">
        <v>9</v>
      </c>
      <c r="E1710" t="s">
        <v>26</v>
      </c>
      <c r="F1710">
        <v>3</v>
      </c>
      <c r="G1710">
        <v>25.19</v>
      </c>
      <c r="H1710">
        <v>75.569999999999993</v>
      </c>
      <c r="I1710" t="str">
        <f t="shared" si="182"/>
        <v>No Discount</v>
      </c>
      <c r="J1710">
        <v>0</v>
      </c>
      <c r="K1710">
        <f t="shared" si="187"/>
        <v>75.569999999999993</v>
      </c>
      <c r="L1710" t="str">
        <f t="shared" si="188"/>
        <v>December</v>
      </c>
      <c r="M1710">
        <f>YEAR(C1710)</f>
        <v>2023</v>
      </c>
      <c r="N1710">
        <v>18</v>
      </c>
      <c r="O1710" t="str">
        <f>IF(N1710&gt;=200,"Platinum",IF(N1710&gt;=100,"Gold",IF(N1710&gt;=50,"Silver","Regular")))</f>
        <v>Regular</v>
      </c>
      <c r="P1710" s="4" t="str">
        <f t="shared" si="183"/>
        <v>Thursday</v>
      </c>
      <c r="Q1710" s="4" t="str">
        <f t="shared" si="184"/>
        <v>Medium Order</v>
      </c>
      <c r="R1710" s="4" t="str">
        <f t="shared" si="185"/>
        <v>Weekday</v>
      </c>
      <c r="S1710" s="4" t="str">
        <f t="shared" si="186"/>
        <v>Regular</v>
      </c>
    </row>
    <row r="1711" spans="1:19" x14ac:dyDescent="0.3">
      <c r="A1711">
        <v>4868</v>
      </c>
      <c r="B1711" t="s">
        <v>3</v>
      </c>
      <c r="C1711" s="1">
        <v>45809</v>
      </c>
      <c r="D1711" t="s">
        <v>27</v>
      </c>
      <c r="E1711" t="s">
        <v>2</v>
      </c>
      <c r="F1711">
        <v>5</v>
      </c>
      <c r="G1711">
        <v>15</v>
      </c>
      <c r="H1711">
        <v>75</v>
      </c>
      <c r="I1711" t="str">
        <f t="shared" si="182"/>
        <v>No Discount</v>
      </c>
      <c r="J1711">
        <v>0</v>
      </c>
      <c r="K1711">
        <f t="shared" si="187"/>
        <v>75</v>
      </c>
      <c r="L1711" t="str">
        <f t="shared" si="188"/>
        <v>June</v>
      </c>
      <c r="M1711">
        <f>YEAR(C1711)</f>
        <v>2025</v>
      </c>
      <c r="N1711">
        <v>373</v>
      </c>
      <c r="O1711" t="str">
        <f>IF(N1711&gt;=200,"Platinum",IF(N1711&gt;=100,"Gold",IF(N1711&gt;=50,"Silver","Regular")))</f>
        <v>Platinum</v>
      </c>
      <c r="P1711" s="4" t="str">
        <f t="shared" si="183"/>
        <v>Sunday</v>
      </c>
      <c r="Q1711" s="4" t="str">
        <f t="shared" si="184"/>
        <v>Medium Order</v>
      </c>
      <c r="R1711" s="4" t="str">
        <f t="shared" si="185"/>
        <v>Weekend</v>
      </c>
      <c r="S1711" s="4" t="str">
        <f t="shared" si="186"/>
        <v>Regular</v>
      </c>
    </row>
    <row r="1712" spans="1:19" x14ac:dyDescent="0.3">
      <c r="A1712">
        <v>8054</v>
      </c>
      <c r="B1712" t="s">
        <v>13</v>
      </c>
      <c r="C1712" s="1">
        <v>45771</v>
      </c>
      <c r="D1712" t="s">
        <v>16</v>
      </c>
      <c r="E1712" t="s">
        <v>28</v>
      </c>
      <c r="F1712">
        <v>5</v>
      </c>
      <c r="G1712">
        <v>14.97</v>
      </c>
      <c r="H1712">
        <v>74.849999999999994</v>
      </c>
      <c r="I1712" t="str">
        <f t="shared" si="182"/>
        <v>No Discount</v>
      </c>
      <c r="J1712">
        <v>0</v>
      </c>
      <c r="K1712">
        <f t="shared" si="187"/>
        <v>74.849999999999994</v>
      </c>
      <c r="L1712" t="str">
        <f t="shared" si="188"/>
        <v>April</v>
      </c>
      <c r="M1712">
        <f>YEAR(C1712)</f>
        <v>2025</v>
      </c>
      <c r="N1712">
        <v>198</v>
      </c>
      <c r="O1712" t="str">
        <f>IF(N1712&gt;=200,"Platinum",IF(N1712&gt;=100,"Gold",IF(N1712&gt;=50,"Silver","Regular")))</f>
        <v>Gold</v>
      </c>
      <c r="P1712" s="4" t="str">
        <f t="shared" si="183"/>
        <v>Thursday</v>
      </c>
      <c r="Q1712" s="4" t="str">
        <f t="shared" si="184"/>
        <v>Medium Order</v>
      </c>
      <c r="R1712" s="4" t="str">
        <f t="shared" si="185"/>
        <v>Weekday</v>
      </c>
      <c r="S1712" s="4" t="str">
        <f t="shared" si="186"/>
        <v>Regular</v>
      </c>
    </row>
    <row r="1713" spans="1:19" x14ac:dyDescent="0.3">
      <c r="A1713">
        <v>7770</v>
      </c>
      <c r="B1713" t="s">
        <v>25</v>
      </c>
      <c r="C1713" s="1">
        <v>45187</v>
      </c>
      <c r="D1713" t="s">
        <v>4</v>
      </c>
      <c r="E1713" t="s">
        <v>12</v>
      </c>
      <c r="F1713">
        <v>5</v>
      </c>
      <c r="G1713">
        <v>14.92</v>
      </c>
      <c r="H1713">
        <v>74.599999999999994</v>
      </c>
      <c r="I1713" t="str">
        <f t="shared" si="182"/>
        <v>No Discount</v>
      </c>
      <c r="J1713">
        <v>0</v>
      </c>
      <c r="K1713">
        <f t="shared" si="187"/>
        <v>74.599999999999994</v>
      </c>
      <c r="L1713" t="str">
        <f t="shared" si="188"/>
        <v>September</v>
      </c>
      <c r="M1713">
        <f>YEAR(C1713)</f>
        <v>2023</v>
      </c>
      <c r="N1713">
        <v>292</v>
      </c>
      <c r="O1713" t="str">
        <f>IF(N1713&gt;=200,"Platinum",IF(N1713&gt;=100,"Gold",IF(N1713&gt;=50,"Silver","Regular")))</f>
        <v>Platinum</v>
      </c>
      <c r="P1713" s="4" t="str">
        <f t="shared" si="183"/>
        <v>Monday</v>
      </c>
      <c r="Q1713" s="4" t="str">
        <f t="shared" si="184"/>
        <v>Medium Order</v>
      </c>
      <c r="R1713" s="4" t="str">
        <f t="shared" si="185"/>
        <v>Weekday</v>
      </c>
      <c r="S1713" s="4" t="str">
        <f t="shared" si="186"/>
        <v>Regular</v>
      </c>
    </row>
    <row r="1714" spans="1:19" x14ac:dyDescent="0.3">
      <c r="A1714">
        <v>5501</v>
      </c>
      <c r="B1714" t="s">
        <v>0</v>
      </c>
      <c r="C1714" s="1">
        <v>45561</v>
      </c>
      <c r="D1714" t="s">
        <v>9</v>
      </c>
      <c r="E1714" t="s">
        <v>32</v>
      </c>
      <c r="F1714">
        <v>5</v>
      </c>
      <c r="G1714">
        <v>14.87</v>
      </c>
      <c r="H1714">
        <v>74.349999999999994</v>
      </c>
      <c r="I1714" t="str">
        <f t="shared" si="182"/>
        <v>No Discount</v>
      </c>
      <c r="J1714">
        <v>0</v>
      </c>
      <c r="K1714">
        <f t="shared" si="187"/>
        <v>74.349999999999994</v>
      </c>
      <c r="L1714" t="str">
        <f t="shared" si="188"/>
        <v>September</v>
      </c>
      <c r="M1714">
        <f>YEAR(C1714)</f>
        <v>2024</v>
      </c>
      <c r="N1714">
        <v>66</v>
      </c>
      <c r="O1714" t="str">
        <f>IF(N1714&gt;=200,"Platinum",IF(N1714&gt;=100,"Gold",IF(N1714&gt;=50,"Silver","Regular")))</f>
        <v>Silver</v>
      </c>
      <c r="P1714" s="4" t="str">
        <f t="shared" si="183"/>
        <v>Thursday</v>
      </c>
      <c r="Q1714" s="4" t="str">
        <f t="shared" si="184"/>
        <v>Medium Order</v>
      </c>
      <c r="R1714" s="4" t="str">
        <f t="shared" si="185"/>
        <v>Weekday</v>
      </c>
      <c r="S1714" s="4" t="str">
        <f t="shared" si="186"/>
        <v>Regular</v>
      </c>
    </row>
    <row r="1715" spans="1:19" x14ac:dyDescent="0.3">
      <c r="A1715">
        <v>2929</v>
      </c>
      <c r="B1715" t="s">
        <v>8</v>
      </c>
      <c r="C1715" s="1">
        <v>45348</v>
      </c>
      <c r="D1715" t="s">
        <v>16</v>
      </c>
      <c r="E1715" t="s">
        <v>28</v>
      </c>
      <c r="F1715">
        <v>5</v>
      </c>
      <c r="G1715">
        <v>14.81</v>
      </c>
      <c r="H1715">
        <v>74.05</v>
      </c>
      <c r="I1715" t="str">
        <f t="shared" si="182"/>
        <v>No Discount</v>
      </c>
      <c r="J1715">
        <v>0</v>
      </c>
      <c r="K1715">
        <f t="shared" si="187"/>
        <v>74.05</v>
      </c>
      <c r="L1715" t="str">
        <f t="shared" si="188"/>
        <v>February</v>
      </c>
      <c r="M1715">
        <f>YEAR(C1715)</f>
        <v>2024</v>
      </c>
      <c r="N1715">
        <v>461</v>
      </c>
      <c r="O1715" t="str">
        <f>IF(N1715&gt;=200,"Platinum",IF(N1715&gt;=100,"Gold",IF(N1715&gt;=50,"Silver","Regular")))</f>
        <v>Platinum</v>
      </c>
      <c r="P1715" s="4" t="str">
        <f t="shared" si="183"/>
        <v>Monday</v>
      </c>
      <c r="Q1715" s="4" t="str">
        <f t="shared" si="184"/>
        <v>Medium Order</v>
      </c>
      <c r="R1715" s="4" t="str">
        <f t="shared" si="185"/>
        <v>Weekday</v>
      </c>
      <c r="S1715" s="4" t="str">
        <f t="shared" si="186"/>
        <v>Regular</v>
      </c>
    </row>
    <row r="1716" spans="1:19" x14ac:dyDescent="0.3">
      <c r="A1716">
        <v>3245</v>
      </c>
      <c r="B1716" t="s">
        <v>25</v>
      </c>
      <c r="C1716" s="1">
        <v>45699</v>
      </c>
      <c r="D1716" t="s">
        <v>16</v>
      </c>
      <c r="E1716" t="s">
        <v>10</v>
      </c>
      <c r="F1716">
        <v>3</v>
      </c>
      <c r="G1716">
        <v>24.68</v>
      </c>
      <c r="H1716">
        <v>74.040000000000006</v>
      </c>
      <c r="I1716" t="str">
        <f t="shared" si="182"/>
        <v>No Discount</v>
      </c>
      <c r="J1716">
        <v>0</v>
      </c>
      <c r="K1716">
        <f t="shared" si="187"/>
        <v>74.040000000000006</v>
      </c>
      <c r="L1716" t="str">
        <f t="shared" si="188"/>
        <v>February</v>
      </c>
      <c r="M1716">
        <f>YEAR(C1716)</f>
        <v>2025</v>
      </c>
      <c r="N1716">
        <v>481</v>
      </c>
      <c r="O1716" t="str">
        <f>IF(N1716&gt;=200,"Platinum",IF(N1716&gt;=100,"Gold",IF(N1716&gt;=50,"Silver","Regular")))</f>
        <v>Platinum</v>
      </c>
      <c r="P1716" s="4" t="str">
        <f t="shared" si="183"/>
        <v>Tuesday</v>
      </c>
      <c r="Q1716" s="4" t="str">
        <f t="shared" si="184"/>
        <v>Medium Order</v>
      </c>
      <c r="R1716" s="4" t="str">
        <f t="shared" si="185"/>
        <v>Weekday</v>
      </c>
      <c r="S1716" s="4" t="str">
        <f t="shared" si="186"/>
        <v>Regular</v>
      </c>
    </row>
    <row r="1717" spans="1:19" x14ac:dyDescent="0.3">
      <c r="A1717">
        <v>9830</v>
      </c>
      <c r="B1717" t="s">
        <v>15</v>
      </c>
      <c r="C1717" s="1">
        <v>45349</v>
      </c>
      <c r="D1717" t="s">
        <v>34</v>
      </c>
      <c r="E1717" t="s">
        <v>33</v>
      </c>
      <c r="F1717">
        <v>5</v>
      </c>
      <c r="G1717">
        <v>14.71</v>
      </c>
      <c r="H1717">
        <v>73.55</v>
      </c>
      <c r="I1717" t="str">
        <f t="shared" si="182"/>
        <v>No Discount</v>
      </c>
      <c r="J1717">
        <v>0</v>
      </c>
      <c r="K1717">
        <f t="shared" si="187"/>
        <v>73.55</v>
      </c>
      <c r="L1717" t="str">
        <f t="shared" si="188"/>
        <v>February</v>
      </c>
      <c r="M1717">
        <f>YEAR(C1717)</f>
        <v>2024</v>
      </c>
      <c r="N1717">
        <v>461</v>
      </c>
      <c r="O1717" t="str">
        <f>IF(N1717&gt;=200,"Platinum",IF(N1717&gt;=100,"Gold",IF(N1717&gt;=50,"Silver","Regular")))</f>
        <v>Platinum</v>
      </c>
      <c r="P1717" s="4" t="str">
        <f t="shared" si="183"/>
        <v>Tuesday</v>
      </c>
      <c r="Q1717" s="4" t="str">
        <f t="shared" si="184"/>
        <v>Medium Order</v>
      </c>
      <c r="R1717" s="4" t="str">
        <f t="shared" si="185"/>
        <v>Weekday</v>
      </c>
      <c r="S1717" s="4" t="str">
        <f t="shared" si="186"/>
        <v>Regular</v>
      </c>
    </row>
    <row r="1718" spans="1:19" x14ac:dyDescent="0.3">
      <c r="A1718">
        <v>1108</v>
      </c>
      <c r="B1718" t="s">
        <v>20</v>
      </c>
      <c r="C1718" s="1">
        <v>45558</v>
      </c>
      <c r="D1718" t="s">
        <v>27</v>
      </c>
      <c r="E1718" t="s">
        <v>37</v>
      </c>
      <c r="F1718">
        <v>5</v>
      </c>
      <c r="G1718">
        <v>14.65</v>
      </c>
      <c r="H1718">
        <v>73.25</v>
      </c>
      <c r="I1718" t="str">
        <f t="shared" si="182"/>
        <v>No Discount</v>
      </c>
      <c r="J1718">
        <v>0</v>
      </c>
      <c r="K1718">
        <f t="shared" si="187"/>
        <v>73.25</v>
      </c>
      <c r="L1718" t="str">
        <f t="shared" si="188"/>
        <v>September</v>
      </c>
      <c r="M1718">
        <f>YEAR(C1718)</f>
        <v>2024</v>
      </c>
      <c r="N1718">
        <v>469</v>
      </c>
      <c r="O1718" t="str">
        <f>IF(N1718&gt;=200,"Platinum",IF(N1718&gt;=100,"Gold",IF(N1718&gt;=50,"Silver","Regular")))</f>
        <v>Platinum</v>
      </c>
      <c r="P1718" s="4" t="str">
        <f t="shared" si="183"/>
        <v>Monday</v>
      </c>
      <c r="Q1718" s="4" t="str">
        <f t="shared" si="184"/>
        <v>Medium Order</v>
      </c>
      <c r="R1718" s="4" t="str">
        <f t="shared" si="185"/>
        <v>Weekday</v>
      </c>
      <c r="S1718" s="4" t="str">
        <f t="shared" si="186"/>
        <v>Regular</v>
      </c>
    </row>
    <row r="1719" spans="1:19" x14ac:dyDescent="0.3">
      <c r="A1719">
        <v>8492</v>
      </c>
      <c r="B1719" t="s">
        <v>8</v>
      </c>
      <c r="C1719" s="1">
        <v>45584</v>
      </c>
      <c r="D1719" t="s">
        <v>11</v>
      </c>
      <c r="E1719" t="s">
        <v>36</v>
      </c>
      <c r="F1719">
        <v>5</v>
      </c>
      <c r="G1719">
        <v>14.62</v>
      </c>
      <c r="H1719">
        <v>73.099999999999994</v>
      </c>
      <c r="I1719" t="str">
        <f t="shared" si="182"/>
        <v>No Discount</v>
      </c>
      <c r="J1719">
        <v>0</v>
      </c>
      <c r="K1719">
        <f t="shared" si="187"/>
        <v>73.099999999999994</v>
      </c>
      <c r="L1719" t="str">
        <f t="shared" si="188"/>
        <v>October</v>
      </c>
      <c r="M1719">
        <f>YEAR(C1719)</f>
        <v>2024</v>
      </c>
      <c r="N1719">
        <v>497</v>
      </c>
      <c r="O1719" t="str">
        <f>IF(N1719&gt;=200,"Platinum",IF(N1719&gt;=100,"Gold",IF(N1719&gt;=50,"Silver","Regular")))</f>
        <v>Platinum</v>
      </c>
      <c r="P1719" s="4" t="str">
        <f t="shared" si="183"/>
        <v>Saturday</v>
      </c>
      <c r="Q1719" s="4" t="str">
        <f t="shared" si="184"/>
        <v>Medium Order</v>
      </c>
      <c r="R1719" s="4" t="str">
        <f t="shared" si="185"/>
        <v>Weekend</v>
      </c>
      <c r="S1719" s="4" t="str">
        <f t="shared" si="186"/>
        <v>Regular</v>
      </c>
    </row>
    <row r="1720" spans="1:19" x14ac:dyDescent="0.3">
      <c r="A1720">
        <v>1474</v>
      </c>
      <c r="B1720" t="s">
        <v>25</v>
      </c>
      <c r="C1720" s="1">
        <v>45180</v>
      </c>
      <c r="D1720" t="s">
        <v>16</v>
      </c>
      <c r="E1720" t="s">
        <v>21</v>
      </c>
      <c r="F1720">
        <v>4</v>
      </c>
      <c r="G1720">
        <v>17.989999999999998</v>
      </c>
      <c r="H1720">
        <v>71.959999999999994</v>
      </c>
      <c r="I1720" t="str">
        <f t="shared" si="182"/>
        <v>No Discount</v>
      </c>
      <c r="J1720">
        <v>0</v>
      </c>
      <c r="K1720">
        <f t="shared" si="187"/>
        <v>71.959999999999994</v>
      </c>
      <c r="L1720" t="str">
        <f t="shared" si="188"/>
        <v>September</v>
      </c>
      <c r="M1720">
        <f>YEAR(C1720)</f>
        <v>2023</v>
      </c>
      <c r="N1720">
        <v>265</v>
      </c>
      <c r="O1720" t="str">
        <f>IF(N1720&gt;=200,"Platinum",IF(N1720&gt;=100,"Gold",IF(N1720&gt;=50,"Silver","Regular")))</f>
        <v>Platinum</v>
      </c>
      <c r="P1720" s="4" t="str">
        <f t="shared" si="183"/>
        <v>Monday</v>
      </c>
      <c r="Q1720" s="4" t="str">
        <f t="shared" si="184"/>
        <v>Medium Order</v>
      </c>
      <c r="R1720" s="4" t="str">
        <f t="shared" si="185"/>
        <v>Weekday</v>
      </c>
      <c r="S1720" s="4" t="str">
        <f t="shared" si="186"/>
        <v>Regular</v>
      </c>
    </row>
    <row r="1721" spans="1:19" x14ac:dyDescent="0.3">
      <c r="A1721">
        <v>7081</v>
      </c>
      <c r="B1721" t="s">
        <v>19</v>
      </c>
      <c r="C1721" s="1">
        <v>45575</v>
      </c>
      <c r="D1721" t="s">
        <v>23</v>
      </c>
      <c r="E1721" t="s">
        <v>28</v>
      </c>
      <c r="F1721">
        <v>3</v>
      </c>
      <c r="G1721">
        <v>23.89</v>
      </c>
      <c r="H1721">
        <v>71.67</v>
      </c>
      <c r="I1721" t="str">
        <f t="shared" si="182"/>
        <v>No Discount</v>
      </c>
      <c r="J1721">
        <v>0</v>
      </c>
      <c r="K1721">
        <f t="shared" si="187"/>
        <v>71.67</v>
      </c>
      <c r="L1721" t="str">
        <f t="shared" si="188"/>
        <v>October</v>
      </c>
      <c r="M1721">
        <f>YEAR(C1721)</f>
        <v>2024</v>
      </c>
      <c r="N1721">
        <v>142</v>
      </c>
      <c r="O1721" t="str">
        <f>IF(N1721&gt;=200,"Platinum",IF(N1721&gt;=100,"Gold",IF(N1721&gt;=50,"Silver","Regular")))</f>
        <v>Gold</v>
      </c>
      <c r="P1721" s="4" t="str">
        <f t="shared" si="183"/>
        <v>Thursday</v>
      </c>
      <c r="Q1721" s="4" t="str">
        <f t="shared" si="184"/>
        <v>Medium Order</v>
      </c>
      <c r="R1721" s="4" t="str">
        <f t="shared" si="185"/>
        <v>Weekday</v>
      </c>
      <c r="S1721" s="4" t="str">
        <f t="shared" si="186"/>
        <v>Regular</v>
      </c>
    </row>
    <row r="1722" spans="1:19" x14ac:dyDescent="0.3">
      <c r="A1722">
        <v>9786</v>
      </c>
      <c r="B1722" t="s">
        <v>0</v>
      </c>
      <c r="C1722" s="1">
        <v>45493</v>
      </c>
      <c r="D1722" t="s">
        <v>16</v>
      </c>
      <c r="E1722" t="s">
        <v>29</v>
      </c>
      <c r="F1722">
        <v>3</v>
      </c>
      <c r="G1722">
        <v>23.86</v>
      </c>
      <c r="H1722">
        <v>71.58</v>
      </c>
      <c r="I1722" t="str">
        <f t="shared" si="182"/>
        <v>No Discount</v>
      </c>
      <c r="J1722">
        <v>0</v>
      </c>
      <c r="K1722">
        <f t="shared" si="187"/>
        <v>71.58</v>
      </c>
      <c r="L1722" t="str">
        <f t="shared" si="188"/>
        <v>July</v>
      </c>
      <c r="M1722">
        <f>YEAR(C1722)</f>
        <v>2024</v>
      </c>
      <c r="N1722">
        <v>17</v>
      </c>
      <c r="O1722" t="str">
        <f>IF(N1722&gt;=200,"Platinum",IF(N1722&gt;=100,"Gold",IF(N1722&gt;=50,"Silver","Regular")))</f>
        <v>Regular</v>
      </c>
      <c r="P1722" s="4" t="str">
        <f t="shared" si="183"/>
        <v>Saturday</v>
      </c>
      <c r="Q1722" s="4" t="str">
        <f t="shared" si="184"/>
        <v>Medium Order</v>
      </c>
      <c r="R1722" s="4" t="str">
        <f t="shared" si="185"/>
        <v>Weekend</v>
      </c>
      <c r="S1722" s="4" t="str">
        <f t="shared" si="186"/>
        <v>Regular</v>
      </c>
    </row>
    <row r="1723" spans="1:19" x14ac:dyDescent="0.3">
      <c r="A1723">
        <v>6654</v>
      </c>
      <c r="B1723" t="s">
        <v>8</v>
      </c>
      <c r="C1723" s="1">
        <v>45403</v>
      </c>
      <c r="D1723" t="s">
        <v>27</v>
      </c>
      <c r="E1723" t="s">
        <v>33</v>
      </c>
      <c r="F1723">
        <v>3</v>
      </c>
      <c r="G1723">
        <v>22.26</v>
      </c>
      <c r="H1723">
        <v>66.78</v>
      </c>
      <c r="I1723" t="str">
        <f t="shared" si="182"/>
        <v>No Discount</v>
      </c>
      <c r="J1723">
        <v>0</v>
      </c>
      <c r="K1723">
        <f t="shared" si="187"/>
        <v>66.78</v>
      </c>
      <c r="L1723" t="str">
        <f t="shared" si="188"/>
        <v>April</v>
      </c>
      <c r="M1723">
        <f>YEAR(C1723)</f>
        <v>2024</v>
      </c>
      <c r="N1723">
        <v>320</v>
      </c>
      <c r="O1723" t="str">
        <f>IF(N1723&gt;=200,"Platinum",IF(N1723&gt;=100,"Gold",IF(N1723&gt;=50,"Silver","Regular")))</f>
        <v>Platinum</v>
      </c>
      <c r="P1723" s="4" t="str">
        <f t="shared" si="183"/>
        <v>Sunday</v>
      </c>
      <c r="Q1723" s="4" t="str">
        <f t="shared" si="184"/>
        <v>Medium Order</v>
      </c>
      <c r="R1723" s="4" t="str">
        <f t="shared" si="185"/>
        <v>Weekend</v>
      </c>
      <c r="S1723" s="4" t="str">
        <f t="shared" si="186"/>
        <v>Regular</v>
      </c>
    </row>
    <row r="1724" spans="1:19" x14ac:dyDescent="0.3">
      <c r="A1724">
        <v>1987</v>
      </c>
      <c r="B1724" t="s">
        <v>25</v>
      </c>
      <c r="C1724" s="1">
        <v>45870</v>
      </c>
      <c r="D1724" t="s">
        <v>9</v>
      </c>
      <c r="E1724" t="s">
        <v>36</v>
      </c>
      <c r="F1724">
        <v>4</v>
      </c>
      <c r="G1724">
        <v>16.52</v>
      </c>
      <c r="H1724">
        <v>66.08</v>
      </c>
      <c r="I1724" t="str">
        <f t="shared" si="182"/>
        <v>No Discount</v>
      </c>
      <c r="J1724">
        <v>0</v>
      </c>
      <c r="K1724">
        <f t="shared" si="187"/>
        <v>66.08</v>
      </c>
      <c r="L1724" t="str">
        <f t="shared" si="188"/>
        <v>August</v>
      </c>
      <c r="M1724">
        <f>YEAR(C1724)</f>
        <v>2025</v>
      </c>
      <c r="N1724">
        <v>401</v>
      </c>
      <c r="O1724" t="str">
        <f>IF(N1724&gt;=200,"Platinum",IF(N1724&gt;=100,"Gold",IF(N1724&gt;=50,"Silver","Regular")))</f>
        <v>Platinum</v>
      </c>
      <c r="P1724" s="4" t="str">
        <f t="shared" si="183"/>
        <v>Friday</v>
      </c>
      <c r="Q1724" s="4" t="str">
        <f t="shared" si="184"/>
        <v>Medium Order</v>
      </c>
      <c r="R1724" s="4" t="str">
        <f t="shared" si="185"/>
        <v>Weekday</v>
      </c>
      <c r="S1724" s="4" t="str">
        <f t="shared" si="186"/>
        <v>Regular</v>
      </c>
    </row>
    <row r="1725" spans="1:19" x14ac:dyDescent="0.3">
      <c r="A1725">
        <v>7744</v>
      </c>
      <c r="B1725" t="s">
        <v>3</v>
      </c>
      <c r="C1725" s="1">
        <v>45683</v>
      </c>
      <c r="D1725" t="s">
        <v>17</v>
      </c>
      <c r="E1725" t="s">
        <v>36</v>
      </c>
      <c r="F1725">
        <v>3</v>
      </c>
      <c r="G1725">
        <v>21.75</v>
      </c>
      <c r="H1725">
        <v>65.25</v>
      </c>
      <c r="I1725" t="str">
        <f t="shared" si="182"/>
        <v>No Discount</v>
      </c>
      <c r="J1725">
        <v>0</v>
      </c>
      <c r="K1725">
        <f t="shared" si="187"/>
        <v>65.25</v>
      </c>
      <c r="L1725" t="str">
        <f t="shared" si="188"/>
        <v>January</v>
      </c>
      <c r="M1725">
        <f>YEAR(C1725)</f>
        <v>2025</v>
      </c>
      <c r="N1725">
        <v>58</v>
      </c>
      <c r="O1725" t="str">
        <f>IF(N1725&gt;=200,"Platinum",IF(N1725&gt;=100,"Gold",IF(N1725&gt;=50,"Silver","Regular")))</f>
        <v>Silver</v>
      </c>
      <c r="P1725" s="4" t="str">
        <f t="shared" si="183"/>
        <v>Sunday</v>
      </c>
      <c r="Q1725" s="4" t="str">
        <f t="shared" si="184"/>
        <v>Medium Order</v>
      </c>
      <c r="R1725" s="4" t="str">
        <f t="shared" si="185"/>
        <v>Weekend</v>
      </c>
      <c r="S1725" s="4" t="str">
        <f t="shared" si="186"/>
        <v>Regular</v>
      </c>
    </row>
    <row r="1726" spans="1:19" x14ac:dyDescent="0.3">
      <c r="A1726">
        <v>8684</v>
      </c>
      <c r="B1726" t="s">
        <v>19</v>
      </c>
      <c r="C1726" s="1">
        <v>45847</v>
      </c>
      <c r="D1726" t="s">
        <v>1</v>
      </c>
      <c r="E1726" t="s">
        <v>26</v>
      </c>
      <c r="F1726">
        <v>5</v>
      </c>
      <c r="G1726">
        <v>12.65</v>
      </c>
      <c r="H1726">
        <v>63.25</v>
      </c>
      <c r="I1726" t="str">
        <f t="shared" si="182"/>
        <v>No Discount</v>
      </c>
      <c r="J1726">
        <v>0</v>
      </c>
      <c r="K1726">
        <f t="shared" si="187"/>
        <v>63.25</v>
      </c>
      <c r="L1726" t="str">
        <f t="shared" si="188"/>
        <v>July</v>
      </c>
      <c r="M1726">
        <f>YEAR(C1726)</f>
        <v>2025</v>
      </c>
      <c r="N1726">
        <v>115</v>
      </c>
      <c r="O1726" t="str">
        <f>IF(N1726&gt;=200,"Platinum",IF(N1726&gt;=100,"Gold",IF(N1726&gt;=50,"Silver","Regular")))</f>
        <v>Gold</v>
      </c>
      <c r="P1726" s="4" t="str">
        <f t="shared" si="183"/>
        <v>Wednesday</v>
      </c>
      <c r="Q1726" s="4" t="str">
        <f t="shared" si="184"/>
        <v>Medium Order</v>
      </c>
      <c r="R1726" s="4" t="str">
        <f t="shared" si="185"/>
        <v>Weekday</v>
      </c>
      <c r="S1726" s="4" t="str">
        <f t="shared" si="186"/>
        <v>Regular</v>
      </c>
    </row>
    <row r="1727" spans="1:19" x14ac:dyDescent="0.3">
      <c r="A1727">
        <v>1609</v>
      </c>
      <c r="B1727" t="s">
        <v>19</v>
      </c>
      <c r="C1727" s="1">
        <v>45381</v>
      </c>
      <c r="D1727" t="s">
        <v>24</v>
      </c>
      <c r="E1727" t="s">
        <v>32</v>
      </c>
      <c r="F1727">
        <v>5</v>
      </c>
      <c r="G1727">
        <v>12.58</v>
      </c>
      <c r="H1727">
        <v>62.9</v>
      </c>
      <c r="I1727" t="str">
        <f t="shared" si="182"/>
        <v>No Discount</v>
      </c>
      <c r="J1727">
        <v>0</v>
      </c>
      <c r="K1727">
        <f t="shared" si="187"/>
        <v>62.9</v>
      </c>
      <c r="L1727" t="str">
        <f t="shared" si="188"/>
        <v>March</v>
      </c>
      <c r="M1727">
        <f>YEAR(C1727)</f>
        <v>2024</v>
      </c>
      <c r="N1727">
        <v>469</v>
      </c>
      <c r="O1727" t="str">
        <f>IF(N1727&gt;=200,"Platinum",IF(N1727&gt;=100,"Gold",IF(N1727&gt;=50,"Silver","Regular")))</f>
        <v>Platinum</v>
      </c>
      <c r="P1727" s="4" t="str">
        <f t="shared" si="183"/>
        <v>Saturday</v>
      </c>
      <c r="Q1727" s="4" t="str">
        <f t="shared" si="184"/>
        <v>Medium Order</v>
      </c>
      <c r="R1727" s="4" t="str">
        <f t="shared" si="185"/>
        <v>Weekend</v>
      </c>
      <c r="S1727" s="4" t="str">
        <f t="shared" si="186"/>
        <v>Regular</v>
      </c>
    </row>
    <row r="1728" spans="1:19" x14ac:dyDescent="0.3">
      <c r="A1728">
        <v>9625</v>
      </c>
      <c r="B1728" t="s">
        <v>31</v>
      </c>
      <c r="C1728" s="1">
        <v>45341</v>
      </c>
      <c r="D1728" t="s">
        <v>24</v>
      </c>
      <c r="E1728" t="s">
        <v>30</v>
      </c>
      <c r="F1728">
        <v>5</v>
      </c>
      <c r="G1728">
        <v>12.53</v>
      </c>
      <c r="H1728">
        <v>62.65</v>
      </c>
      <c r="I1728" t="str">
        <f t="shared" si="182"/>
        <v>No Discount</v>
      </c>
      <c r="J1728">
        <v>0</v>
      </c>
      <c r="K1728">
        <f t="shared" si="187"/>
        <v>62.65</v>
      </c>
      <c r="L1728" t="str">
        <f t="shared" si="188"/>
        <v>February</v>
      </c>
      <c r="M1728">
        <f>YEAR(C1728)</f>
        <v>2024</v>
      </c>
      <c r="N1728">
        <v>336</v>
      </c>
      <c r="O1728" t="str">
        <f>IF(N1728&gt;=200,"Platinum",IF(N1728&gt;=100,"Gold",IF(N1728&gt;=50,"Silver","Regular")))</f>
        <v>Platinum</v>
      </c>
      <c r="P1728" s="4" t="str">
        <f t="shared" si="183"/>
        <v>Monday</v>
      </c>
      <c r="Q1728" s="4" t="str">
        <f t="shared" si="184"/>
        <v>Medium Order</v>
      </c>
      <c r="R1728" s="4" t="str">
        <f t="shared" si="185"/>
        <v>Weekday</v>
      </c>
      <c r="S1728" s="4" t="str">
        <f t="shared" si="186"/>
        <v>Regular</v>
      </c>
    </row>
    <row r="1729" spans="1:19" x14ac:dyDescent="0.3">
      <c r="A1729">
        <v>5295</v>
      </c>
      <c r="B1729" t="s">
        <v>15</v>
      </c>
      <c r="C1729" s="1">
        <v>45312</v>
      </c>
      <c r="D1729" t="s">
        <v>17</v>
      </c>
      <c r="E1729" t="s">
        <v>21</v>
      </c>
      <c r="F1729">
        <v>3</v>
      </c>
      <c r="G1729">
        <v>20.87</v>
      </c>
      <c r="H1729">
        <v>62.61</v>
      </c>
      <c r="I1729" t="str">
        <f t="shared" si="182"/>
        <v>No Discount</v>
      </c>
      <c r="J1729">
        <v>0</v>
      </c>
      <c r="K1729">
        <f t="shared" si="187"/>
        <v>62.61</v>
      </c>
      <c r="L1729" t="str">
        <f t="shared" si="188"/>
        <v>January</v>
      </c>
      <c r="M1729">
        <f>YEAR(C1729)</f>
        <v>2024</v>
      </c>
      <c r="N1729">
        <v>198</v>
      </c>
      <c r="O1729" t="str">
        <f>IF(N1729&gt;=200,"Platinum",IF(N1729&gt;=100,"Gold",IF(N1729&gt;=50,"Silver","Regular")))</f>
        <v>Gold</v>
      </c>
      <c r="P1729" s="4" t="str">
        <f t="shared" si="183"/>
        <v>Sunday</v>
      </c>
      <c r="Q1729" s="4" t="str">
        <f t="shared" si="184"/>
        <v>Medium Order</v>
      </c>
      <c r="R1729" s="4" t="str">
        <f t="shared" si="185"/>
        <v>Weekend</v>
      </c>
      <c r="S1729" s="4" t="str">
        <f t="shared" si="186"/>
        <v>Regular</v>
      </c>
    </row>
    <row r="1730" spans="1:19" x14ac:dyDescent="0.3">
      <c r="A1730">
        <v>8253</v>
      </c>
      <c r="B1730" t="s">
        <v>31</v>
      </c>
      <c r="C1730" s="1">
        <v>45375</v>
      </c>
      <c r="D1730" t="s">
        <v>24</v>
      </c>
      <c r="E1730" t="s">
        <v>12</v>
      </c>
      <c r="F1730">
        <v>4</v>
      </c>
      <c r="G1730">
        <v>15.64</v>
      </c>
      <c r="H1730">
        <v>62.56</v>
      </c>
      <c r="I1730" t="str">
        <f t="shared" ref="I1730:I1793" si="189">IF(J1730=0,"No Discount",IF(J1730&lt;=5,"Low",IF(J1730&lt;=10,"Medium",IF(J1730&lt;=20,"High","Very High"))))</f>
        <v>No Discount</v>
      </c>
      <c r="J1730">
        <v>0</v>
      </c>
      <c r="K1730">
        <f t="shared" si="187"/>
        <v>62.56</v>
      </c>
      <c r="L1730" t="str">
        <f t="shared" si="188"/>
        <v>March</v>
      </c>
      <c r="M1730">
        <f>YEAR(C1730)</f>
        <v>2024</v>
      </c>
      <c r="N1730">
        <v>325</v>
      </c>
      <c r="O1730" t="str">
        <f>IF(N1730&gt;=200,"Platinum",IF(N1730&gt;=100,"Gold",IF(N1730&gt;=50,"Silver","Regular")))</f>
        <v>Platinum</v>
      </c>
      <c r="P1730" s="4" t="str">
        <f t="shared" ref="P1730:P1793" si="190">TEXT(C1730,"dddd")</f>
        <v>Sunday</v>
      </c>
      <c r="Q1730" s="4" t="str">
        <f t="shared" ref="Q1730:Q1793" si="191">IF(F1730&lt;=2,"Small Order",IF(F1730&lt;=5,"Medium Order",IF(F1730&lt;=10,"Large Order","Bulk Order")))</f>
        <v>Medium Order</v>
      </c>
      <c r="R1730" s="4" t="str">
        <f t="shared" ref="R1730:R1793" si="192">IF(WEEKDAY(C1730,2)&gt;5,"Weekend","Weekday")</f>
        <v>Weekend</v>
      </c>
      <c r="S1730" s="4" t="str">
        <f t="shared" ref="S1730:S1793" si="193">IF(K1730&gt;=100,"High Value","Regular")</f>
        <v>Regular</v>
      </c>
    </row>
    <row r="1731" spans="1:19" x14ac:dyDescent="0.3">
      <c r="A1731">
        <v>4971</v>
      </c>
      <c r="B1731" t="s">
        <v>8</v>
      </c>
      <c r="C1731" s="1">
        <v>45398</v>
      </c>
      <c r="D1731" t="s">
        <v>9</v>
      </c>
      <c r="E1731" t="s">
        <v>7</v>
      </c>
      <c r="F1731">
        <v>4</v>
      </c>
      <c r="G1731">
        <v>15.2</v>
      </c>
      <c r="H1731">
        <v>60.8</v>
      </c>
      <c r="I1731" t="str">
        <f t="shared" si="189"/>
        <v>No Discount</v>
      </c>
      <c r="J1731">
        <v>0</v>
      </c>
      <c r="K1731">
        <f t="shared" ref="K1731:K1794" si="194">MAX(0,H1731-J1731)</f>
        <v>60.8</v>
      </c>
      <c r="L1731" t="str">
        <f t="shared" ref="L1731:L1794" si="195">TEXT(C1731,"mmmm")</f>
        <v>April</v>
      </c>
      <c r="M1731">
        <f>YEAR(C1731)</f>
        <v>2024</v>
      </c>
      <c r="N1731">
        <v>403</v>
      </c>
      <c r="O1731" t="str">
        <f>IF(N1731&gt;=200,"Platinum",IF(N1731&gt;=100,"Gold",IF(N1731&gt;=50,"Silver","Regular")))</f>
        <v>Platinum</v>
      </c>
      <c r="P1731" s="4" t="str">
        <f t="shared" si="190"/>
        <v>Tuesday</v>
      </c>
      <c r="Q1731" s="4" t="str">
        <f t="shared" si="191"/>
        <v>Medium Order</v>
      </c>
      <c r="R1731" s="4" t="str">
        <f t="shared" si="192"/>
        <v>Weekday</v>
      </c>
      <c r="S1731" s="4" t="str">
        <f t="shared" si="193"/>
        <v>Regular</v>
      </c>
    </row>
    <row r="1732" spans="1:19" x14ac:dyDescent="0.3">
      <c r="A1732">
        <v>9806</v>
      </c>
      <c r="B1732" t="s">
        <v>8</v>
      </c>
      <c r="C1732" s="1">
        <v>45767</v>
      </c>
      <c r="D1732" t="s">
        <v>24</v>
      </c>
      <c r="E1732" t="s">
        <v>32</v>
      </c>
      <c r="F1732">
        <v>5</v>
      </c>
      <c r="G1732">
        <v>11.94</v>
      </c>
      <c r="H1732">
        <v>59.7</v>
      </c>
      <c r="I1732" t="str">
        <f t="shared" si="189"/>
        <v>No Discount</v>
      </c>
      <c r="J1732">
        <v>0</v>
      </c>
      <c r="K1732">
        <f t="shared" si="194"/>
        <v>59.7</v>
      </c>
      <c r="L1732" t="str">
        <f t="shared" si="195"/>
        <v>April</v>
      </c>
      <c r="M1732">
        <f>YEAR(C1732)</f>
        <v>2025</v>
      </c>
      <c r="N1732">
        <v>486</v>
      </c>
      <c r="O1732" t="str">
        <f>IF(N1732&gt;=200,"Platinum",IF(N1732&gt;=100,"Gold",IF(N1732&gt;=50,"Silver","Regular")))</f>
        <v>Platinum</v>
      </c>
      <c r="P1732" s="4" t="str">
        <f t="shared" si="190"/>
        <v>Sunday</v>
      </c>
      <c r="Q1732" s="4" t="str">
        <f t="shared" si="191"/>
        <v>Medium Order</v>
      </c>
      <c r="R1732" s="4" t="str">
        <f t="shared" si="192"/>
        <v>Weekend</v>
      </c>
      <c r="S1732" s="4" t="str">
        <f t="shared" si="193"/>
        <v>Regular</v>
      </c>
    </row>
    <row r="1733" spans="1:19" x14ac:dyDescent="0.3">
      <c r="A1733">
        <v>1611</v>
      </c>
      <c r="B1733" t="s">
        <v>31</v>
      </c>
      <c r="C1733" s="1">
        <v>45854</v>
      </c>
      <c r="D1733" t="s">
        <v>6</v>
      </c>
      <c r="E1733" t="s">
        <v>10</v>
      </c>
      <c r="F1733">
        <v>4</v>
      </c>
      <c r="G1733">
        <v>14.89</v>
      </c>
      <c r="H1733">
        <v>59.56</v>
      </c>
      <c r="I1733" t="str">
        <f t="shared" si="189"/>
        <v>No Discount</v>
      </c>
      <c r="J1733">
        <v>0</v>
      </c>
      <c r="K1733">
        <f t="shared" si="194"/>
        <v>59.56</v>
      </c>
      <c r="L1733" t="str">
        <f t="shared" si="195"/>
        <v>July</v>
      </c>
      <c r="M1733">
        <f>YEAR(C1733)</f>
        <v>2025</v>
      </c>
      <c r="N1733">
        <v>261</v>
      </c>
      <c r="O1733" t="str">
        <f>IF(N1733&gt;=200,"Platinum",IF(N1733&gt;=100,"Gold",IF(N1733&gt;=50,"Silver","Regular")))</f>
        <v>Platinum</v>
      </c>
      <c r="P1733" s="4" t="str">
        <f t="shared" si="190"/>
        <v>Wednesday</v>
      </c>
      <c r="Q1733" s="4" t="str">
        <f t="shared" si="191"/>
        <v>Medium Order</v>
      </c>
      <c r="R1733" s="4" t="str">
        <f t="shared" si="192"/>
        <v>Weekday</v>
      </c>
      <c r="S1733" s="4" t="str">
        <f t="shared" si="193"/>
        <v>Regular</v>
      </c>
    </row>
    <row r="1734" spans="1:19" x14ac:dyDescent="0.3">
      <c r="A1734">
        <v>2204</v>
      </c>
      <c r="B1734" t="s">
        <v>20</v>
      </c>
      <c r="C1734" s="1">
        <v>45208</v>
      </c>
      <c r="D1734" t="s">
        <v>6</v>
      </c>
      <c r="E1734" t="s">
        <v>30</v>
      </c>
      <c r="F1734">
        <v>5</v>
      </c>
      <c r="G1734">
        <v>11.9</v>
      </c>
      <c r="H1734">
        <v>59.5</v>
      </c>
      <c r="I1734" t="str">
        <f t="shared" si="189"/>
        <v>No Discount</v>
      </c>
      <c r="J1734">
        <v>0</v>
      </c>
      <c r="K1734">
        <f t="shared" si="194"/>
        <v>59.5</v>
      </c>
      <c r="L1734" t="str">
        <f t="shared" si="195"/>
        <v>October</v>
      </c>
      <c r="M1734">
        <f>YEAR(C1734)</f>
        <v>2023</v>
      </c>
      <c r="N1734">
        <v>482</v>
      </c>
      <c r="O1734" t="str">
        <f>IF(N1734&gt;=200,"Platinum",IF(N1734&gt;=100,"Gold",IF(N1734&gt;=50,"Silver","Regular")))</f>
        <v>Platinum</v>
      </c>
      <c r="P1734" s="4" t="str">
        <f t="shared" si="190"/>
        <v>Monday</v>
      </c>
      <c r="Q1734" s="4" t="str">
        <f t="shared" si="191"/>
        <v>Medium Order</v>
      </c>
      <c r="R1734" s="4" t="str">
        <f t="shared" si="192"/>
        <v>Weekday</v>
      </c>
      <c r="S1734" s="4" t="str">
        <f t="shared" si="193"/>
        <v>Regular</v>
      </c>
    </row>
    <row r="1735" spans="1:19" x14ac:dyDescent="0.3">
      <c r="A1735">
        <v>7592</v>
      </c>
      <c r="B1735" t="s">
        <v>31</v>
      </c>
      <c r="C1735" s="1">
        <v>45686</v>
      </c>
      <c r="D1735" t="s">
        <v>24</v>
      </c>
      <c r="E1735" t="s">
        <v>10</v>
      </c>
      <c r="F1735">
        <v>3</v>
      </c>
      <c r="G1735">
        <v>19.72</v>
      </c>
      <c r="H1735">
        <v>59.16</v>
      </c>
      <c r="I1735" t="str">
        <f t="shared" si="189"/>
        <v>No Discount</v>
      </c>
      <c r="J1735">
        <v>0</v>
      </c>
      <c r="K1735">
        <f t="shared" si="194"/>
        <v>59.16</v>
      </c>
      <c r="L1735" t="str">
        <f t="shared" si="195"/>
        <v>January</v>
      </c>
      <c r="M1735">
        <f>YEAR(C1735)</f>
        <v>2025</v>
      </c>
      <c r="N1735">
        <v>464</v>
      </c>
      <c r="O1735" t="str">
        <f>IF(N1735&gt;=200,"Platinum",IF(N1735&gt;=100,"Gold",IF(N1735&gt;=50,"Silver","Regular")))</f>
        <v>Platinum</v>
      </c>
      <c r="P1735" s="4" t="str">
        <f t="shared" si="190"/>
        <v>Wednesday</v>
      </c>
      <c r="Q1735" s="4" t="str">
        <f t="shared" si="191"/>
        <v>Medium Order</v>
      </c>
      <c r="R1735" s="4" t="str">
        <f t="shared" si="192"/>
        <v>Weekday</v>
      </c>
      <c r="S1735" s="4" t="str">
        <f t="shared" si="193"/>
        <v>Regular</v>
      </c>
    </row>
    <row r="1736" spans="1:19" x14ac:dyDescent="0.3">
      <c r="A1736">
        <v>3697</v>
      </c>
      <c r="B1736" t="s">
        <v>25</v>
      </c>
      <c r="C1736" s="1">
        <v>45270</v>
      </c>
      <c r="D1736" t="s">
        <v>27</v>
      </c>
      <c r="E1736" t="s">
        <v>36</v>
      </c>
      <c r="F1736">
        <v>4</v>
      </c>
      <c r="G1736">
        <v>14.73</v>
      </c>
      <c r="H1736">
        <v>58.92</v>
      </c>
      <c r="I1736" t="str">
        <f t="shared" si="189"/>
        <v>No Discount</v>
      </c>
      <c r="J1736">
        <v>0</v>
      </c>
      <c r="K1736">
        <f t="shared" si="194"/>
        <v>58.92</v>
      </c>
      <c r="L1736" t="str">
        <f t="shared" si="195"/>
        <v>December</v>
      </c>
      <c r="M1736">
        <f>YEAR(C1736)</f>
        <v>2023</v>
      </c>
      <c r="N1736">
        <v>297</v>
      </c>
      <c r="O1736" t="str">
        <f>IF(N1736&gt;=200,"Platinum",IF(N1736&gt;=100,"Gold",IF(N1736&gt;=50,"Silver","Regular")))</f>
        <v>Platinum</v>
      </c>
      <c r="P1736" s="4" t="str">
        <f t="shared" si="190"/>
        <v>Sunday</v>
      </c>
      <c r="Q1736" s="4" t="str">
        <f t="shared" si="191"/>
        <v>Medium Order</v>
      </c>
      <c r="R1736" s="4" t="str">
        <f t="shared" si="192"/>
        <v>Weekend</v>
      </c>
      <c r="S1736" s="4" t="str">
        <f t="shared" si="193"/>
        <v>Regular</v>
      </c>
    </row>
    <row r="1737" spans="1:19" x14ac:dyDescent="0.3">
      <c r="A1737">
        <v>2392</v>
      </c>
      <c r="B1737" t="s">
        <v>15</v>
      </c>
      <c r="C1737" s="1">
        <v>45229</v>
      </c>
      <c r="D1737" t="s">
        <v>17</v>
      </c>
      <c r="E1737" t="s">
        <v>5</v>
      </c>
      <c r="F1737">
        <v>4</v>
      </c>
      <c r="G1737">
        <v>14.72</v>
      </c>
      <c r="H1737">
        <v>58.88</v>
      </c>
      <c r="I1737" t="str">
        <f t="shared" si="189"/>
        <v>No Discount</v>
      </c>
      <c r="J1737">
        <v>0</v>
      </c>
      <c r="K1737">
        <f t="shared" si="194"/>
        <v>58.88</v>
      </c>
      <c r="L1737" t="str">
        <f t="shared" si="195"/>
        <v>October</v>
      </c>
      <c r="M1737">
        <f>YEAR(C1737)</f>
        <v>2023</v>
      </c>
      <c r="N1737">
        <v>124</v>
      </c>
      <c r="O1737" t="str">
        <f>IF(N1737&gt;=200,"Platinum",IF(N1737&gt;=100,"Gold",IF(N1737&gt;=50,"Silver","Regular")))</f>
        <v>Gold</v>
      </c>
      <c r="P1737" s="4" t="str">
        <f t="shared" si="190"/>
        <v>Monday</v>
      </c>
      <c r="Q1737" s="4" t="str">
        <f t="shared" si="191"/>
        <v>Medium Order</v>
      </c>
      <c r="R1737" s="4" t="str">
        <f t="shared" si="192"/>
        <v>Weekday</v>
      </c>
      <c r="S1737" s="4" t="str">
        <f t="shared" si="193"/>
        <v>Regular</v>
      </c>
    </row>
    <row r="1738" spans="1:19" x14ac:dyDescent="0.3">
      <c r="A1738">
        <v>3826</v>
      </c>
      <c r="B1738" t="s">
        <v>31</v>
      </c>
      <c r="C1738" s="1">
        <v>45777</v>
      </c>
      <c r="D1738" t="s">
        <v>24</v>
      </c>
      <c r="E1738" t="s">
        <v>37</v>
      </c>
      <c r="F1738">
        <v>3</v>
      </c>
      <c r="G1738">
        <v>19.61</v>
      </c>
      <c r="H1738">
        <v>58.83</v>
      </c>
      <c r="I1738" t="str">
        <f t="shared" si="189"/>
        <v>No Discount</v>
      </c>
      <c r="J1738">
        <v>0</v>
      </c>
      <c r="K1738">
        <f t="shared" si="194"/>
        <v>58.83</v>
      </c>
      <c r="L1738" t="str">
        <f t="shared" si="195"/>
        <v>April</v>
      </c>
      <c r="M1738">
        <f>YEAR(C1738)</f>
        <v>2025</v>
      </c>
      <c r="N1738">
        <v>37</v>
      </c>
      <c r="O1738" t="str">
        <f>IF(N1738&gt;=200,"Platinum",IF(N1738&gt;=100,"Gold",IF(N1738&gt;=50,"Silver","Regular")))</f>
        <v>Regular</v>
      </c>
      <c r="P1738" s="4" t="str">
        <f t="shared" si="190"/>
        <v>Wednesday</v>
      </c>
      <c r="Q1738" s="4" t="str">
        <f t="shared" si="191"/>
        <v>Medium Order</v>
      </c>
      <c r="R1738" s="4" t="str">
        <f t="shared" si="192"/>
        <v>Weekday</v>
      </c>
      <c r="S1738" s="4" t="str">
        <f t="shared" si="193"/>
        <v>Regular</v>
      </c>
    </row>
    <row r="1739" spans="1:19" x14ac:dyDescent="0.3">
      <c r="A1739">
        <v>7786</v>
      </c>
      <c r="B1739" t="s">
        <v>20</v>
      </c>
      <c r="C1739" s="1">
        <v>45436</v>
      </c>
      <c r="D1739" t="s">
        <v>9</v>
      </c>
      <c r="E1739" t="s">
        <v>29</v>
      </c>
      <c r="F1739">
        <v>2</v>
      </c>
      <c r="G1739">
        <v>29.4</v>
      </c>
      <c r="H1739">
        <v>58.8</v>
      </c>
      <c r="I1739" t="str">
        <f t="shared" si="189"/>
        <v>No Discount</v>
      </c>
      <c r="J1739">
        <v>0</v>
      </c>
      <c r="K1739">
        <f t="shared" si="194"/>
        <v>58.8</v>
      </c>
      <c r="L1739" t="str">
        <f t="shared" si="195"/>
        <v>May</v>
      </c>
      <c r="M1739">
        <f>YEAR(C1739)</f>
        <v>2024</v>
      </c>
      <c r="N1739">
        <v>7</v>
      </c>
      <c r="O1739" t="str">
        <f>IF(N1739&gt;=200,"Platinum",IF(N1739&gt;=100,"Gold",IF(N1739&gt;=50,"Silver","Regular")))</f>
        <v>Regular</v>
      </c>
      <c r="P1739" s="4" t="str">
        <f t="shared" si="190"/>
        <v>Friday</v>
      </c>
      <c r="Q1739" s="4" t="str">
        <f t="shared" si="191"/>
        <v>Small Order</v>
      </c>
      <c r="R1739" s="4" t="str">
        <f t="shared" si="192"/>
        <v>Weekday</v>
      </c>
      <c r="S1739" s="4" t="str">
        <f t="shared" si="193"/>
        <v>Regular</v>
      </c>
    </row>
    <row r="1740" spans="1:19" x14ac:dyDescent="0.3">
      <c r="A1740">
        <v>4113</v>
      </c>
      <c r="B1740" t="s">
        <v>3</v>
      </c>
      <c r="C1740" s="1">
        <v>45720</v>
      </c>
      <c r="D1740" t="s">
        <v>16</v>
      </c>
      <c r="E1740" t="s">
        <v>28</v>
      </c>
      <c r="F1740">
        <v>2</v>
      </c>
      <c r="G1740">
        <v>29.37</v>
      </c>
      <c r="H1740">
        <v>58.74</v>
      </c>
      <c r="I1740" t="str">
        <f t="shared" si="189"/>
        <v>No Discount</v>
      </c>
      <c r="J1740">
        <v>0</v>
      </c>
      <c r="K1740">
        <f t="shared" si="194"/>
        <v>58.74</v>
      </c>
      <c r="L1740" t="str">
        <f t="shared" si="195"/>
        <v>March</v>
      </c>
      <c r="M1740">
        <f>YEAR(C1740)</f>
        <v>2025</v>
      </c>
      <c r="N1740">
        <v>438</v>
      </c>
      <c r="O1740" t="str">
        <f>IF(N1740&gt;=200,"Platinum",IF(N1740&gt;=100,"Gold",IF(N1740&gt;=50,"Silver","Regular")))</f>
        <v>Platinum</v>
      </c>
      <c r="P1740" s="4" t="str">
        <f t="shared" si="190"/>
        <v>Tuesday</v>
      </c>
      <c r="Q1740" s="4" t="str">
        <f t="shared" si="191"/>
        <v>Small Order</v>
      </c>
      <c r="R1740" s="4" t="str">
        <f t="shared" si="192"/>
        <v>Weekday</v>
      </c>
      <c r="S1740" s="4" t="str">
        <f t="shared" si="193"/>
        <v>Regular</v>
      </c>
    </row>
    <row r="1741" spans="1:19" x14ac:dyDescent="0.3">
      <c r="A1741">
        <v>9775</v>
      </c>
      <c r="B1741" t="s">
        <v>31</v>
      </c>
      <c r="C1741" s="1">
        <v>45707</v>
      </c>
      <c r="D1741" t="s">
        <v>23</v>
      </c>
      <c r="E1741" t="s">
        <v>33</v>
      </c>
      <c r="F1741">
        <v>3</v>
      </c>
      <c r="G1741">
        <v>19.46</v>
      </c>
      <c r="H1741">
        <v>58.38</v>
      </c>
      <c r="I1741" t="str">
        <f t="shared" si="189"/>
        <v>No Discount</v>
      </c>
      <c r="J1741">
        <v>0</v>
      </c>
      <c r="K1741">
        <f t="shared" si="194"/>
        <v>58.38</v>
      </c>
      <c r="L1741" t="str">
        <f t="shared" si="195"/>
        <v>February</v>
      </c>
      <c r="M1741">
        <f>YEAR(C1741)</f>
        <v>2025</v>
      </c>
      <c r="N1741">
        <v>361</v>
      </c>
      <c r="O1741" t="str">
        <f>IF(N1741&gt;=200,"Platinum",IF(N1741&gt;=100,"Gold",IF(N1741&gt;=50,"Silver","Regular")))</f>
        <v>Platinum</v>
      </c>
      <c r="P1741" s="4" t="str">
        <f t="shared" si="190"/>
        <v>Wednesday</v>
      </c>
      <c r="Q1741" s="4" t="str">
        <f t="shared" si="191"/>
        <v>Medium Order</v>
      </c>
      <c r="R1741" s="4" t="str">
        <f t="shared" si="192"/>
        <v>Weekday</v>
      </c>
      <c r="S1741" s="4" t="str">
        <f t="shared" si="193"/>
        <v>Regular</v>
      </c>
    </row>
    <row r="1742" spans="1:19" x14ac:dyDescent="0.3">
      <c r="A1742">
        <v>2924</v>
      </c>
      <c r="B1742" t="s">
        <v>3</v>
      </c>
      <c r="C1742" s="1">
        <v>45648</v>
      </c>
      <c r="D1742" t="s">
        <v>4</v>
      </c>
      <c r="E1742" t="s">
        <v>37</v>
      </c>
      <c r="F1742">
        <v>2</v>
      </c>
      <c r="G1742">
        <v>29.17</v>
      </c>
      <c r="H1742">
        <v>58.34</v>
      </c>
      <c r="I1742" t="str">
        <f t="shared" si="189"/>
        <v>No Discount</v>
      </c>
      <c r="J1742">
        <v>0</v>
      </c>
      <c r="K1742">
        <f t="shared" si="194"/>
        <v>58.34</v>
      </c>
      <c r="L1742" t="str">
        <f t="shared" si="195"/>
        <v>December</v>
      </c>
      <c r="M1742">
        <f>YEAR(C1742)</f>
        <v>2024</v>
      </c>
      <c r="N1742">
        <v>395</v>
      </c>
      <c r="O1742" t="str">
        <f>IF(N1742&gt;=200,"Platinum",IF(N1742&gt;=100,"Gold",IF(N1742&gt;=50,"Silver","Regular")))</f>
        <v>Platinum</v>
      </c>
      <c r="P1742" s="4" t="str">
        <f t="shared" si="190"/>
        <v>Sunday</v>
      </c>
      <c r="Q1742" s="4" t="str">
        <f t="shared" si="191"/>
        <v>Small Order</v>
      </c>
      <c r="R1742" s="4" t="str">
        <f t="shared" si="192"/>
        <v>Weekend</v>
      </c>
      <c r="S1742" s="4" t="str">
        <f t="shared" si="193"/>
        <v>Regular</v>
      </c>
    </row>
    <row r="1743" spans="1:19" x14ac:dyDescent="0.3">
      <c r="A1743">
        <v>5889</v>
      </c>
      <c r="B1743" t="s">
        <v>15</v>
      </c>
      <c r="C1743" s="1">
        <v>45798</v>
      </c>
      <c r="D1743" t="s">
        <v>4</v>
      </c>
      <c r="E1743" t="s">
        <v>5</v>
      </c>
      <c r="F1743">
        <v>3</v>
      </c>
      <c r="G1743">
        <v>19.420000000000002</v>
      </c>
      <c r="H1743">
        <v>58.26</v>
      </c>
      <c r="I1743" t="str">
        <f t="shared" si="189"/>
        <v>No Discount</v>
      </c>
      <c r="J1743">
        <v>0</v>
      </c>
      <c r="K1743">
        <f t="shared" si="194"/>
        <v>58.26</v>
      </c>
      <c r="L1743" t="str">
        <f t="shared" si="195"/>
        <v>May</v>
      </c>
      <c r="M1743">
        <f>YEAR(C1743)</f>
        <v>2025</v>
      </c>
      <c r="N1743">
        <v>424</v>
      </c>
      <c r="O1743" t="str">
        <f>IF(N1743&gt;=200,"Platinum",IF(N1743&gt;=100,"Gold",IF(N1743&gt;=50,"Silver","Regular")))</f>
        <v>Platinum</v>
      </c>
      <c r="P1743" s="4" t="str">
        <f t="shared" si="190"/>
        <v>Wednesday</v>
      </c>
      <c r="Q1743" s="4" t="str">
        <f t="shared" si="191"/>
        <v>Medium Order</v>
      </c>
      <c r="R1743" s="4" t="str">
        <f t="shared" si="192"/>
        <v>Weekday</v>
      </c>
      <c r="S1743" s="4" t="str">
        <f t="shared" si="193"/>
        <v>Regular</v>
      </c>
    </row>
    <row r="1744" spans="1:19" x14ac:dyDescent="0.3">
      <c r="A1744">
        <v>3877</v>
      </c>
      <c r="B1744" t="s">
        <v>13</v>
      </c>
      <c r="C1744" s="1">
        <v>45237</v>
      </c>
      <c r="D1744" t="s">
        <v>23</v>
      </c>
      <c r="E1744" t="s">
        <v>37</v>
      </c>
      <c r="F1744">
        <v>2</v>
      </c>
      <c r="G1744">
        <v>28.88</v>
      </c>
      <c r="H1744">
        <v>57.76</v>
      </c>
      <c r="I1744" t="str">
        <f t="shared" si="189"/>
        <v>No Discount</v>
      </c>
      <c r="J1744">
        <v>0</v>
      </c>
      <c r="K1744">
        <f t="shared" si="194"/>
        <v>57.76</v>
      </c>
      <c r="L1744" t="str">
        <f t="shared" si="195"/>
        <v>November</v>
      </c>
      <c r="M1744">
        <f>YEAR(C1744)</f>
        <v>2023</v>
      </c>
      <c r="N1744">
        <v>164</v>
      </c>
      <c r="O1744" t="str">
        <f>IF(N1744&gt;=200,"Platinum",IF(N1744&gt;=100,"Gold",IF(N1744&gt;=50,"Silver","Regular")))</f>
        <v>Gold</v>
      </c>
      <c r="P1744" s="4" t="str">
        <f t="shared" si="190"/>
        <v>Tuesday</v>
      </c>
      <c r="Q1744" s="4" t="str">
        <f t="shared" si="191"/>
        <v>Small Order</v>
      </c>
      <c r="R1744" s="4" t="str">
        <f t="shared" si="192"/>
        <v>Weekday</v>
      </c>
      <c r="S1744" s="4" t="str">
        <f t="shared" si="193"/>
        <v>Regular</v>
      </c>
    </row>
    <row r="1745" spans="1:19" x14ac:dyDescent="0.3">
      <c r="A1745">
        <v>1829</v>
      </c>
      <c r="B1745" t="s">
        <v>31</v>
      </c>
      <c r="C1745" s="1">
        <v>45370</v>
      </c>
      <c r="D1745" t="s">
        <v>16</v>
      </c>
      <c r="E1745" t="s">
        <v>32</v>
      </c>
      <c r="F1745">
        <v>2</v>
      </c>
      <c r="G1745">
        <v>28.79</v>
      </c>
      <c r="H1745">
        <v>57.58</v>
      </c>
      <c r="I1745" t="str">
        <f t="shared" si="189"/>
        <v>No Discount</v>
      </c>
      <c r="J1745">
        <v>0</v>
      </c>
      <c r="K1745">
        <f t="shared" si="194"/>
        <v>57.58</v>
      </c>
      <c r="L1745" t="str">
        <f t="shared" si="195"/>
        <v>March</v>
      </c>
      <c r="M1745">
        <f>YEAR(C1745)</f>
        <v>2024</v>
      </c>
      <c r="N1745">
        <v>49</v>
      </c>
      <c r="O1745" t="str">
        <f>IF(N1745&gt;=200,"Platinum",IF(N1745&gt;=100,"Gold",IF(N1745&gt;=50,"Silver","Regular")))</f>
        <v>Regular</v>
      </c>
      <c r="P1745" s="4" t="str">
        <f t="shared" si="190"/>
        <v>Tuesday</v>
      </c>
      <c r="Q1745" s="4" t="str">
        <f t="shared" si="191"/>
        <v>Small Order</v>
      </c>
      <c r="R1745" s="4" t="str">
        <f t="shared" si="192"/>
        <v>Weekday</v>
      </c>
      <c r="S1745" s="4" t="str">
        <f t="shared" si="193"/>
        <v>Regular</v>
      </c>
    </row>
    <row r="1746" spans="1:19" x14ac:dyDescent="0.3">
      <c r="A1746">
        <v>9355</v>
      </c>
      <c r="B1746" t="s">
        <v>8</v>
      </c>
      <c r="C1746" s="1">
        <v>45295</v>
      </c>
      <c r="D1746" t="s">
        <v>9</v>
      </c>
      <c r="E1746" t="s">
        <v>18</v>
      </c>
      <c r="F1746">
        <v>3</v>
      </c>
      <c r="G1746">
        <v>19.170000000000002</v>
      </c>
      <c r="H1746">
        <v>57.51</v>
      </c>
      <c r="I1746" t="str">
        <f t="shared" si="189"/>
        <v>No Discount</v>
      </c>
      <c r="J1746">
        <v>0</v>
      </c>
      <c r="K1746">
        <f t="shared" si="194"/>
        <v>57.51</v>
      </c>
      <c r="L1746" t="str">
        <f t="shared" si="195"/>
        <v>January</v>
      </c>
      <c r="M1746">
        <f>YEAR(C1746)</f>
        <v>2024</v>
      </c>
      <c r="N1746">
        <v>360</v>
      </c>
      <c r="O1746" t="str">
        <f>IF(N1746&gt;=200,"Platinum",IF(N1746&gt;=100,"Gold",IF(N1746&gt;=50,"Silver","Regular")))</f>
        <v>Platinum</v>
      </c>
      <c r="P1746" s="4" t="str">
        <f t="shared" si="190"/>
        <v>Thursday</v>
      </c>
      <c r="Q1746" s="4" t="str">
        <f t="shared" si="191"/>
        <v>Medium Order</v>
      </c>
      <c r="R1746" s="4" t="str">
        <f t="shared" si="192"/>
        <v>Weekday</v>
      </c>
      <c r="S1746" s="4" t="str">
        <f t="shared" si="193"/>
        <v>Regular</v>
      </c>
    </row>
    <row r="1747" spans="1:19" x14ac:dyDescent="0.3">
      <c r="A1747">
        <v>3142</v>
      </c>
      <c r="B1747" t="s">
        <v>8</v>
      </c>
      <c r="C1747" s="1">
        <v>45735</v>
      </c>
      <c r="D1747" t="s">
        <v>11</v>
      </c>
      <c r="E1747" t="s">
        <v>22</v>
      </c>
      <c r="F1747">
        <v>4</v>
      </c>
      <c r="G1747">
        <v>14.37</v>
      </c>
      <c r="H1747">
        <v>57.48</v>
      </c>
      <c r="I1747" t="str">
        <f t="shared" si="189"/>
        <v>No Discount</v>
      </c>
      <c r="J1747">
        <v>0</v>
      </c>
      <c r="K1747">
        <f t="shared" si="194"/>
        <v>57.48</v>
      </c>
      <c r="L1747" t="str">
        <f t="shared" si="195"/>
        <v>March</v>
      </c>
      <c r="M1747">
        <f>YEAR(C1747)</f>
        <v>2025</v>
      </c>
      <c r="N1747">
        <v>42</v>
      </c>
      <c r="O1747" t="str">
        <f>IF(N1747&gt;=200,"Platinum",IF(N1747&gt;=100,"Gold",IF(N1747&gt;=50,"Silver","Regular")))</f>
        <v>Regular</v>
      </c>
      <c r="P1747" s="4" t="str">
        <f t="shared" si="190"/>
        <v>Wednesday</v>
      </c>
      <c r="Q1747" s="4" t="str">
        <f t="shared" si="191"/>
        <v>Medium Order</v>
      </c>
      <c r="R1747" s="4" t="str">
        <f t="shared" si="192"/>
        <v>Weekday</v>
      </c>
      <c r="S1747" s="4" t="str">
        <f t="shared" si="193"/>
        <v>Regular</v>
      </c>
    </row>
    <row r="1748" spans="1:19" x14ac:dyDescent="0.3">
      <c r="A1748">
        <v>5038</v>
      </c>
      <c r="B1748" t="s">
        <v>19</v>
      </c>
      <c r="C1748" s="1">
        <v>45361</v>
      </c>
      <c r="D1748" t="s">
        <v>9</v>
      </c>
      <c r="E1748" t="s">
        <v>18</v>
      </c>
      <c r="F1748">
        <v>4</v>
      </c>
      <c r="G1748">
        <v>14.22</v>
      </c>
      <c r="H1748">
        <v>56.88</v>
      </c>
      <c r="I1748" t="str">
        <f t="shared" si="189"/>
        <v>No Discount</v>
      </c>
      <c r="J1748">
        <v>0</v>
      </c>
      <c r="K1748">
        <f t="shared" si="194"/>
        <v>56.88</v>
      </c>
      <c r="L1748" t="str">
        <f t="shared" si="195"/>
        <v>March</v>
      </c>
      <c r="M1748">
        <f>YEAR(C1748)</f>
        <v>2024</v>
      </c>
      <c r="N1748">
        <v>483</v>
      </c>
      <c r="O1748" t="str">
        <f>IF(N1748&gt;=200,"Platinum",IF(N1748&gt;=100,"Gold",IF(N1748&gt;=50,"Silver","Regular")))</f>
        <v>Platinum</v>
      </c>
      <c r="P1748" s="4" t="str">
        <f t="shared" si="190"/>
        <v>Sunday</v>
      </c>
      <c r="Q1748" s="4" t="str">
        <f t="shared" si="191"/>
        <v>Medium Order</v>
      </c>
      <c r="R1748" s="4" t="str">
        <f t="shared" si="192"/>
        <v>Weekend</v>
      </c>
      <c r="S1748" s="4" t="str">
        <f t="shared" si="193"/>
        <v>Regular</v>
      </c>
    </row>
    <row r="1749" spans="1:19" x14ac:dyDescent="0.3">
      <c r="A1749">
        <v>9044</v>
      </c>
      <c r="B1749" t="s">
        <v>0</v>
      </c>
      <c r="C1749" s="1">
        <v>45592</v>
      </c>
      <c r="D1749" t="s">
        <v>17</v>
      </c>
      <c r="E1749" t="s">
        <v>33</v>
      </c>
      <c r="F1749">
        <v>2</v>
      </c>
      <c r="G1749">
        <v>28.41</v>
      </c>
      <c r="H1749">
        <v>56.82</v>
      </c>
      <c r="I1749" t="str">
        <f t="shared" si="189"/>
        <v>No Discount</v>
      </c>
      <c r="J1749">
        <v>0</v>
      </c>
      <c r="K1749">
        <f t="shared" si="194"/>
        <v>56.82</v>
      </c>
      <c r="L1749" t="str">
        <f t="shared" si="195"/>
        <v>October</v>
      </c>
      <c r="M1749">
        <f>YEAR(C1749)</f>
        <v>2024</v>
      </c>
      <c r="N1749">
        <v>426</v>
      </c>
      <c r="O1749" t="str">
        <f>IF(N1749&gt;=200,"Platinum",IF(N1749&gt;=100,"Gold",IF(N1749&gt;=50,"Silver","Regular")))</f>
        <v>Platinum</v>
      </c>
      <c r="P1749" s="4" t="str">
        <f t="shared" si="190"/>
        <v>Sunday</v>
      </c>
      <c r="Q1749" s="4" t="str">
        <f t="shared" si="191"/>
        <v>Small Order</v>
      </c>
      <c r="R1749" s="4" t="str">
        <f t="shared" si="192"/>
        <v>Weekend</v>
      </c>
      <c r="S1749" s="4" t="str">
        <f t="shared" si="193"/>
        <v>Regular</v>
      </c>
    </row>
    <row r="1750" spans="1:19" x14ac:dyDescent="0.3">
      <c r="A1750">
        <v>2885</v>
      </c>
      <c r="B1750" t="s">
        <v>0</v>
      </c>
      <c r="C1750" s="1">
        <v>45162</v>
      </c>
      <c r="D1750" t="s">
        <v>6</v>
      </c>
      <c r="E1750" t="s">
        <v>2</v>
      </c>
      <c r="F1750">
        <v>3</v>
      </c>
      <c r="G1750">
        <v>18.84</v>
      </c>
      <c r="H1750">
        <v>56.52</v>
      </c>
      <c r="I1750" t="str">
        <f t="shared" si="189"/>
        <v>No Discount</v>
      </c>
      <c r="J1750">
        <v>0</v>
      </c>
      <c r="K1750">
        <f t="shared" si="194"/>
        <v>56.52</v>
      </c>
      <c r="L1750" t="str">
        <f t="shared" si="195"/>
        <v>August</v>
      </c>
      <c r="M1750">
        <f>YEAR(C1750)</f>
        <v>2023</v>
      </c>
      <c r="N1750">
        <v>276</v>
      </c>
      <c r="O1750" t="str">
        <f>IF(N1750&gt;=200,"Platinum",IF(N1750&gt;=100,"Gold",IF(N1750&gt;=50,"Silver","Regular")))</f>
        <v>Platinum</v>
      </c>
      <c r="P1750" s="4" t="str">
        <f t="shared" si="190"/>
        <v>Thursday</v>
      </c>
      <c r="Q1750" s="4" t="str">
        <f t="shared" si="191"/>
        <v>Medium Order</v>
      </c>
      <c r="R1750" s="4" t="str">
        <f t="shared" si="192"/>
        <v>Weekday</v>
      </c>
      <c r="S1750" s="4" t="str">
        <f t="shared" si="193"/>
        <v>Regular</v>
      </c>
    </row>
    <row r="1751" spans="1:19" x14ac:dyDescent="0.3">
      <c r="A1751">
        <v>8075</v>
      </c>
      <c r="B1751" t="s">
        <v>13</v>
      </c>
      <c r="C1751" s="1">
        <v>45220</v>
      </c>
      <c r="D1751" t="s">
        <v>23</v>
      </c>
      <c r="E1751" t="s">
        <v>22</v>
      </c>
      <c r="F1751">
        <v>5</v>
      </c>
      <c r="G1751">
        <v>11.3</v>
      </c>
      <c r="H1751">
        <v>56.5</v>
      </c>
      <c r="I1751" t="str">
        <f t="shared" si="189"/>
        <v>No Discount</v>
      </c>
      <c r="J1751">
        <v>0</v>
      </c>
      <c r="K1751">
        <f t="shared" si="194"/>
        <v>56.5</v>
      </c>
      <c r="L1751" t="str">
        <f t="shared" si="195"/>
        <v>October</v>
      </c>
      <c r="M1751">
        <f>YEAR(C1751)</f>
        <v>2023</v>
      </c>
      <c r="N1751">
        <v>170</v>
      </c>
      <c r="O1751" t="str">
        <f>IF(N1751&gt;=200,"Platinum",IF(N1751&gt;=100,"Gold",IF(N1751&gt;=50,"Silver","Regular")))</f>
        <v>Gold</v>
      </c>
      <c r="P1751" s="4" t="str">
        <f t="shared" si="190"/>
        <v>Saturday</v>
      </c>
      <c r="Q1751" s="4" t="str">
        <f t="shared" si="191"/>
        <v>Medium Order</v>
      </c>
      <c r="R1751" s="4" t="str">
        <f t="shared" si="192"/>
        <v>Weekend</v>
      </c>
      <c r="S1751" s="4" t="str">
        <f t="shared" si="193"/>
        <v>Regular</v>
      </c>
    </row>
    <row r="1752" spans="1:19" x14ac:dyDescent="0.3">
      <c r="A1752">
        <v>2519</v>
      </c>
      <c r="B1752" t="s">
        <v>3</v>
      </c>
      <c r="C1752" s="1">
        <v>45440</v>
      </c>
      <c r="D1752" t="s">
        <v>17</v>
      </c>
      <c r="E1752" t="s">
        <v>5</v>
      </c>
      <c r="F1752">
        <v>2</v>
      </c>
      <c r="G1752">
        <v>27.93</v>
      </c>
      <c r="H1752">
        <v>55.86</v>
      </c>
      <c r="I1752" t="str">
        <f t="shared" si="189"/>
        <v>No Discount</v>
      </c>
      <c r="J1752">
        <v>0</v>
      </c>
      <c r="K1752">
        <f t="shared" si="194"/>
        <v>55.86</v>
      </c>
      <c r="L1752" t="str">
        <f t="shared" si="195"/>
        <v>May</v>
      </c>
      <c r="M1752">
        <f>YEAR(C1752)</f>
        <v>2024</v>
      </c>
      <c r="N1752">
        <v>386</v>
      </c>
      <c r="O1752" t="str">
        <f>IF(N1752&gt;=200,"Platinum",IF(N1752&gt;=100,"Gold",IF(N1752&gt;=50,"Silver","Regular")))</f>
        <v>Platinum</v>
      </c>
      <c r="P1752" s="4" t="str">
        <f t="shared" si="190"/>
        <v>Tuesday</v>
      </c>
      <c r="Q1752" s="4" t="str">
        <f t="shared" si="191"/>
        <v>Small Order</v>
      </c>
      <c r="R1752" s="4" t="str">
        <f t="shared" si="192"/>
        <v>Weekday</v>
      </c>
      <c r="S1752" s="4" t="str">
        <f t="shared" si="193"/>
        <v>Regular</v>
      </c>
    </row>
    <row r="1753" spans="1:19" x14ac:dyDescent="0.3">
      <c r="A1753">
        <v>4060</v>
      </c>
      <c r="B1753" t="s">
        <v>3</v>
      </c>
      <c r="C1753" s="1">
        <v>45530</v>
      </c>
      <c r="D1753" t="s">
        <v>17</v>
      </c>
      <c r="E1753" t="s">
        <v>30</v>
      </c>
      <c r="F1753">
        <v>4</v>
      </c>
      <c r="G1753">
        <v>13.93</v>
      </c>
      <c r="H1753">
        <v>55.72</v>
      </c>
      <c r="I1753" t="str">
        <f t="shared" si="189"/>
        <v>No Discount</v>
      </c>
      <c r="J1753">
        <v>0</v>
      </c>
      <c r="K1753">
        <f t="shared" si="194"/>
        <v>55.72</v>
      </c>
      <c r="L1753" t="str">
        <f t="shared" si="195"/>
        <v>August</v>
      </c>
      <c r="M1753">
        <f>YEAR(C1753)</f>
        <v>2024</v>
      </c>
      <c r="N1753">
        <v>105</v>
      </c>
      <c r="O1753" t="str">
        <f>IF(N1753&gt;=200,"Platinum",IF(N1753&gt;=100,"Gold",IF(N1753&gt;=50,"Silver","Regular")))</f>
        <v>Gold</v>
      </c>
      <c r="P1753" s="4" t="str">
        <f t="shared" si="190"/>
        <v>Monday</v>
      </c>
      <c r="Q1753" s="4" t="str">
        <f t="shared" si="191"/>
        <v>Medium Order</v>
      </c>
      <c r="R1753" s="4" t="str">
        <f t="shared" si="192"/>
        <v>Weekday</v>
      </c>
      <c r="S1753" s="4" t="str">
        <f t="shared" si="193"/>
        <v>Regular</v>
      </c>
    </row>
    <row r="1754" spans="1:19" x14ac:dyDescent="0.3">
      <c r="A1754">
        <v>5625</v>
      </c>
      <c r="B1754" t="s">
        <v>19</v>
      </c>
      <c r="C1754" s="1">
        <v>45745</v>
      </c>
      <c r="D1754" t="s">
        <v>11</v>
      </c>
      <c r="E1754" t="s">
        <v>36</v>
      </c>
      <c r="F1754">
        <v>3</v>
      </c>
      <c r="G1754">
        <v>18.53</v>
      </c>
      <c r="H1754">
        <v>55.59</v>
      </c>
      <c r="I1754" t="str">
        <f t="shared" si="189"/>
        <v>No Discount</v>
      </c>
      <c r="J1754">
        <v>0</v>
      </c>
      <c r="K1754">
        <f t="shared" si="194"/>
        <v>55.59</v>
      </c>
      <c r="L1754" t="str">
        <f t="shared" si="195"/>
        <v>March</v>
      </c>
      <c r="M1754">
        <f>YEAR(C1754)</f>
        <v>2025</v>
      </c>
      <c r="N1754">
        <v>274</v>
      </c>
      <c r="O1754" t="str">
        <f>IF(N1754&gt;=200,"Platinum",IF(N1754&gt;=100,"Gold",IF(N1754&gt;=50,"Silver","Regular")))</f>
        <v>Platinum</v>
      </c>
      <c r="P1754" s="4" t="str">
        <f t="shared" si="190"/>
        <v>Saturday</v>
      </c>
      <c r="Q1754" s="4" t="str">
        <f t="shared" si="191"/>
        <v>Medium Order</v>
      </c>
      <c r="R1754" s="4" t="str">
        <f t="shared" si="192"/>
        <v>Weekend</v>
      </c>
      <c r="S1754" s="4" t="str">
        <f t="shared" si="193"/>
        <v>Regular</v>
      </c>
    </row>
    <row r="1755" spans="1:19" x14ac:dyDescent="0.3">
      <c r="A1755">
        <v>5064</v>
      </c>
      <c r="B1755" t="s">
        <v>25</v>
      </c>
      <c r="C1755" s="1">
        <v>45150</v>
      </c>
      <c r="D1755" t="s">
        <v>16</v>
      </c>
      <c r="E1755" t="s">
        <v>26</v>
      </c>
      <c r="F1755">
        <v>2</v>
      </c>
      <c r="G1755">
        <v>27.72</v>
      </c>
      <c r="H1755">
        <v>55.44</v>
      </c>
      <c r="I1755" t="str">
        <f t="shared" si="189"/>
        <v>No Discount</v>
      </c>
      <c r="J1755">
        <v>0</v>
      </c>
      <c r="K1755">
        <f t="shared" si="194"/>
        <v>55.44</v>
      </c>
      <c r="L1755" t="str">
        <f t="shared" si="195"/>
        <v>August</v>
      </c>
      <c r="M1755">
        <f>YEAR(C1755)</f>
        <v>2023</v>
      </c>
      <c r="N1755">
        <v>350</v>
      </c>
      <c r="O1755" t="str">
        <f>IF(N1755&gt;=200,"Platinum",IF(N1755&gt;=100,"Gold",IF(N1755&gt;=50,"Silver","Regular")))</f>
        <v>Platinum</v>
      </c>
      <c r="P1755" s="4" t="str">
        <f t="shared" si="190"/>
        <v>Saturday</v>
      </c>
      <c r="Q1755" s="4" t="str">
        <f t="shared" si="191"/>
        <v>Small Order</v>
      </c>
      <c r="R1755" s="4" t="str">
        <f t="shared" si="192"/>
        <v>Weekend</v>
      </c>
      <c r="S1755" s="4" t="str">
        <f t="shared" si="193"/>
        <v>Regular</v>
      </c>
    </row>
    <row r="1756" spans="1:19" x14ac:dyDescent="0.3">
      <c r="A1756">
        <v>4131</v>
      </c>
      <c r="B1756" t="s">
        <v>0</v>
      </c>
      <c r="C1756" s="1">
        <v>45367</v>
      </c>
      <c r="D1756" t="s">
        <v>23</v>
      </c>
      <c r="E1756" t="s">
        <v>37</v>
      </c>
      <c r="F1756">
        <v>2</v>
      </c>
      <c r="G1756">
        <v>27.41</v>
      </c>
      <c r="H1756">
        <v>54.82</v>
      </c>
      <c r="I1756" t="str">
        <f t="shared" si="189"/>
        <v>No Discount</v>
      </c>
      <c r="J1756">
        <v>0</v>
      </c>
      <c r="K1756">
        <f t="shared" si="194"/>
        <v>54.82</v>
      </c>
      <c r="L1756" t="str">
        <f t="shared" si="195"/>
        <v>March</v>
      </c>
      <c r="M1756">
        <f>YEAR(C1756)</f>
        <v>2024</v>
      </c>
      <c r="N1756">
        <v>80</v>
      </c>
      <c r="O1756" t="str">
        <f>IF(N1756&gt;=200,"Platinum",IF(N1756&gt;=100,"Gold",IF(N1756&gt;=50,"Silver","Regular")))</f>
        <v>Silver</v>
      </c>
      <c r="P1756" s="4" t="str">
        <f t="shared" si="190"/>
        <v>Saturday</v>
      </c>
      <c r="Q1756" s="4" t="str">
        <f t="shared" si="191"/>
        <v>Small Order</v>
      </c>
      <c r="R1756" s="4" t="str">
        <f t="shared" si="192"/>
        <v>Weekend</v>
      </c>
      <c r="S1756" s="4" t="str">
        <f t="shared" si="193"/>
        <v>Regular</v>
      </c>
    </row>
    <row r="1757" spans="1:19" x14ac:dyDescent="0.3">
      <c r="A1757">
        <v>2638</v>
      </c>
      <c r="B1757" t="s">
        <v>0</v>
      </c>
      <c r="C1757" s="1">
        <v>45201</v>
      </c>
      <c r="D1757" t="s">
        <v>27</v>
      </c>
      <c r="E1757" t="s">
        <v>35</v>
      </c>
      <c r="F1757">
        <v>2</v>
      </c>
      <c r="G1757">
        <v>27.26</v>
      </c>
      <c r="H1757">
        <v>54.52</v>
      </c>
      <c r="I1757" t="str">
        <f t="shared" si="189"/>
        <v>No Discount</v>
      </c>
      <c r="J1757">
        <v>0</v>
      </c>
      <c r="K1757">
        <f t="shared" si="194"/>
        <v>54.52</v>
      </c>
      <c r="L1757" t="str">
        <f t="shared" si="195"/>
        <v>October</v>
      </c>
      <c r="M1757">
        <f>YEAR(C1757)</f>
        <v>2023</v>
      </c>
      <c r="N1757">
        <v>178</v>
      </c>
      <c r="O1757" t="str">
        <f>IF(N1757&gt;=200,"Platinum",IF(N1757&gt;=100,"Gold",IF(N1757&gt;=50,"Silver","Regular")))</f>
        <v>Gold</v>
      </c>
      <c r="P1757" s="4" t="str">
        <f t="shared" si="190"/>
        <v>Monday</v>
      </c>
      <c r="Q1757" s="4" t="str">
        <f t="shared" si="191"/>
        <v>Small Order</v>
      </c>
      <c r="R1757" s="4" t="str">
        <f t="shared" si="192"/>
        <v>Weekday</v>
      </c>
      <c r="S1757" s="4" t="str">
        <f t="shared" si="193"/>
        <v>Regular</v>
      </c>
    </row>
    <row r="1758" spans="1:19" x14ac:dyDescent="0.3">
      <c r="A1758">
        <v>2284</v>
      </c>
      <c r="B1758" t="s">
        <v>19</v>
      </c>
      <c r="C1758" s="1">
        <v>45533</v>
      </c>
      <c r="D1758" t="s">
        <v>4</v>
      </c>
      <c r="E1758" t="s">
        <v>10</v>
      </c>
      <c r="F1758">
        <v>3</v>
      </c>
      <c r="G1758">
        <v>18.14</v>
      </c>
      <c r="H1758">
        <v>54.42</v>
      </c>
      <c r="I1758" t="str">
        <f t="shared" si="189"/>
        <v>No Discount</v>
      </c>
      <c r="J1758">
        <v>0</v>
      </c>
      <c r="K1758">
        <f t="shared" si="194"/>
        <v>54.42</v>
      </c>
      <c r="L1758" t="str">
        <f t="shared" si="195"/>
        <v>August</v>
      </c>
      <c r="M1758">
        <f>YEAR(C1758)</f>
        <v>2024</v>
      </c>
      <c r="N1758">
        <v>315</v>
      </c>
      <c r="O1758" t="str">
        <f>IF(N1758&gt;=200,"Platinum",IF(N1758&gt;=100,"Gold",IF(N1758&gt;=50,"Silver","Regular")))</f>
        <v>Platinum</v>
      </c>
      <c r="P1758" s="4" t="str">
        <f t="shared" si="190"/>
        <v>Thursday</v>
      </c>
      <c r="Q1758" s="4" t="str">
        <f t="shared" si="191"/>
        <v>Medium Order</v>
      </c>
      <c r="R1758" s="4" t="str">
        <f t="shared" si="192"/>
        <v>Weekday</v>
      </c>
      <c r="S1758" s="4" t="str">
        <f t="shared" si="193"/>
        <v>Regular</v>
      </c>
    </row>
    <row r="1759" spans="1:19" x14ac:dyDescent="0.3">
      <c r="A1759">
        <v>6139</v>
      </c>
      <c r="B1759" t="s">
        <v>13</v>
      </c>
      <c r="C1759" s="1">
        <v>45483</v>
      </c>
      <c r="D1759" t="s">
        <v>17</v>
      </c>
      <c r="E1759" t="s">
        <v>26</v>
      </c>
      <c r="F1759">
        <v>5</v>
      </c>
      <c r="G1759">
        <v>10.74</v>
      </c>
      <c r="H1759">
        <v>53.7</v>
      </c>
      <c r="I1759" t="str">
        <f t="shared" si="189"/>
        <v>No Discount</v>
      </c>
      <c r="J1759">
        <v>0</v>
      </c>
      <c r="K1759">
        <f t="shared" si="194"/>
        <v>53.7</v>
      </c>
      <c r="L1759" t="str">
        <f t="shared" si="195"/>
        <v>July</v>
      </c>
      <c r="M1759">
        <f>YEAR(C1759)</f>
        <v>2024</v>
      </c>
      <c r="N1759">
        <v>424</v>
      </c>
      <c r="O1759" t="str">
        <f>IF(N1759&gt;=200,"Platinum",IF(N1759&gt;=100,"Gold",IF(N1759&gt;=50,"Silver","Regular")))</f>
        <v>Platinum</v>
      </c>
      <c r="P1759" s="4" t="str">
        <f t="shared" si="190"/>
        <v>Wednesday</v>
      </c>
      <c r="Q1759" s="4" t="str">
        <f t="shared" si="191"/>
        <v>Medium Order</v>
      </c>
      <c r="R1759" s="4" t="str">
        <f t="shared" si="192"/>
        <v>Weekday</v>
      </c>
      <c r="S1759" s="4" t="str">
        <f t="shared" si="193"/>
        <v>Regular</v>
      </c>
    </row>
    <row r="1760" spans="1:19" x14ac:dyDescent="0.3">
      <c r="A1760">
        <v>8019</v>
      </c>
      <c r="B1760" t="s">
        <v>0</v>
      </c>
      <c r="C1760" s="1">
        <v>45842</v>
      </c>
      <c r="D1760" t="s">
        <v>24</v>
      </c>
      <c r="E1760" t="s">
        <v>35</v>
      </c>
      <c r="F1760">
        <v>5</v>
      </c>
      <c r="G1760">
        <v>10.71</v>
      </c>
      <c r="H1760">
        <v>53.55</v>
      </c>
      <c r="I1760" t="str">
        <f t="shared" si="189"/>
        <v>No Discount</v>
      </c>
      <c r="J1760">
        <v>0</v>
      </c>
      <c r="K1760">
        <f t="shared" si="194"/>
        <v>53.55</v>
      </c>
      <c r="L1760" t="str">
        <f t="shared" si="195"/>
        <v>July</v>
      </c>
      <c r="M1760">
        <f>YEAR(C1760)</f>
        <v>2025</v>
      </c>
      <c r="N1760">
        <v>419</v>
      </c>
      <c r="O1760" t="str">
        <f>IF(N1760&gt;=200,"Platinum",IF(N1760&gt;=100,"Gold",IF(N1760&gt;=50,"Silver","Regular")))</f>
        <v>Platinum</v>
      </c>
      <c r="P1760" s="4" t="str">
        <f t="shared" si="190"/>
        <v>Friday</v>
      </c>
      <c r="Q1760" s="4" t="str">
        <f t="shared" si="191"/>
        <v>Medium Order</v>
      </c>
      <c r="R1760" s="4" t="str">
        <f t="shared" si="192"/>
        <v>Weekday</v>
      </c>
      <c r="S1760" s="4" t="str">
        <f t="shared" si="193"/>
        <v>Regular</v>
      </c>
    </row>
    <row r="1761" spans="1:19" x14ac:dyDescent="0.3">
      <c r="A1761">
        <v>4566</v>
      </c>
      <c r="B1761" t="s">
        <v>20</v>
      </c>
      <c r="C1761" s="1">
        <v>45190</v>
      </c>
      <c r="D1761" t="s">
        <v>1</v>
      </c>
      <c r="E1761" t="s">
        <v>36</v>
      </c>
      <c r="F1761">
        <v>4</v>
      </c>
      <c r="G1761">
        <v>13.35</v>
      </c>
      <c r="H1761">
        <v>53.4</v>
      </c>
      <c r="I1761" t="str">
        <f t="shared" si="189"/>
        <v>No Discount</v>
      </c>
      <c r="J1761">
        <v>0</v>
      </c>
      <c r="K1761">
        <f t="shared" si="194"/>
        <v>53.4</v>
      </c>
      <c r="L1761" t="str">
        <f t="shared" si="195"/>
        <v>September</v>
      </c>
      <c r="M1761">
        <f>YEAR(C1761)</f>
        <v>2023</v>
      </c>
      <c r="N1761">
        <v>55</v>
      </c>
      <c r="O1761" t="str">
        <f>IF(N1761&gt;=200,"Platinum",IF(N1761&gt;=100,"Gold",IF(N1761&gt;=50,"Silver","Regular")))</f>
        <v>Silver</v>
      </c>
      <c r="P1761" s="4" t="str">
        <f t="shared" si="190"/>
        <v>Thursday</v>
      </c>
      <c r="Q1761" s="4" t="str">
        <f t="shared" si="191"/>
        <v>Medium Order</v>
      </c>
      <c r="R1761" s="4" t="str">
        <f t="shared" si="192"/>
        <v>Weekday</v>
      </c>
      <c r="S1761" s="4" t="str">
        <f t="shared" si="193"/>
        <v>Regular</v>
      </c>
    </row>
    <row r="1762" spans="1:19" x14ac:dyDescent="0.3">
      <c r="A1762">
        <v>8933</v>
      </c>
      <c r="B1762" t="s">
        <v>0</v>
      </c>
      <c r="C1762" s="1">
        <v>45505</v>
      </c>
      <c r="D1762" t="s">
        <v>9</v>
      </c>
      <c r="E1762" t="s">
        <v>29</v>
      </c>
      <c r="F1762">
        <v>2</v>
      </c>
      <c r="G1762">
        <v>26.67</v>
      </c>
      <c r="H1762">
        <v>53.34</v>
      </c>
      <c r="I1762" t="str">
        <f t="shared" si="189"/>
        <v>No Discount</v>
      </c>
      <c r="J1762">
        <v>0</v>
      </c>
      <c r="K1762">
        <f t="shared" si="194"/>
        <v>53.34</v>
      </c>
      <c r="L1762" t="str">
        <f t="shared" si="195"/>
        <v>August</v>
      </c>
      <c r="M1762">
        <f>YEAR(C1762)</f>
        <v>2024</v>
      </c>
      <c r="N1762">
        <v>80</v>
      </c>
      <c r="O1762" t="str">
        <f>IF(N1762&gt;=200,"Platinum",IF(N1762&gt;=100,"Gold",IF(N1762&gt;=50,"Silver","Regular")))</f>
        <v>Silver</v>
      </c>
      <c r="P1762" s="4" t="str">
        <f t="shared" si="190"/>
        <v>Thursday</v>
      </c>
      <c r="Q1762" s="4" t="str">
        <f t="shared" si="191"/>
        <v>Small Order</v>
      </c>
      <c r="R1762" s="4" t="str">
        <f t="shared" si="192"/>
        <v>Weekday</v>
      </c>
      <c r="S1762" s="4" t="str">
        <f t="shared" si="193"/>
        <v>Regular</v>
      </c>
    </row>
    <row r="1763" spans="1:19" x14ac:dyDescent="0.3">
      <c r="A1763">
        <v>4637</v>
      </c>
      <c r="B1763" t="s">
        <v>20</v>
      </c>
      <c r="C1763" s="1">
        <v>45779</v>
      </c>
      <c r="D1763" t="s">
        <v>16</v>
      </c>
      <c r="E1763" t="s">
        <v>14</v>
      </c>
      <c r="F1763">
        <v>3</v>
      </c>
      <c r="G1763">
        <v>17.02</v>
      </c>
      <c r="H1763">
        <v>51.06</v>
      </c>
      <c r="I1763" t="str">
        <f t="shared" si="189"/>
        <v>No Discount</v>
      </c>
      <c r="J1763">
        <v>0</v>
      </c>
      <c r="K1763">
        <f t="shared" si="194"/>
        <v>51.06</v>
      </c>
      <c r="L1763" t="str">
        <f t="shared" si="195"/>
        <v>May</v>
      </c>
      <c r="M1763">
        <f>YEAR(C1763)</f>
        <v>2025</v>
      </c>
      <c r="N1763">
        <v>158</v>
      </c>
      <c r="O1763" t="str">
        <f>IF(N1763&gt;=200,"Platinum",IF(N1763&gt;=100,"Gold",IF(N1763&gt;=50,"Silver","Regular")))</f>
        <v>Gold</v>
      </c>
      <c r="P1763" s="4" t="str">
        <f t="shared" si="190"/>
        <v>Friday</v>
      </c>
      <c r="Q1763" s="4" t="str">
        <f t="shared" si="191"/>
        <v>Medium Order</v>
      </c>
      <c r="R1763" s="4" t="str">
        <f t="shared" si="192"/>
        <v>Weekday</v>
      </c>
      <c r="S1763" s="4" t="str">
        <f t="shared" si="193"/>
        <v>Regular</v>
      </c>
    </row>
    <row r="1764" spans="1:19" x14ac:dyDescent="0.3">
      <c r="A1764">
        <v>5037</v>
      </c>
      <c r="B1764" t="s">
        <v>0</v>
      </c>
      <c r="C1764" s="1">
        <v>45698</v>
      </c>
      <c r="D1764" t="s">
        <v>27</v>
      </c>
      <c r="E1764" t="s">
        <v>10</v>
      </c>
      <c r="F1764">
        <v>2</v>
      </c>
      <c r="G1764">
        <v>25.39</v>
      </c>
      <c r="H1764">
        <v>50.78</v>
      </c>
      <c r="I1764" t="str">
        <f t="shared" si="189"/>
        <v>No Discount</v>
      </c>
      <c r="J1764">
        <v>0</v>
      </c>
      <c r="K1764">
        <f t="shared" si="194"/>
        <v>50.78</v>
      </c>
      <c r="L1764" t="str">
        <f t="shared" si="195"/>
        <v>February</v>
      </c>
      <c r="M1764">
        <f>YEAR(C1764)</f>
        <v>2025</v>
      </c>
      <c r="N1764">
        <v>338</v>
      </c>
      <c r="O1764" t="str">
        <f>IF(N1764&gt;=200,"Platinum",IF(N1764&gt;=100,"Gold",IF(N1764&gt;=50,"Silver","Regular")))</f>
        <v>Platinum</v>
      </c>
      <c r="P1764" s="4" t="str">
        <f t="shared" si="190"/>
        <v>Monday</v>
      </c>
      <c r="Q1764" s="4" t="str">
        <f t="shared" si="191"/>
        <v>Small Order</v>
      </c>
      <c r="R1764" s="4" t="str">
        <f t="shared" si="192"/>
        <v>Weekday</v>
      </c>
      <c r="S1764" s="4" t="str">
        <f t="shared" si="193"/>
        <v>Regular</v>
      </c>
    </row>
    <row r="1765" spans="1:19" x14ac:dyDescent="0.3">
      <c r="A1765">
        <v>5616</v>
      </c>
      <c r="B1765" t="s">
        <v>3</v>
      </c>
      <c r="C1765" s="1">
        <v>45749</v>
      </c>
      <c r="D1765" t="s">
        <v>11</v>
      </c>
      <c r="E1765" t="s">
        <v>33</v>
      </c>
      <c r="F1765">
        <v>4</v>
      </c>
      <c r="G1765">
        <v>12.66</v>
      </c>
      <c r="H1765">
        <v>50.64</v>
      </c>
      <c r="I1765" t="str">
        <f t="shared" si="189"/>
        <v>No Discount</v>
      </c>
      <c r="J1765">
        <v>0</v>
      </c>
      <c r="K1765">
        <f t="shared" si="194"/>
        <v>50.64</v>
      </c>
      <c r="L1765" t="str">
        <f t="shared" si="195"/>
        <v>April</v>
      </c>
      <c r="M1765">
        <f>YEAR(C1765)</f>
        <v>2025</v>
      </c>
      <c r="N1765">
        <v>319</v>
      </c>
      <c r="O1765" t="str">
        <f>IF(N1765&gt;=200,"Platinum",IF(N1765&gt;=100,"Gold",IF(N1765&gt;=50,"Silver","Regular")))</f>
        <v>Platinum</v>
      </c>
      <c r="P1765" s="4" t="str">
        <f t="shared" si="190"/>
        <v>Wednesday</v>
      </c>
      <c r="Q1765" s="4" t="str">
        <f t="shared" si="191"/>
        <v>Medium Order</v>
      </c>
      <c r="R1765" s="4" t="str">
        <f t="shared" si="192"/>
        <v>Weekday</v>
      </c>
      <c r="S1765" s="4" t="str">
        <f t="shared" si="193"/>
        <v>Regular</v>
      </c>
    </row>
    <row r="1766" spans="1:19" x14ac:dyDescent="0.3">
      <c r="A1766">
        <v>9179</v>
      </c>
      <c r="B1766" t="s">
        <v>13</v>
      </c>
      <c r="C1766" s="1">
        <v>45452</v>
      </c>
      <c r="D1766" t="s">
        <v>4</v>
      </c>
      <c r="E1766" t="s">
        <v>10</v>
      </c>
      <c r="F1766">
        <v>5</v>
      </c>
      <c r="G1766">
        <v>10.09</v>
      </c>
      <c r="H1766">
        <v>50.45</v>
      </c>
      <c r="I1766" t="str">
        <f t="shared" si="189"/>
        <v>No Discount</v>
      </c>
      <c r="J1766">
        <v>0</v>
      </c>
      <c r="K1766">
        <f t="shared" si="194"/>
        <v>50.45</v>
      </c>
      <c r="L1766" t="str">
        <f t="shared" si="195"/>
        <v>June</v>
      </c>
      <c r="M1766">
        <f>YEAR(C1766)</f>
        <v>2024</v>
      </c>
      <c r="N1766">
        <v>434</v>
      </c>
      <c r="O1766" t="str">
        <f>IF(N1766&gt;=200,"Platinum",IF(N1766&gt;=100,"Gold",IF(N1766&gt;=50,"Silver","Regular")))</f>
        <v>Platinum</v>
      </c>
      <c r="P1766" s="4" t="str">
        <f t="shared" si="190"/>
        <v>Sunday</v>
      </c>
      <c r="Q1766" s="4" t="str">
        <f t="shared" si="191"/>
        <v>Medium Order</v>
      </c>
      <c r="R1766" s="4" t="str">
        <f t="shared" si="192"/>
        <v>Weekend</v>
      </c>
      <c r="S1766" s="4" t="str">
        <f t="shared" si="193"/>
        <v>Regular</v>
      </c>
    </row>
    <row r="1767" spans="1:19" x14ac:dyDescent="0.3">
      <c r="A1767">
        <v>6629</v>
      </c>
      <c r="B1767" t="s">
        <v>0</v>
      </c>
      <c r="C1767" s="1">
        <v>45779</v>
      </c>
      <c r="D1767" t="s">
        <v>27</v>
      </c>
      <c r="E1767" t="s">
        <v>36</v>
      </c>
      <c r="F1767">
        <v>5</v>
      </c>
      <c r="G1767">
        <v>10.08</v>
      </c>
      <c r="H1767">
        <v>50.4</v>
      </c>
      <c r="I1767" t="str">
        <f t="shared" si="189"/>
        <v>No Discount</v>
      </c>
      <c r="J1767">
        <v>0</v>
      </c>
      <c r="K1767">
        <f t="shared" si="194"/>
        <v>50.4</v>
      </c>
      <c r="L1767" t="str">
        <f t="shared" si="195"/>
        <v>May</v>
      </c>
      <c r="M1767">
        <f>YEAR(C1767)</f>
        <v>2025</v>
      </c>
      <c r="N1767">
        <v>413</v>
      </c>
      <c r="O1767" t="str">
        <f>IF(N1767&gt;=200,"Platinum",IF(N1767&gt;=100,"Gold",IF(N1767&gt;=50,"Silver","Regular")))</f>
        <v>Platinum</v>
      </c>
      <c r="P1767" s="4" t="str">
        <f t="shared" si="190"/>
        <v>Friday</v>
      </c>
      <c r="Q1767" s="4" t="str">
        <f t="shared" si="191"/>
        <v>Medium Order</v>
      </c>
      <c r="R1767" s="4" t="str">
        <f t="shared" si="192"/>
        <v>Weekday</v>
      </c>
      <c r="S1767" s="4" t="str">
        <f t="shared" si="193"/>
        <v>Regular</v>
      </c>
    </row>
    <row r="1768" spans="1:19" x14ac:dyDescent="0.3">
      <c r="A1768">
        <v>2692</v>
      </c>
      <c r="B1768" t="s">
        <v>20</v>
      </c>
      <c r="C1768" s="1">
        <v>45165</v>
      </c>
      <c r="D1768" t="s">
        <v>27</v>
      </c>
      <c r="E1768" t="s">
        <v>33</v>
      </c>
      <c r="F1768">
        <v>3</v>
      </c>
      <c r="G1768">
        <v>16.52</v>
      </c>
      <c r="H1768">
        <v>49.56</v>
      </c>
      <c r="I1768" t="str">
        <f t="shared" si="189"/>
        <v>No Discount</v>
      </c>
      <c r="J1768">
        <v>0</v>
      </c>
      <c r="K1768">
        <f t="shared" si="194"/>
        <v>49.56</v>
      </c>
      <c r="L1768" t="str">
        <f t="shared" si="195"/>
        <v>August</v>
      </c>
      <c r="M1768">
        <f>YEAR(C1768)</f>
        <v>2023</v>
      </c>
      <c r="N1768">
        <v>80</v>
      </c>
      <c r="O1768" t="str">
        <f>IF(N1768&gt;=200,"Platinum",IF(N1768&gt;=100,"Gold",IF(N1768&gt;=50,"Silver","Regular")))</f>
        <v>Silver</v>
      </c>
      <c r="P1768" s="4" t="str">
        <f t="shared" si="190"/>
        <v>Sunday</v>
      </c>
      <c r="Q1768" s="4" t="str">
        <f t="shared" si="191"/>
        <v>Medium Order</v>
      </c>
      <c r="R1768" s="4" t="str">
        <f t="shared" si="192"/>
        <v>Weekend</v>
      </c>
      <c r="S1768" s="4" t="str">
        <f t="shared" si="193"/>
        <v>Regular</v>
      </c>
    </row>
    <row r="1769" spans="1:19" x14ac:dyDescent="0.3">
      <c r="A1769">
        <v>8202</v>
      </c>
      <c r="B1769" t="s">
        <v>31</v>
      </c>
      <c r="C1769" s="1">
        <v>45467</v>
      </c>
      <c r="D1769" t="s">
        <v>23</v>
      </c>
      <c r="E1769" t="s">
        <v>5</v>
      </c>
      <c r="F1769">
        <v>4</v>
      </c>
      <c r="G1769">
        <v>12.15</v>
      </c>
      <c r="H1769">
        <v>48.6</v>
      </c>
      <c r="I1769" t="str">
        <f t="shared" si="189"/>
        <v>No Discount</v>
      </c>
      <c r="J1769">
        <v>0</v>
      </c>
      <c r="K1769">
        <f t="shared" si="194"/>
        <v>48.6</v>
      </c>
      <c r="L1769" t="str">
        <f t="shared" si="195"/>
        <v>June</v>
      </c>
      <c r="M1769">
        <f>YEAR(C1769)</f>
        <v>2024</v>
      </c>
      <c r="N1769">
        <v>337</v>
      </c>
      <c r="O1769" t="str">
        <f>IF(N1769&gt;=200,"Platinum",IF(N1769&gt;=100,"Gold",IF(N1769&gt;=50,"Silver","Regular")))</f>
        <v>Platinum</v>
      </c>
      <c r="P1769" s="4" t="str">
        <f t="shared" si="190"/>
        <v>Monday</v>
      </c>
      <c r="Q1769" s="4" t="str">
        <f t="shared" si="191"/>
        <v>Medium Order</v>
      </c>
      <c r="R1769" s="4" t="str">
        <f t="shared" si="192"/>
        <v>Weekday</v>
      </c>
      <c r="S1769" s="4" t="str">
        <f t="shared" si="193"/>
        <v>Regular</v>
      </c>
    </row>
    <row r="1770" spans="1:19" x14ac:dyDescent="0.3">
      <c r="A1770">
        <v>8007</v>
      </c>
      <c r="B1770" t="s">
        <v>8</v>
      </c>
      <c r="C1770" s="1">
        <v>45545</v>
      </c>
      <c r="D1770" t="s">
        <v>1</v>
      </c>
      <c r="E1770" t="s">
        <v>37</v>
      </c>
      <c r="F1770">
        <v>4</v>
      </c>
      <c r="G1770">
        <v>12.13</v>
      </c>
      <c r="H1770">
        <v>48.52</v>
      </c>
      <c r="I1770" t="str">
        <f t="shared" si="189"/>
        <v>No Discount</v>
      </c>
      <c r="J1770">
        <v>0</v>
      </c>
      <c r="K1770">
        <f t="shared" si="194"/>
        <v>48.52</v>
      </c>
      <c r="L1770" t="str">
        <f t="shared" si="195"/>
        <v>September</v>
      </c>
      <c r="M1770">
        <f>YEAR(C1770)</f>
        <v>2024</v>
      </c>
      <c r="N1770">
        <v>56</v>
      </c>
      <c r="O1770" t="str">
        <f>IF(N1770&gt;=200,"Platinum",IF(N1770&gt;=100,"Gold",IF(N1770&gt;=50,"Silver","Regular")))</f>
        <v>Silver</v>
      </c>
      <c r="P1770" s="4" t="str">
        <f t="shared" si="190"/>
        <v>Tuesday</v>
      </c>
      <c r="Q1770" s="4" t="str">
        <f t="shared" si="191"/>
        <v>Medium Order</v>
      </c>
      <c r="R1770" s="4" t="str">
        <f t="shared" si="192"/>
        <v>Weekday</v>
      </c>
      <c r="S1770" s="4" t="str">
        <f t="shared" si="193"/>
        <v>Regular</v>
      </c>
    </row>
    <row r="1771" spans="1:19" x14ac:dyDescent="0.3">
      <c r="A1771">
        <v>8827</v>
      </c>
      <c r="B1771" t="s">
        <v>13</v>
      </c>
      <c r="C1771" s="1">
        <v>45233</v>
      </c>
      <c r="D1771" t="s">
        <v>27</v>
      </c>
      <c r="E1771" t="s">
        <v>10</v>
      </c>
      <c r="F1771">
        <v>3</v>
      </c>
      <c r="G1771">
        <v>16.059999999999999</v>
      </c>
      <c r="H1771">
        <v>48.18</v>
      </c>
      <c r="I1771" t="str">
        <f t="shared" si="189"/>
        <v>No Discount</v>
      </c>
      <c r="J1771">
        <v>0</v>
      </c>
      <c r="K1771">
        <f t="shared" si="194"/>
        <v>48.18</v>
      </c>
      <c r="L1771" t="str">
        <f t="shared" si="195"/>
        <v>November</v>
      </c>
      <c r="M1771">
        <f>YEAR(C1771)</f>
        <v>2023</v>
      </c>
      <c r="N1771">
        <v>469</v>
      </c>
      <c r="O1771" t="str">
        <f>IF(N1771&gt;=200,"Platinum",IF(N1771&gt;=100,"Gold",IF(N1771&gt;=50,"Silver","Regular")))</f>
        <v>Platinum</v>
      </c>
      <c r="P1771" s="4" t="str">
        <f t="shared" si="190"/>
        <v>Friday</v>
      </c>
      <c r="Q1771" s="4" t="str">
        <f t="shared" si="191"/>
        <v>Medium Order</v>
      </c>
      <c r="R1771" s="4" t="str">
        <f t="shared" si="192"/>
        <v>Weekday</v>
      </c>
      <c r="S1771" s="4" t="str">
        <f t="shared" si="193"/>
        <v>Regular</v>
      </c>
    </row>
    <row r="1772" spans="1:19" x14ac:dyDescent="0.3">
      <c r="A1772">
        <v>3114</v>
      </c>
      <c r="B1772" t="s">
        <v>0</v>
      </c>
      <c r="C1772" s="1">
        <v>45481</v>
      </c>
      <c r="D1772" t="s">
        <v>4</v>
      </c>
      <c r="E1772" t="s">
        <v>30</v>
      </c>
      <c r="F1772">
        <v>2</v>
      </c>
      <c r="G1772">
        <v>24.04</v>
      </c>
      <c r="H1772">
        <v>48.08</v>
      </c>
      <c r="I1772" t="str">
        <f t="shared" si="189"/>
        <v>No Discount</v>
      </c>
      <c r="J1772">
        <v>0</v>
      </c>
      <c r="K1772">
        <f t="shared" si="194"/>
        <v>48.08</v>
      </c>
      <c r="L1772" t="str">
        <f t="shared" si="195"/>
        <v>July</v>
      </c>
      <c r="M1772">
        <f>YEAR(C1772)</f>
        <v>2024</v>
      </c>
      <c r="N1772">
        <v>98</v>
      </c>
      <c r="O1772" t="str">
        <f>IF(N1772&gt;=200,"Platinum",IF(N1772&gt;=100,"Gold",IF(N1772&gt;=50,"Silver","Regular")))</f>
        <v>Silver</v>
      </c>
      <c r="P1772" s="4" t="str">
        <f t="shared" si="190"/>
        <v>Monday</v>
      </c>
      <c r="Q1772" s="4" t="str">
        <f t="shared" si="191"/>
        <v>Small Order</v>
      </c>
      <c r="R1772" s="4" t="str">
        <f t="shared" si="192"/>
        <v>Weekday</v>
      </c>
      <c r="S1772" s="4" t="str">
        <f t="shared" si="193"/>
        <v>Regular</v>
      </c>
    </row>
    <row r="1773" spans="1:19" x14ac:dyDescent="0.3">
      <c r="A1773">
        <v>4422</v>
      </c>
      <c r="B1773" t="s">
        <v>3</v>
      </c>
      <c r="C1773" s="1">
        <v>45820</v>
      </c>
      <c r="D1773" t="s">
        <v>27</v>
      </c>
      <c r="E1773" t="s">
        <v>18</v>
      </c>
      <c r="F1773">
        <v>2</v>
      </c>
      <c r="G1773">
        <v>23.47</v>
      </c>
      <c r="H1773">
        <v>46.94</v>
      </c>
      <c r="I1773" t="str">
        <f t="shared" si="189"/>
        <v>No Discount</v>
      </c>
      <c r="J1773">
        <v>0</v>
      </c>
      <c r="K1773">
        <f t="shared" si="194"/>
        <v>46.94</v>
      </c>
      <c r="L1773" t="str">
        <f t="shared" si="195"/>
        <v>June</v>
      </c>
      <c r="M1773">
        <f>YEAR(C1773)</f>
        <v>2025</v>
      </c>
      <c r="N1773">
        <v>51</v>
      </c>
      <c r="O1773" t="str">
        <f>IF(N1773&gt;=200,"Platinum",IF(N1773&gt;=100,"Gold",IF(N1773&gt;=50,"Silver","Regular")))</f>
        <v>Silver</v>
      </c>
      <c r="P1773" s="4" t="str">
        <f t="shared" si="190"/>
        <v>Thursday</v>
      </c>
      <c r="Q1773" s="4" t="str">
        <f t="shared" si="191"/>
        <v>Small Order</v>
      </c>
      <c r="R1773" s="4" t="str">
        <f t="shared" si="192"/>
        <v>Weekday</v>
      </c>
      <c r="S1773" s="4" t="str">
        <f t="shared" si="193"/>
        <v>Regular</v>
      </c>
    </row>
    <row r="1774" spans="1:19" x14ac:dyDescent="0.3">
      <c r="A1774">
        <v>4232</v>
      </c>
      <c r="B1774" t="s">
        <v>31</v>
      </c>
      <c r="C1774" s="1">
        <v>45494</v>
      </c>
      <c r="D1774" t="s">
        <v>6</v>
      </c>
      <c r="E1774" t="s">
        <v>37</v>
      </c>
      <c r="F1774">
        <v>5</v>
      </c>
      <c r="G1774">
        <v>9.3800000000000008</v>
      </c>
      <c r="H1774">
        <v>46.9</v>
      </c>
      <c r="I1774" t="str">
        <f t="shared" si="189"/>
        <v>No Discount</v>
      </c>
      <c r="J1774">
        <v>0</v>
      </c>
      <c r="K1774">
        <f t="shared" si="194"/>
        <v>46.9</v>
      </c>
      <c r="L1774" t="str">
        <f t="shared" si="195"/>
        <v>July</v>
      </c>
      <c r="M1774">
        <f>YEAR(C1774)</f>
        <v>2024</v>
      </c>
      <c r="N1774">
        <v>442</v>
      </c>
      <c r="O1774" t="str">
        <f>IF(N1774&gt;=200,"Platinum",IF(N1774&gt;=100,"Gold",IF(N1774&gt;=50,"Silver","Regular")))</f>
        <v>Platinum</v>
      </c>
      <c r="P1774" s="4" t="str">
        <f t="shared" si="190"/>
        <v>Sunday</v>
      </c>
      <c r="Q1774" s="4" t="str">
        <f t="shared" si="191"/>
        <v>Medium Order</v>
      </c>
      <c r="R1774" s="4" t="str">
        <f t="shared" si="192"/>
        <v>Weekend</v>
      </c>
      <c r="S1774" s="4" t="str">
        <f t="shared" si="193"/>
        <v>Regular</v>
      </c>
    </row>
    <row r="1775" spans="1:19" x14ac:dyDescent="0.3">
      <c r="A1775">
        <v>8218</v>
      </c>
      <c r="B1775" t="s">
        <v>31</v>
      </c>
      <c r="C1775" s="1">
        <v>45503</v>
      </c>
      <c r="D1775" t="s">
        <v>11</v>
      </c>
      <c r="E1775" t="s">
        <v>32</v>
      </c>
      <c r="F1775">
        <v>3</v>
      </c>
      <c r="G1775">
        <v>15.62</v>
      </c>
      <c r="H1775">
        <v>46.86</v>
      </c>
      <c r="I1775" t="str">
        <f t="shared" si="189"/>
        <v>No Discount</v>
      </c>
      <c r="J1775">
        <v>0</v>
      </c>
      <c r="K1775">
        <f t="shared" si="194"/>
        <v>46.86</v>
      </c>
      <c r="L1775" t="str">
        <f t="shared" si="195"/>
        <v>July</v>
      </c>
      <c r="M1775">
        <f>YEAR(C1775)</f>
        <v>2024</v>
      </c>
      <c r="N1775">
        <v>153</v>
      </c>
      <c r="O1775" t="str">
        <f>IF(N1775&gt;=200,"Platinum",IF(N1775&gt;=100,"Gold",IF(N1775&gt;=50,"Silver","Regular")))</f>
        <v>Gold</v>
      </c>
      <c r="P1775" s="4" t="str">
        <f t="shared" si="190"/>
        <v>Tuesday</v>
      </c>
      <c r="Q1775" s="4" t="str">
        <f t="shared" si="191"/>
        <v>Medium Order</v>
      </c>
      <c r="R1775" s="4" t="str">
        <f t="shared" si="192"/>
        <v>Weekday</v>
      </c>
      <c r="S1775" s="4" t="str">
        <f t="shared" si="193"/>
        <v>Regular</v>
      </c>
    </row>
    <row r="1776" spans="1:19" x14ac:dyDescent="0.3">
      <c r="A1776">
        <v>7286</v>
      </c>
      <c r="B1776" t="s">
        <v>0</v>
      </c>
      <c r="C1776" s="1">
        <v>45473</v>
      </c>
      <c r="D1776" t="s">
        <v>16</v>
      </c>
      <c r="E1776" t="s">
        <v>33</v>
      </c>
      <c r="F1776">
        <v>3</v>
      </c>
      <c r="G1776">
        <v>15.45</v>
      </c>
      <c r="H1776">
        <v>46.35</v>
      </c>
      <c r="I1776" t="str">
        <f t="shared" si="189"/>
        <v>No Discount</v>
      </c>
      <c r="J1776">
        <v>0</v>
      </c>
      <c r="K1776">
        <f t="shared" si="194"/>
        <v>46.35</v>
      </c>
      <c r="L1776" t="str">
        <f t="shared" si="195"/>
        <v>June</v>
      </c>
      <c r="M1776">
        <f>YEAR(C1776)</f>
        <v>2024</v>
      </c>
      <c r="N1776">
        <v>291</v>
      </c>
      <c r="O1776" t="str">
        <f>IF(N1776&gt;=200,"Platinum",IF(N1776&gt;=100,"Gold",IF(N1776&gt;=50,"Silver","Regular")))</f>
        <v>Platinum</v>
      </c>
      <c r="P1776" s="4" t="str">
        <f t="shared" si="190"/>
        <v>Sunday</v>
      </c>
      <c r="Q1776" s="4" t="str">
        <f t="shared" si="191"/>
        <v>Medium Order</v>
      </c>
      <c r="R1776" s="4" t="str">
        <f t="shared" si="192"/>
        <v>Weekend</v>
      </c>
      <c r="S1776" s="4" t="str">
        <f t="shared" si="193"/>
        <v>Regular</v>
      </c>
    </row>
    <row r="1777" spans="1:19" x14ac:dyDescent="0.3">
      <c r="A1777">
        <v>6620</v>
      </c>
      <c r="B1777" t="s">
        <v>20</v>
      </c>
      <c r="C1777" s="1">
        <v>45648</v>
      </c>
      <c r="D1777" t="s">
        <v>11</v>
      </c>
      <c r="E1777" t="s">
        <v>36</v>
      </c>
      <c r="F1777">
        <v>2</v>
      </c>
      <c r="G1777">
        <v>23.05</v>
      </c>
      <c r="H1777">
        <v>46.1</v>
      </c>
      <c r="I1777" t="str">
        <f t="shared" si="189"/>
        <v>No Discount</v>
      </c>
      <c r="J1777">
        <v>0</v>
      </c>
      <c r="K1777">
        <f t="shared" si="194"/>
        <v>46.1</v>
      </c>
      <c r="L1777" t="str">
        <f t="shared" si="195"/>
        <v>December</v>
      </c>
      <c r="M1777">
        <f>YEAR(C1777)</f>
        <v>2024</v>
      </c>
      <c r="N1777">
        <v>223</v>
      </c>
      <c r="O1777" t="str">
        <f>IF(N1777&gt;=200,"Platinum",IF(N1777&gt;=100,"Gold",IF(N1777&gt;=50,"Silver","Regular")))</f>
        <v>Platinum</v>
      </c>
      <c r="P1777" s="4" t="str">
        <f t="shared" si="190"/>
        <v>Sunday</v>
      </c>
      <c r="Q1777" s="4" t="str">
        <f t="shared" si="191"/>
        <v>Small Order</v>
      </c>
      <c r="R1777" s="4" t="str">
        <f t="shared" si="192"/>
        <v>Weekend</v>
      </c>
      <c r="S1777" s="4" t="str">
        <f t="shared" si="193"/>
        <v>Regular</v>
      </c>
    </row>
    <row r="1778" spans="1:19" x14ac:dyDescent="0.3">
      <c r="A1778">
        <v>5000</v>
      </c>
      <c r="B1778" t="s">
        <v>15</v>
      </c>
      <c r="C1778" s="1">
        <v>45557</v>
      </c>
      <c r="D1778" t="s">
        <v>9</v>
      </c>
      <c r="E1778" t="s">
        <v>36</v>
      </c>
      <c r="F1778">
        <v>2</v>
      </c>
      <c r="G1778">
        <v>22.96</v>
      </c>
      <c r="H1778">
        <v>45.92</v>
      </c>
      <c r="I1778" t="str">
        <f t="shared" si="189"/>
        <v>No Discount</v>
      </c>
      <c r="J1778">
        <v>0</v>
      </c>
      <c r="K1778">
        <f t="shared" si="194"/>
        <v>45.92</v>
      </c>
      <c r="L1778" t="str">
        <f t="shared" si="195"/>
        <v>September</v>
      </c>
      <c r="M1778">
        <f>YEAR(C1778)</f>
        <v>2024</v>
      </c>
      <c r="N1778">
        <v>492</v>
      </c>
      <c r="O1778" t="str">
        <f>IF(N1778&gt;=200,"Platinum",IF(N1778&gt;=100,"Gold",IF(N1778&gt;=50,"Silver","Regular")))</f>
        <v>Platinum</v>
      </c>
      <c r="P1778" s="4" t="str">
        <f t="shared" si="190"/>
        <v>Sunday</v>
      </c>
      <c r="Q1778" s="4" t="str">
        <f t="shared" si="191"/>
        <v>Small Order</v>
      </c>
      <c r="R1778" s="4" t="str">
        <f t="shared" si="192"/>
        <v>Weekend</v>
      </c>
      <c r="S1778" s="4" t="str">
        <f t="shared" si="193"/>
        <v>Regular</v>
      </c>
    </row>
    <row r="1779" spans="1:19" x14ac:dyDescent="0.3">
      <c r="A1779">
        <v>9807</v>
      </c>
      <c r="B1779" t="s">
        <v>13</v>
      </c>
      <c r="C1779" s="1">
        <v>45250</v>
      </c>
      <c r="D1779" t="s">
        <v>9</v>
      </c>
      <c r="E1779" t="s">
        <v>37</v>
      </c>
      <c r="F1779">
        <v>2</v>
      </c>
      <c r="G1779">
        <v>22.67</v>
      </c>
      <c r="H1779">
        <v>45.34</v>
      </c>
      <c r="I1779" t="str">
        <f t="shared" si="189"/>
        <v>No Discount</v>
      </c>
      <c r="J1779">
        <v>0</v>
      </c>
      <c r="K1779">
        <f t="shared" si="194"/>
        <v>45.34</v>
      </c>
      <c r="L1779" t="str">
        <f t="shared" si="195"/>
        <v>November</v>
      </c>
      <c r="M1779">
        <f>YEAR(C1779)</f>
        <v>2023</v>
      </c>
      <c r="N1779">
        <v>434</v>
      </c>
      <c r="O1779" t="str">
        <f>IF(N1779&gt;=200,"Platinum",IF(N1779&gt;=100,"Gold",IF(N1779&gt;=50,"Silver","Regular")))</f>
        <v>Platinum</v>
      </c>
      <c r="P1779" s="4" t="str">
        <f t="shared" si="190"/>
        <v>Monday</v>
      </c>
      <c r="Q1779" s="4" t="str">
        <f t="shared" si="191"/>
        <v>Small Order</v>
      </c>
      <c r="R1779" s="4" t="str">
        <f t="shared" si="192"/>
        <v>Weekday</v>
      </c>
      <c r="S1779" s="4" t="str">
        <f t="shared" si="193"/>
        <v>Regular</v>
      </c>
    </row>
    <row r="1780" spans="1:19" x14ac:dyDescent="0.3">
      <c r="A1780">
        <v>4434</v>
      </c>
      <c r="B1780" t="s">
        <v>20</v>
      </c>
      <c r="C1780" s="1">
        <v>45485</v>
      </c>
      <c r="D1780" t="s">
        <v>11</v>
      </c>
      <c r="E1780" t="s">
        <v>37</v>
      </c>
      <c r="F1780">
        <v>5</v>
      </c>
      <c r="G1780">
        <v>9.0399999999999991</v>
      </c>
      <c r="H1780">
        <v>45.2</v>
      </c>
      <c r="I1780" t="str">
        <f t="shared" si="189"/>
        <v>No Discount</v>
      </c>
      <c r="J1780">
        <v>0</v>
      </c>
      <c r="K1780">
        <f t="shared" si="194"/>
        <v>45.2</v>
      </c>
      <c r="L1780" t="str">
        <f t="shared" si="195"/>
        <v>July</v>
      </c>
      <c r="M1780">
        <f>YEAR(C1780)</f>
        <v>2024</v>
      </c>
      <c r="N1780">
        <v>436</v>
      </c>
      <c r="O1780" t="str">
        <f>IF(N1780&gt;=200,"Platinum",IF(N1780&gt;=100,"Gold",IF(N1780&gt;=50,"Silver","Regular")))</f>
        <v>Platinum</v>
      </c>
      <c r="P1780" s="4" t="str">
        <f t="shared" si="190"/>
        <v>Friday</v>
      </c>
      <c r="Q1780" s="4" t="str">
        <f t="shared" si="191"/>
        <v>Medium Order</v>
      </c>
      <c r="R1780" s="4" t="str">
        <f t="shared" si="192"/>
        <v>Weekday</v>
      </c>
      <c r="S1780" s="4" t="str">
        <f t="shared" si="193"/>
        <v>Regular</v>
      </c>
    </row>
    <row r="1781" spans="1:19" x14ac:dyDescent="0.3">
      <c r="A1781">
        <v>3292</v>
      </c>
      <c r="B1781" t="s">
        <v>3</v>
      </c>
      <c r="C1781" s="1">
        <v>45758</v>
      </c>
      <c r="D1781" t="s">
        <v>27</v>
      </c>
      <c r="E1781" t="s">
        <v>21</v>
      </c>
      <c r="F1781">
        <v>4</v>
      </c>
      <c r="G1781">
        <v>11.27</v>
      </c>
      <c r="H1781">
        <v>45.08</v>
      </c>
      <c r="I1781" t="str">
        <f t="shared" si="189"/>
        <v>No Discount</v>
      </c>
      <c r="J1781">
        <v>0</v>
      </c>
      <c r="K1781">
        <f t="shared" si="194"/>
        <v>45.08</v>
      </c>
      <c r="L1781" t="str">
        <f t="shared" si="195"/>
        <v>April</v>
      </c>
      <c r="M1781">
        <f>YEAR(C1781)</f>
        <v>2025</v>
      </c>
      <c r="N1781">
        <v>205</v>
      </c>
      <c r="O1781" t="str">
        <f>IF(N1781&gt;=200,"Platinum",IF(N1781&gt;=100,"Gold",IF(N1781&gt;=50,"Silver","Regular")))</f>
        <v>Platinum</v>
      </c>
      <c r="P1781" s="4" t="str">
        <f t="shared" si="190"/>
        <v>Friday</v>
      </c>
      <c r="Q1781" s="4" t="str">
        <f t="shared" si="191"/>
        <v>Medium Order</v>
      </c>
      <c r="R1781" s="4" t="str">
        <f t="shared" si="192"/>
        <v>Weekday</v>
      </c>
      <c r="S1781" s="4" t="str">
        <f t="shared" si="193"/>
        <v>Regular</v>
      </c>
    </row>
    <row r="1782" spans="1:19" x14ac:dyDescent="0.3">
      <c r="A1782">
        <v>2800</v>
      </c>
      <c r="B1782" t="s">
        <v>8</v>
      </c>
      <c r="C1782" s="1">
        <v>45293</v>
      </c>
      <c r="D1782" t="s">
        <v>6</v>
      </c>
      <c r="E1782" t="s">
        <v>33</v>
      </c>
      <c r="F1782">
        <v>2</v>
      </c>
      <c r="G1782">
        <v>22.31</v>
      </c>
      <c r="H1782">
        <v>44.62</v>
      </c>
      <c r="I1782" t="str">
        <f t="shared" si="189"/>
        <v>No Discount</v>
      </c>
      <c r="J1782">
        <v>0</v>
      </c>
      <c r="K1782">
        <f t="shared" si="194"/>
        <v>44.62</v>
      </c>
      <c r="L1782" t="str">
        <f t="shared" si="195"/>
        <v>January</v>
      </c>
      <c r="M1782">
        <f>YEAR(C1782)</f>
        <v>2024</v>
      </c>
      <c r="N1782">
        <v>4</v>
      </c>
      <c r="O1782" t="str">
        <f>IF(N1782&gt;=200,"Platinum",IF(N1782&gt;=100,"Gold",IF(N1782&gt;=50,"Silver","Regular")))</f>
        <v>Regular</v>
      </c>
      <c r="P1782" s="4" t="str">
        <f t="shared" si="190"/>
        <v>Tuesday</v>
      </c>
      <c r="Q1782" s="4" t="str">
        <f t="shared" si="191"/>
        <v>Small Order</v>
      </c>
      <c r="R1782" s="4" t="str">
        <f t="shared" si="192"/>
        <v>Weekday</v>
      </c>
      <c r="S1782" s="4" t="str">
        <f t="shared" si="193"/>
        <v>Regular</v>
      </c>
    </row>
    <row r="1783" spans="1:19" x14ac:dyDescent="0.3">
      <c r="A1783">
        <v>4777</v>
      </c>
      <c r="B1783" t="s">
        <v>19</v>
      </c>
      <c r="C1783" s="1">
        <v>45238</v>
      </c>
      <c r="D1783" t="s">
        <v>11</v>
      </c>
      <c r="E1783" t="s">
        <v>30</v>
      </c>
      <c r="F1783">
        <v>2</v>
      </c>
      <c r="G1783">
        <v>22.23</v>
      </c>
      <c r="H1783">
        <v>44.46</v>
      </c>
      <c r="I1783" t="str">
        <f t="shared" si="189"/>
        <v>No Discount</v>
      </c>
      <c r="J1783">
        <v>0</v>
      </c>
      <c r="K1783">
        <f t="shared" si="194"/>
        <v>44.46</v>
      </c>
      <c r="L1783" t="str">
        <f t="shared" si="195"/>
        <v>November</v>
      </c>
      <c r="M1783">
        <f>YEAR(C1783)</f>
        <v>2023</v>
      </c>
      <c r="N1783">
        <v>223</v>
      </c>
      <c r="O1783" t="str">
        <f>IF(N1783&gt;=200,"Platinum",IF(N1783&gt;=100,"Gold",IF(N1783&gt;=50,"Silver","Regular")))</f>
        <v>Platinum</v>
      </c>
      <c r="P1783" s="4" t="str">
        <f t="shared" si="190"/>
        <v>Wednesday</v>
      </c>
      <c r="Q1783" s="4" t="str">
        <f t="shared" si="191"/>
        <v>Small Order</v>
      </c>
      <c r="R1783" s="4" t="str">
        <f t="shared" si="192"/>
        <v>Weekday</v>
      </c>
      <c r="S1783" s="4" t="str">
        <f t="shared" si="193"/>
        <v>Regular</v>
      </c>
    </row>
    <row r="1784" spans="1:19" x14ac:dyDescent="0.3">
      <c r="A1784">
        <v>7211</v>
      </c>
      <c r="B1784" t="s">
        <v>31</v>
      </c>
      <c r="C1784" s="1">
        <v>45671</v>
      </c>
      <c r="D1784" t="s">
        <v>4</v>
      </c>
      <c r="E1784" t="s">
        <v>10</v>
      </c>
      <c r="F1784">
        <v>2</v>
      </c>
      <c r="G1784">
        <v>22.19</v>
      </c>
      <c r="H1784">
        <v>44.38</v>
      </c>
      <c r="I1784" t="str">
        <f t="shared" si="189"/>
        <v>No Discount</v>
      </c>
      <c r="J1784">
        <v>0</v>
      </c>
      <c r="K1784">
        <f t="shared" si="194"/>
        <v>44.38</v>
      </c>
      <c r="L1784" t="str">
        <f t="shared" si="195"/>
        <v>January</v>
      </c>
      <c r="M1784">
        <f>YEAR(C1784)</f>
        <v>2025</v>
      </c>
      <c r="N1784">
        <v>331</v>
      </c>
      <c r="O1784" t="str">
        <f>IF(N1784&gt;=200,"Platinum",IF(N1784&gt;=100,"Gold",IF(N1784&gt;=50,"Silver","Regular")))</f>
        <v>Platinum</v>
      </c>
      <c r="P1784" s="4" t="str">
        <f t="shared" si="190"/>
        <v>Tuesday</v>
      </c>
      <c r="Q1784" s="4" t="str">
        <f t="shared" si="191"/>
        <v>Small Order</v>
      </c>
      <c r="R1784" s="4" t="str">
        <f t="shared" si="192"/>
        <v>Weekday</v>
      </c>
      <c r="S1784" s="4" t="str">
        <f t="shared" si="193"/>
        <v>Regular</v>
      </c>
    </row>
    <row r="1785" spans="1:19" x14ac:dyDescent="0.3">
      <c r="A1785">
        <v>3733</v>
      </c>
      <c r="B1785" t="s">
        <v>15</v>
      </c>
      <c r="C1785" s="1">
        <v>45525</v>
      </c>
      <c r="D1785" t="s">
        <v>23</v>
      </c>
      <c r="E1785" t="s">
        <v>29</v>
      </c>
      <c r="F1785">
        <v>5</v>
      </c>
      <c r="G1785">
        <v>8.6999999999999993</v>
      </c>
      <c r="H1785">
        <v>43.5</v>
      </c>
      <c r="I1785" t="str">
        <f t="shared" si="189"/>
        <v>No Discount</v>
      </c>
      <c r="J1785">
        <v>0</v>
      </c>
      <c r="K1785">
        <f t="shared" si="194"/>
        <v>43.5</v>
      </c>
      <c r="L1785" t="str">
        <f t="shared" si="195"/>
        <v>August</v>
      </c>
      <c r="M1785">
        <f>YEAR(C1785)</f>
        <v>2024</v>
      </c>
      <c r="N1785">
        <v>142</v>
      </c>
      <c r="O1785" t="str">
        <f>IF(N1785&gt;=200,"Platinum",IF(N1785&gt;=100,"Gold",IF(N1785&gt;=50,"Silver","Regular")))</f>
        <v>Gold</v>
      </c>
      <c r="P1785" s="4" t="str">
        <f t="shared" si="190"/>
        <v>Wednesday</v>
      </c>
      <c r="Q1785" s="4" t="str">
        <f t="shared" si="191"/>
        <v>Medium Order</v>
      </c>
      <c r="R1785" s="4" t="str">
        <f t="shared" si="192"/>
        <v>Weekday</v>
      </c>
      <c r="S1785" s="4" t="str">
        <f t="shared" si="193"/>
        <v>Regular</v>
      </c>
    </row>
    <row r="1786" spans="1:19" x14ac:dyDescent="0.3">
      <c r="A1786">
        <v>1086</v>
      </c>
      <c r="B1786" t="s">
        <v>8</v>
      </c>
      <c r="C1786" s="1">
        <v>45848</v>
      </c>
      <c r="D1786" t="s">
        <v>11</v>
      </c>
      <c r="E1786" t="s">
        <v>21</v>
      </c>
      <c r="F1786">
        <v>2</v>
      </c>
      <c r="G1786">
        <v>21.68</v>
      </c>
      <c r="H1786">
        <v>43.36</v>
      </c>
      <c r="I1786" t="str">
        <f t="shared" si="189"/>
        <v>No Discount</v>
      </c>
      <c r="J1786">
        <v>0</v>
      </c>
      <c r="K1786">
        <f t="shared" si="194"/>
        <v>43.36</v>
      </c>
      <c r="L1786" t="str">
        <f t="shared" si="195"/>
        <v>July</v>
      </c>
      <c r="M1786">
        <f>YEAR(C1786)</f>
        <v>2025</v>
      </c>
      <c r="N1786">
        <v>362</v>
      </c>
      <c r="O1786" t="str">
        <f>IF(N1786&gt;=200,"Platinum",IF(N1786&gt;=100,"Gold",IF(N1786&gt;=50,"Silver","Regular")))</f>
        <v>Platinum</v>
      </c>
      <c r="P1786" s="4" t="str">
        <f t="shared" si="190"/>
        <v>Thursday</v>
      </c>
      <c r="Q1786" s="4" t="str">
        <f t="shared" si="191"/>
        <v>Small Order</v>
      </c>
      <c r="R1786" s="4" t="str">
        <f t="shared" si="192"/>
        <v>Weekday</v>
      </c>
      <c r="S1786" s="4" t="str">
        <f t="shared" si="193"/>
        <v>Regular</v>
      </c>
    </row>
    <row r="1787" spans="1:19" x14ac:dyDescent="0.3">
      <c r="A1787">
        <v>3655</v>
      </c>
      <c r="B1787" t="s">
        <v>20</v>
      </c>
      <c r="C1787" s="1">
        <v>45779</v>
      </c>
      <c r="D1787" t="s">
        <v>27</v>
      </c>
      <c r="E1787" t="s">
        <v>33</v>
      </c>
      <c r="F1787">
        <v>3</v>
      </c>
      <c r="G1787">
        <v>14.4</v>
      </c>
      <c r="H1787">
        <v>43.2</v>
      </c>
      <c r="I1787" t="str">
        <f t="shared" si="189"/>
        <v>No Discount</v>
      </c>
      <c r="J1787">
        <v>0</v>
      </c>
      <c r="K1787">
        <f t="shared" si="194"/>
        <v>43.2</v>
      </c>
      <c r="L1787" t="str">
        <f t="shared" si="195"/>
        <v>May</v>
      </c>
      <c r="M1787">
        <f>YEAR(C1787)</f>
        <v>2025</v>
      </c>
      <c r="N1787">
        <v>123</v>
      </c>
      <c r="O1787" t="str">
        <f>IF(N1787&gt;=200,"Platinum",IF(N1787&gt;=100,"Gold",IF(N1787&gt;=50,"Silver","Regular")))</f>
        <v>Gold</v>
      </c>
      <c r="P1787" s="4" t="str">
        <f t="shared" si="190"/>
        <v>Friday</v>
      </c>
      <c r="Q1787" s="4" t="str">
        <f t="shared" si="191"/>
        <v>Medium Order</v>
      </c>
      <c r="R1787" s="4" t="str">
        <f t="shared" si="192"/>
        <v>Weekday</v>
      </c>
      <c r="S1787" s="4" t="str">
        <f t="shared" si="193"/>
        <v>Regular</v>
      </c>
    </row>
    <row r="1788" spans="1:19" x14ac:dyDescent="0.3">
      <c r="A1788">
        <v>1188</v>
      </c>
      <c r="B1788" t="s">
        <v>13</v>
      </c>
      <c r="C1788" s="1">
        <v>45673</v>
      </c>
      <c r="D1788" t="s">
        <v>34</v>
      </c>
      <c r="E1788" t="s">
        <v>28</v>
      </c>
      <c r="F1788">
        <v>4</v>
      </c>
      <c r="G1788">
        <v>10.74</v>
      </c>
      <c r="H1788">
        <v>42.96</v>
      </c>
      <c r="I1788" t="str">
        <f t="shared" si="189"/>
        <v>No Discount</v>
      </c>
      <c r="J1788">
        <v>0</v>
      </c>
      <c r="K1788">
        <f t="shared" si="194"/>
        <v>42.96</v>
      </c>
      <c r="L1788" t="str">
        <f t="shared" si="195"/>
        <v>January</v>
      </c>
      <c r="M1788">
        <f>YEAR(C1788)</f>
        <v>2025</v>
      </c>
      <c r="N1788">
        <v>347</v>
      </c>
      <c r="O1788" t="str">
        <f>IF(N1788&gt;=200,"Platinum",IF(N1788&gt;=100,"Gold",IF(N1788&gt;=50,"Silver","Regular")))</f>
        <v>Platinum</v>
      </c>
      <c r="P1788" s="4" t="str">
        <f t="shared" si="190"/>
        <v>Thursday</v>
      </c>
      <c r="Q1788" s="4" t="str">
        <f t="shared" si="191"/>
        <v>Medium Order</v>
      </c>
      <c r="R1788" s="4" t="str">
        <f t="shared" si="192"/>
        <v>Weekday</v>
      </c>
      <c r="S1788" s="4" t="str">
        <f t="shared" si="193"/>
        <v>Regular</v>
      </c>
    </row>
    <row r="1789" spans="1:19" x14ac:dyDescent="0.3">
      <c r="A1789">
        <v>7223</v>
      </c>
      <c r="B1789" t="s">
        <v>15</v>
      </c>
      <c r="C1789" s="1">
        <v>45587</v>
      </c>
      <c r="D1789" t="s">
        <v>23</v>
      </c>
      <c r="E1789" t="s">
        <v>14</v>
      </c>
      <c r="F1789">
        <v>5</v>
      </c>
      <c r="G1789">
        <v>8.5399999999999991</v>
      </c>
      <c r="H1789">
        <v>42.7</v>
      </c>
      <c r="I1789" t="str">
        <f t="shared" si="189"/>
        <v>No Discount</v>
      </c>
      <c r="J1789">
        <v>0</v>
      </c>
      <c r="K1789">
        <f t="shared" si="194"/>
        <v>42.7</v>
      </c>
      <c r="L1789" t="str">
        <f t="shared" si="195"/>
        <v>October</v>
      </c>
      <c r="M1789">
        <f>YEAR(C1789)</f>
        <v>2024</v>
      </c>
      <c r="N1789">
        <v>313</v>
      </c>
      <c r="O1789" t="str">
        <f>IF(N1789&gt;=200,"Platinum",IF(N1789&gt;=100,"Gold",IF(N1789&gt;=50,"Silver","Regular")))</f>
        <v>Platinum</v>
      </c>
      <c r="P1789" s="4" t="str">
        <f t="shared" si="190"/>
        <v>Tuesday</v>
      </c>
      <c r="Q1789" s="4" t="str">
        <f t="shared" si="191"/>
        <v>Medium Order</v>
      </c>
      <c r="R1789" s="4" t="str">
        <f t="shared" si="192"/>
        <v>Weekday</v>
      </c>
      <c r="S1789" s="4" t="str">
        <f t="shared" si="193"/>
        <v>Regular</v>
      </c>
    </row>
    <row r="1790" spans="1:19" x14ac:dyDescent="0.3">
      <c r="A1790">
        <v>4241</v>
      </c>
      <c r="B1790" t="s">
        <v>25</v>
      </c>
      <c r="C1790" s="1">
        <v>45475</v>
      </c>
      <c r="D1790" t="s">
        <v>23</v>
      </c>
      <c r="E1790" t="s">
        <v>32</v>
      </c>
      <c r="F1790">
        <v>4</v>
      </c>
      <c r="G1790">
        <v>10.64</v>
      </c>
      <c r="H1790">
        <v>42.56</v>
      </c>
      <c r="I1790" t="str">
        <f t="shared" si="189"/>
        <v>No Discount</v>
      </c>
      <c r="J1790">
        <v>0</v>
      </c>
      <c r="K1790">
        <f t="shared" si="194"/>
        <v>42.56</v>
      </c>
      <c r="L1790" t="str">
        <f t="shared" si="195"/>
        <v>July</v>
      </c>
      <c r="M1790">
        <f>YEAR(C1790)</f>
        <v>2024</v>
      </c>
      <c r="N1790">
        <v>90</v>
      </c>
      <c r="O1790" t="str">
        <f>IF(N1790&gt;=200,"Platinum",IF(N1790&gt;=100,"Gold",IF(N1790&gt;=50,"Silver","Regular")))</f>
        <v>Silver</v>
      </c>
      <c r="P1790" s="4" t="str">
        <f t="shared" si="190"/>
        <v>Tuesday</v>
      </c>
      <c r="Q1790" s="4" t="str">
        <f t="shared" si="191"/>
        <v>Medium Order</v>
      </c>
      <c r="R1790" s="4" t="str">
        <f t="shared" si="192"/>
        <v>Weekday</v>
      </c>
      <c r="S1790" s="4" t="str">
        <f t="shared" si="193"/>
        <v>Regular</v>
      </c>
    </row>
    <row r="1791" spans="1:19" x14ac:dyDescent="0.3">
      <c r="A1791">
        <v>9224</v>
      </c>
      <c r="B1791" t="s">
        <v>13</v>
      </c>
      <c r="C1791" s="1">
        <v>45435</v>
      </c>
      <c r="D1791" t="s">
        <v>17</v>
      </c>
      <c r="E1791" t="s">
        <v>7</v>
      </c>
      <c r="F1791">
        <v>3</v>
      </c>
      <c r="G1791">
        <v>14.13</v>
      </c>
      <c r="H1791">
        <v>42.39</v>
      </c>
      <c r="I1791" t="str">
        <f t="shared" si="189"/>
        <v>No Discount</v>
      </c>
      <c r="J1791">
        <v>0</v>
      </c>
      <c r="K1791">
        <f t="shared" si="194"/>
        <v>42.39</v>
      </c>
      <c r="L1791" t="str">
        <f t="shared" si="195"/>
        <v>May</v>
      </c>
      <c r="M1791">
        <f>YEAR(C1791)</f>
        <v>2024</v>
      </c>
      <c r="N1791">
        <v>14</v>
      </c>
      <c r="O1791" t="str">
        <f>IF(N1791&gt;=200,"Platinum",IF(N1791&gt;=100,"Gold",IF(N1791&gt;=50,"Silver","Regular")))</f>
        <v>Regular</v>
      </c>
      <c r="P1791" s="4" t="str">
        <f t="shared" si="190"/>
        <v>Thursday</v>
      </c>
      <c r="Q1791" s="4" t="str">
        <f t="shared" si="191"/>
        <v>Medium Order</v>
      </c>
      <c r="R1791" s="4" t="str">
        <f t="shared" si="192"/>
        <v>Weekday</v>
      </c>
      <c r="S1791" s="4" t="str">
        <f t="shared" si="193"/>
        <v>Regular</v>
      </c>
    </row>
    <row r="1792" spans="1:19" x14ac:dyDescent="0.3">
      <c r="A1792">
        <v>6067</v>
      </c>
      <c r="B1792" t="s">
        <v>31</v>
      </c>
      <c r="C1792" s="1">
        <v>45662</v>
      </c>
      <c r="D1792" t="s">
        <v>1</v>
      </c>
      <c r="E1792" t="s">
        <v>37</v>
      </c>
      <c r="F1792">
        <v>4</v>
      </c>
      <c r="G1792">
        <v>10.57</v>
      </c>
      <c r="H1792">
        <v>42.28</v>
      </c>
      <c r="I1792" t="str">
        <f t="shared" si="189"/>
        <v>No Discount</v>
      </c>
      <c r="J1792">
        <v>0</v>
      </c>
      <c r="K1792">
        <f t="shared" si="194"/>
        <v>42.28</v>
      </c>
      <c r="L1792" t="str">
        <f t="shared" si="195"/>
        <v>January</v>
      </c>
      <c r="M1792">
        <f>YEAR(C1792)</f>
        <v>2025</v>
      </c>
      <c r="N1792">
        <v>241</v>
      </c>
      <c r="O1792" t="str">
        <f>IF(N1792&gt;=200,"Platinum",IF(N1792&gt;=100,"Gold",IF(N1792&gt;=50,"Silver","Regular")))</f>
        <v>Platinum</v>
      </c>
      <c r="P1792" s="4" t="str">
        <f t="shared" si="190"/>
        <v>Sunday</v>
      </c>
      <c r="Q1792" s="4" t="str">
        <f t="shared" si="191"/>
        <v>Medium Order</v>
      </c>
      <c r="R1792" s="4" t="str">
        <f t="shared" si="192"/>
        <v>Weekend</v>
      </c>
      <c r="S1792" s="4" t="str">
        <f t="shared" si="193"/>
        <v>Regular</v>
      </c>
    </row>
    <row r="1793" spans="1:19" x14ac:dyDescent="0.3">
      <c r="A1793">
        <v>7044</v>
      </c>
      <c r="B1793" t="s">
        <v>31</v>
      </c>
      <c r="C1793" s="1">
        <v>45508</v>
      </c>
      <c r="D1793" t="s">
        <v>17</v>
      </c>
      <c r="E1793" t="s">
        <v>30</v>
      </c>
      <c r="F1793">
        <v>5</v>
      </c>
      <c r="G1793">
        <v>8.42</v>
      </c>
      <c r="H1793">
        <v>42.1</v>
      </c>
      <c r="I1793" t="str">
        <f t="shared" si="189"/>
        <v>No Discount</v>
      </c>
      <c r="J1793">
        <v>0</v>
      </c>
      <c r="K1793">
        <f t="shared" si="194"/>
        <v>42.1</v>
      </c>
      <c r="L1793" t="str">
        <f t="shared" si="195"/>
        <v>August</v>
      </c>
      <c r="M1793">
        <f>YEAR(C1793)</f>
        <v>2024</v>
      </c>
      <c r="N1793">
        <v>215</v>
      </c>
      <c r="O1793" t="str">
        <f>IF(N1793&gt;=200,"Platinum",IF(N1793&gt;=100,"Gold",IF(N1793&gt;=50,"Silver","Regular")))</f>
        <v>Platinum</v>
      </c>
      <c r="P1793" s="4" t="str">
        <f t="shared" si="190"/>
        <v>Sunday</v>
      </c>
      <c r="Q1793" s="4" t="str">
        <f t="shared" si="191"/>
        <v>Medium Order</v>
      </c>
      <c r="R1793" s="4" t="str">
        <f t="shared" si="192"/>
        <v>Weekend</v>
      </c>
      <c r="S1793" s="4" t="str">
        <f t="shared" si="193"/>
        <v>Regular</v>
      </c>
    </row>
    <row r="1794" spans="1:19" x14ac:dyDescent="0.3">
      <c r="A1794">
        <v>4139</v>
      </c>
      <c r="B1794" t="s">
        <v>25</v>
      </c>
      <c r="C1794" s="1">
        <v>45292</v>
      </c>
      <c r="D1794" t="s">
        <v>6</v>
      </c>
      <c r="E1794" t="s">
        <v>33</v>
      </c>
      <c r="F1794">
        <v>5</v>
      </c>
      <c r="G1794">
        <v>8.26</v>
      </c>
      <c r="H1794">
        <v>41.3</v>
      </c>
      <c r="I1794" t="str">
        <f t="shared" ref="I1794:I1857" si="196">IF(J1794=0,"No Discount",IF(J1794&lt;=5,"Low",IF(J1794&lt;=10,"Medium",IF(J1794&lt;=20,"High","Very High"))))</f>
        <v>No Discount</v>
      </c>
      <c r="J1794">
        <v>0</v>
      </c>
      <c r="K1794">
        <f t="shared" si="194"/>
        <v>41.3</v>
      </c>
      <c r="L1794" t="str">
        <f t="shared" si="195"/>
        <v>January</v>
      </c>
      <c r="M1794">
        <f>YEAR(C1794)</f>
        <v>2024</v>
      </c>
      <c r="N1794">
        <v>386</v>
      </c>
      <c r="O1794" t="str">
        <f>IF(N1794&gt;=200,"Platinum",IF(N1794&gt;=100,"Gold",IF(N1794&gt;=50,"Silver","Regular")))</f>
        <v>Platinum</v>
      </c>
      <c r="P1794" s="4" t="str">
        <f t="shared" ref="P1794:P1857" si="197">TEXT(C1794,"dddd")</f>
        <v>Monday</v>
      </c>
      <c r="Q1794" s="4" t="str">
        <f t="shared" ref="Q1794:Q1857" si="198">IF(F1794&lt;=2,"Small Order",IF(F1794&lt;=5,"Medium Order",IF(F1794&lt;=10,"Large Order","Bulk Order")))</f>
        <v>Medium Order</v>
      </c>
      <c r="R1794" s="4" t="str">
        <f t="shared" ref="R1794:R1857" si="199">IF(WEEKDAY(C1794,2)&gt;5,"Weekend","Weekday")</f>
        <v>Weekday</v>
      </c>
      <c r="S1794" s="4" t="str">
        <f t="shared" ref="S1794:S1857" si="200">IF(K1794&gt;=100,"High Value","Regular")</f>
        <v>Regular</v>
      </c>
    </row>
    <row r="1795" spans="1:19" x14ac:dyDescent="0.3">
      <c r="A1795">
        <v>9796</v>
      </c>
      <c r="B1795" t="s">
        <v>13</v>
      </c>
      <c r="C1795" s="1">
        <v>45290</v>
      </c>
      <c r="D1795" t="s">
        <v>1</v>
      </c>
      <c r="E1795" t="s">
        <v>10</v>
      </c>
      <c r="F1795">
        <v>5</v>
      </c>
      <c r="G1795">
        <v>8.24</v>
      </c>
      <c r="H1795">
        <v>41.2</v>
      </c>
      <c r="I1795" t="str">
        <f t="shared" si="196"/>
        <v>No Discount</v>
      </c>
      <c r="J1795">
        <v>0</v>
      </c>
      <c r="K1795">
        <f t="shared" ref="K1795:K1858" si="201">MAX(0,H1795-J1795)</f>
        <v>41.2</v>
      </c>
      <c r="L1795" t="str">
        <f t="shared" ref="L1795:L1858" si="202">TEXT(C1795,"mmmm")</f>
        <v>December</v>
      </c>
      <c r="M1795">
        <f>YEAR(C1795)</f>
        <v>2023</v>
      </c>
      <c r="N1795">
        <v>291</v>
      </c>
      <c r="O1795" t="str">
        <f>IF(N1795&gt;=200,"Platinum",IF(N1795&gt;=100,"Gold",IF(N1795&gt;=50,"Silver","Regular")))</f>
        <v>Platinum</v>
      </c>
      <c r="P1795" s="4" t="str">
        <f t="shared" si="197"/>
        <v>Saturday</v>
      </c>
      <c r="Q1795" s="4" t="str">
        <f t="shared" si="198"/>
        <v>Medium Order</v>
      </c>
      <c r="R1795" s="4" t="str">
        <f t="shared" si="199"/>
        <v>Weekend</v>
      </c>
      <c r="S1795" s="4" t="str">
        <f t="shared" si="200"/>
        <v>Regular</v>
      </c>
    </row>
    <row r="1796" spans="1:19" x14ac:dyDescent="0.3">
      <c r="A1796">
        <v>2697</v>
      </c>
      <c r="B1796" t="s">
        <v>3</v>
      </c>
      <c r="C1796" s="1">
        <v>45874</v>
      </c>
      <c r="D1796" t="s">
        <v>9</v>
      </c>
      <c r="E1796" t="s">
        <v>10</v>
      </c>
      <c r="F1796">
        <v>2</v>
      </c>
      <c r="G1796">
        <v>20.420000000000002</v>
      </c>
      <c r="H1796">
        <v>40.840000000000003</v>
      </c>
      <c r="I1796" t="str">
        <f t="shared" si="196"/>
        <v>No Discount</v>
      </c>
      <c r="J1796">
        <v>0</v>
      </c>
      <c r="K1796">
        <f t="shared" si="201"/>
        <v>40.840000000000003</v>
      </c>
      <c r="L1796" t="str">
        <f t="shared" si="202"/>
        <v>August</v>
      </c>
      <c r="M1796">
        <f>YEAR(C1796)</f>
        <v>2025</v>
      </c>
      <c r="N1796">
        <v>424</v>
      </c>
      <c r="O1796" t="str">
        <f>IF(N1796&gt;=200,"Platinum",IF(N1796&gt;=100,"Gold",IF(N1796&gt;=50,"Silver","Regular")))</f>
        <v>Platinum</v>
      </c>
      <c r="P1796" s="4" t="str">
        <f t="shared" si="197"/>
        <v>Tuesday</v>
      </c>
      <c r="Q1796" s="4" t="str">
        <f t="shared" si="198"/>
        <v>Small Order</v>
      </c>
      <c r="R1796" s="4" t="str">
        <f t="shared" si="199"/>
        <v>Weekday</v>
      </c>
      <c r="S1796" s="4" t="str">
        <f t="shared" si="200"/>
        <v>Regular</v>
      </c>
    </row>
    <row r="1797" spans="1:19" x14ac:dyDescent="0.3">
      <c r="A1797">
        <v>3661</v>
      </c>
      <c r="B1797" t="s">
        <v>13</v>
      </c>
      <c r="C1797" s="1">
        <v>45583</v>
      </c>
      <c r="D1797" t="s">
        <v>6</v>
      </c>
      <c r="E1797" t="s">
        <v>30</v>
      </c>
      <c r="F1797">
        <v>5</v>
      </c>
      <c r="G1797">
        <v>8.09</v>
      </c>
      <c r="H1797">
        <v>40.450000000000003</v>
      </c>
      <c r="I1797" t="str">
        <f t="shared" si="196"/>
        <v>No Discount</v>
      </c>
      <c r="J1797">
        <v>0</v>
      </c>
      <c r="K1797">
        <f t="shared" si="201"/>
        <v>40.450000000000003</v>
      </c>
      <c r="L1797" t="str">
        <f t="shared" si="202"/>
        <v>October</v>
      </c>
      <c r="M1797">
        <f>YEAR(C1797)</f>
        <v>2024</v>
      </c>
      <c r="N1797">
        <v>465</v>
      </c>
      <c r="O1797" t="str">
        <f>IF(N1797&gt;=200,"Platinum",IF(N1797&gt;=100,"Gold",IF(N1797&gt;=50,"Silver","Regular")))</f>
        <v>Platinum</v>
      </c>
      <c r="P1797" s="4" t="str">
        <f t="shared" si="197"/>
        <v>Friday</v>
      </c>
      <c r="Q1797" s="4" t="str">
        <f t="shared" si="198"/>
        <v>Medium Order</v>
      </c>
      <c r="R1797" s="4" t="str">
        <f t="shared" si="199"/>
        <v>Weekday</v>
      </c>
      <c r="S1797" s="4" t="str">
        <f t="shared" si="200"/>
        <v>Regular</v>
      </c>
    </row>
    <row r="1798" spans="1:19" x14ac:dyDescent="0.3">
      <c r="A1798">
        <v>5341</v>
      </c>
      <c r="B1798" t="s">
        <v>13</v>
      </c>
      <c r="C1798" s="1">
        <v>45807</v>
      </c>
      <c r="D1798" t="s">
        <v>11</v>
      </c>
      <c r="E1798" t="s">
        <v>33</v>
      </c>
      <c r="F1798">
        <v>3</v>
      </c>
      <c r="G1798">
        <v>13.42</v>
      </c>
      <c r="H1798">
        <v>40.26</v>
      </c>
      <c r="I1798" t="str">
        <f t="shared" si="196"/>
        <v>No Discount</v>
      </c>
      <c r="J1798">
        <v>0</v>
      </c>
      <c r="K1798">
        <f t="shared" si="201"/>
        <v>40.26</v>
      </c>
      <c r="L1798" t="str">
        <f t="shared" si="202"/>
        <v>May</v>
      </c>
      <c r="M1798">
        <f>YEAR(C1798)</f>
        <v>2025</v>
      </c>
      <c r="N1798">
        <v>301</v>
      </c>
      <c r="O1798" t="str">
        <f>IF(N1798&gt;=200,"Platinum",IF(N1798&gt;=100,"Gold",IF(N1798&gt;=50,"Silver","Regular")))</f>
        <v>Platinum</v>
      </c>
      <c r="P1798" s="4" t="str">
        <f t="shared" si="197"/>
        <v>Friday</v>
      </c>
      <c r="Q1798" s="4" t="str">
        <f t="shared" si="198"/>
        <v>Medium Order</v>
      </c>
      <c r="R1798" s="4" t="str">
        <f t="shared" si="199"/>
        <v>Weekday</v>
      </c>
      <c r="S1798" s="4" t="str">
        <f t="shared" si="200"/>
        <v>Regular</v>
      </c>
    </row>
    <row r="1799" spans="1:19" x14ac:dyDescent="0.3">
      <c r="A1799">
        <v>4948</v>
      </c>
      <c r="B1799" t="s">
        <v>0</v>
      </c>
      <c r="C1799" s="1">
        <v>45804</v>
      </c>
      <c r="D1799" t="s">
        <v>11</v>
      </c>
      <c r="E1799" t="s">
        <v>7</v>
      </c>
      <c r="F1799">
        <v>2</v>
      </c>
      <c r="G1799">
        <v>20.11</v>
      </c>
      <c r="H1799">
        <v>40.22</v>
      </c>
      <c r="I1799" t="str">
        <f t="shared" si="196"/>
        <v>No Discount</v>
      </c>
      <c r="J1799">
        <v>0</v>
      </c>
      <c r="K1799">
        <f t="shared" si="201"/>
        <v>40.22</v>
      </c>
      <c r="L1799" t="str">
        <f t="shared" si="202"/>
        <v>May</v>
      </c>
      <c r="M1799">
        <f>YEAR(C1799)</f>
        <v>2025</v>
      </c>
      <c r="N1799">
        <v>376</v>
      </c>
      <c r="O1799" t="str">
        <f>IF(N1799&gt;=200,"Platinum",IF(N1799&gt;=100,"Gold",IF(N1799&gt;=50,"Silver","Regular")))</f>
        <v>Platinum</v>
      </c>
      <c r="P1799" s="4" t="str">
        <f t="shared" si="197"/>
        <v>Tuesday</v>
      </c>
      <c r="Q1799" s="4" t="str">
        <f t="shared" si="198"/>
        <v>Small Order</v>
      </c>
      <c r="R1799" s="4" t="str">
        <f t="shared" si="199"/>
        <v>Weekday</v>
      </c>
      <c r="S1799" s="4" t="str">
        <f t="shared" si="200"/>
        <v>Regular</v>
      </c>
    </row>
    <row r="1800" spans="1:19" x14ac:dyDescent="0.3">
      <c r="A1800">
        <v>5902</v>
      </c>
      <c r="B1800" t="s">
        <v>15</v>
      </c>
      <c r="C1800" s="1">
        <v>45606</v>
      </c>
      <c r="D1800" t="s">
        <v>4</v>
      </c>
      <c r="E1800" t="s">
        <v>36</v>
      </c>
      <c r="F1800">
        <v>5</v>
      </c>
      <c r="G1800">
        <v>7.98</v>
      </c>
      <c r="H1800">
        <v>39.9</v>
      </c>
      <c r="I1800" t="str">
        <f t="shared" si="196"/>
        <v>No Discount</v>
      </c>
      <c r="J1800">
        <v>0</v>
      </c>
      <c r="K1800">
        <f t="shared" si="201"/>
        <v>39.9</v>
      </c>
      <c r="L1800" t="str">
        <f t="shared" si="202"/>
        <v>November</v>
      </c>
      <c r="M1800">
        <f>YEAR(C1800)</f>
        <v>2024</v>
      </c>
      <c r="N1800">
        <v>108</v>
      </c>
      <c r="O1800" t="str">
        <f>IF(N1800&gt;=200,"Platinum",IF(N1800&gt;=100,"Gold",IF(N1800&gt;=50,"Silver","Regular")))</f>
        <v>Gold</v>
      </c>
      <c r="P1800" s="4" t="str">
        <f t="shared" si="197"/>
        <v>Sunday</v>
      </c>
      <c r="Q1800" s="4" t="str">
        <f t="shared" si="198"/>
        <v>Medium Order</v>
      </c>
      <c r="R1800" s="4" t="str">
        <f t="shared" si="199"/>
        <v>Weekend</v>
      </c>
      <c r="S1800" s="4" t="str">
        <f t="shared" si="200"/>
        <v>Regular</v>
      </c>
    </row>
    <row r="1801" spans="1:19" x14ac:dyDescent="0.3">
      <c r="A1801">
        <v>6992</v>
      </c>
      <c r="B1801" t="s">
        <v>8</v>
      </c>
      <c r="C1801" s="1">
        <v>45215</v>
      </c>
      <c r="D1801" t="s">
        <v>1</v>
      </c>
      <c r="E1801" t="s">
        <v>12</v>
      </c>
      <c r="F1801">
        <v>5</v>
      </c>
      <c r="G1801">
        <v>7.91</v>
      </c>
      <c r="H1801">
        <v>39.549999999999997</v>
      </c>
      <c r="I1801" t="str">
        <f t="shared" si="196"/>
        <v>No Discount</v>
      </c>
      <c r="J1801">
        <v>0</v>
      </c>
      <c r="K1801">
        <f t="shared" si="201"/>
        <v>39.549999999999997</v>
      </c>
      <c r="L1801" t="str">
        <f t="shared" si="202"/>
        <v>October</v>
      </c>
      <c r="M1801">
        <f>YEAR(C1801)</f>
        <v>2023</v>
      </c>
      <c r="N1801">
        <v>369</v>
      </c>
      <c r="O1801" t="str">
        <f>IF(N1801&gt;=200,"Platinum",IF(N1801&gt;=100,"Gold",IF(N1801&gt;=50,"Silver","Regular")))</f>
        <v>Platinum</v>
      </c>
      <c r="P1801" s="4" t="str">
        <f t="shared" si="197"/>
        <v>Monday</v>
      </c>
      <c r="Q1801" s="4" t="str">
        <f t="shared" si="198"/>
        <v>Medium Order</v>
      </c>
      <c r="R1801" s="4" t="str">
        <f t="shared" si="199"/>
        <v>Weekday</v>
      </c>
      <c r="S1801" s="4" t="str">
        <f t="shared" si="200"/>
        <v>Regular</v>
      </c>
    </row>
    <row r="1802" spans="1:19" x14ac:dyDescent="0.3">
      <c r="A1802">
        <v>6145</v>
      </c>
      <c r="B1802" t="s">
        <v>25</v>
      </c>
      <c r="C1802" s="1">
        <v>45460</v>
      </c>
      <c r="D1802" t="s">
        <v>9</v>
      </c>
      <c r="E1802" t="s">
        <v>37</v>
      </c>
      <c r="F1802">
        <v>2</v>
      </c>
      <c r="G1802">
        <v>19.559999999999999</v>
      </c>
      <c r="H1802">
        <v>39.119999999999997</v>
      </c>
      <c r="I1802" t="str">
        <f t="shared" si="196"/>
        <v>No Discount</v>
      </c>
      <c r="J1802">
        <v>0</v>
      </c>
      <c r="K1802">
        <f t="shared" si="201"/>
        <v>39.119999999999997</v>
      </c>
      <c r="L1802" t="str">
        <f t="shared" si="202"/>
        <v>June</v>
      </c>
      <c r="M1802">
        <f>YEAR(C1802)</f>
        <v>2024</v>
      </c>
      <c r="N1802">
        <v>232</v>
      </c>
      <c r="O1802" t="str">
        <f>IF(N1802&gt;=200,"Platinum",IF(N1802&gt;=100,"Gold",IF(N1802&gt;=50,"Silver","Regular")))</f>
        <v>Platinum</v>
      </c>
      <c r="P1802" s="4" t="str">
        <f t="shared" si="197"/>
        <v>Monday</v>
      </c>
      <c r="Q1802" s="4" t="str">
        <f t="shared" si="198"/>
        <v>Small Order</v>
      </c>
      <c r="R1802" s="4" t="str">
        <f t="shared" si="199"/>
        <v>Weekday</v>
      </c>
      <c r="S1802" s="4" t="str">
        <f t="shared" si="200"/>
        <v>Regular</v>
      </c>
    </row>
    <row r="1803" spans="1:19" x14ac:dyDescent="0.3">
      <c r="A1803">
        <v>4626</v>
      </c>
      <c r="B1803" t="s">
        <v>25</v>
      </c>
      <c r="C1803" s="1">
        <v>45648</v>
      </c>
      <c r="D1803" t="s">
        <v>27</v>
      </c>
      <c r="E1803" t="s">
        <v>10</v>
      </c>
      <c r="F1803">
        <v>3</v>
      </c>
      <c r="G1803">
        <v>12.95</v>
      </c>
      <c r="H1803">
        <v>38.85</v>
      </c>
      <c r="I1803" t="str">
        <f t="shared" si="196"/>
        <v>No Discount</v>
      </c>
      <c r="J1803">
        <v>0</v>
      </c>
      <c r="K1803">
        <f t="shared" si="201"/>
        <v>38.85</v>
      </c>
      <c r="L1803" t="str">
        <f t="shared" si="202"/>
        <v>December</v>
      </c>
      <c r="M1803">
        <f>YEAR(C1803)</f>
        <v>2024</v>
      </c>
      <c r="N1803">
        <v>324</v>
      </c>
      <c r="O1803" t="str">
        <f>IF(N1803&gt;=200,"Platinum",IF(N1803&gt;=100,"Gold",IF(N1803&gt;=50,"Silver","Regular")))</f>
        <v>Platinum</v>
      </c>
      <c r="P1803" s="4" t="str">
        <f t="shared" si="197"/>
        <v>Sunday</v>
      </c>
      <c r="Q1803" s="4" t="str">
        <f t="shared" si="198"/>
        <v>Medium Order</v>
      </c>
      <c r="R1803" s="4" t="str">
        <f t="shared" si="199"/>
        <v>Weekend</v>
      </c>
      <c r="S1803" s="4" t="str">
        <f t="shared" si="200"/>
        <v>Regular</v>
      </c>
    </row>
    <row r="1804" spans="1:19" x14ac:dyDescent="0.3">
      <c r="A1804">
        <v>3950</v>
      </c>
      <c r="B1804" t="s">
        <v>31</v>
      </c>
      <c r="C1804" s="1">
        <v>45277</v>
      </c>
      <c r="D1804" t="s">
        <v>16</v>
      </c>
      <c r="E1804" t="s">
        <v>14</v>
      </c>
      <c r="F1804">
        <v>3</v>
      </c>
      <c r="G1804">
        <v>12.95</v>
      </c>
      <c r="H1804">
        <v>38.85</v>
      </c>
      <c r="I1804" t="str">
        <f t="shared" si="196"/>
        <v>No Discount</v>
      </c>
      <c r="J1804">
        <v>0</v>
      </c>
      <c r="K1804">
        <f t="shared" si="201"/>
        <v>38.85</v>
      </c>
      <c r="L1804" t="str">
        <f t="shared" si="202"/>
        <v>December</v>
      </c>
      <c r="M1804">
        <f>YEAR(C1804)</f>
        <v>2023</v>
      </c>
      <c r="N1804">
        <v>180</v>
      </c>
      <c r="O1804" t="str">
        <f>IF(N1804&gt;=200,"Platinum",IF(N1804&gt;=100,"Gold",IF(N1804&gt;=50,"Silver","Regular")))</f>
        <v>Gold</v>
      </c>
      <c r="P1804" s="4" t="str">
        <f t="shared" si="197"/>
        <v>Sunday</v>
      </c>
      <c r="Q1804" s="4" t="str">
        <f t="shared" si="198"/>
        <v>Medium Order</v>
      </c>
      <c r="R1804" s="4" t="str">
        <f t="shared" si="199"/>
        <v>Weekend</v>
      </c>
      <c r="S1804" s="4" t="str">
        <f t="shared" si="200"/>
        <v>Regular</v>
      </c>
    </row>
    <row r="1805" spans="1:19" x14ac:dyDescent="0.3">
      <c r="A1805">
        <v>4798</v>
      </c>
      <c r="B1805" t="s">
        <v>3</v>
      </c>
      <c r="C1805" s="1">
        <v>45764</v>
      </c>
      <c r="D1805" t="s">
        <v>23</v>
      </c>
      <c r="E1805" t="s">
        <v>21</v>
      </c>
      <c r="F1805">
        <v>3</v>
      </c>
      <c r="G1805">
        <v>12.68</v>
      </c>
      <c r="H1805">
        <v>38.04</v>
      </c>
      <c r="I1805" t="str">
        <f t="shared" si="196"/>
        <v>No Discount</v>
      </c>
      <c r="J1805">
        <v>0</v>
      </c>
      <c r="K1805">
        <f t="shared" si="201"/>
        <v>38.04</v>
      </c>
      <c r="L1805" t="str">
        <f t="shared" si="202"/>
        <v>April</v>
      </c>
      <c r="M1805">
        <f>YEAR(C1805)</f>
        <v>2025</v>
      </c>
      <c r="N1805">
        <v>338</v>
      </c>
      <c r="O1805" t="str">
        <f>IF(N1805&gt;=200,"Platinum",IF(N1805&gt;=100,"Gold",IF(N1805&gt;=50,"Silver","Regular")))</f>
        <v>Platinum</v>
      </c>
      <c r="P1805" s="4" t="str">
        <f t="shared" si="197"/>
        <v>Thursday</v>
      </c>
      <c r="Q1805" s="4" t="str">
        <f t="shared" si="198"/>
        <v>Medium Order</v>
      </c>
      <c r="R1805" s="4" t="str">
        <f t="shared" si="199"/>
        <v>Weekday</v>
      </c>
      <c r="S1805" s="4" t="str">
        <f t="shared" si="200"/>
        <v>Regular</v>
      </c>
    </row>
    <row r="1806" spans="1:19" x14ac:dyDescent="0.3">
      <c r="A1806">
        <v>5450</v>
      </c>
      <c r="B1806" t="s">
        <v>0</v>
      </c>
      <c r="C1806" s="1">
        <v>45251</v>
      </c>
      <c r="D1806" t="s">
        <v>24</v>
      </c>
      <c r="E1806" t="s">
        <v>26</v>
      </c>
      <c r="F1806">
        <v>4</v>
      </c>
      <c r="G1806">
        <v>9.5</v>
      </c>
      <c r="H1806">
        <v>38</v>
      </c>
      <c r="I1806" t="str">
        <f t="shared" si="196"/>
        <v>No Discount</v>
      </c>
      <c r="J1806">
        <v>0</v>
      </c>
      <c r="K1806">
        <f t="shared" si="201"/>
        <v>38</v>
      </c>
      <c r="L1806" t="str">
        <f t="shared" si="202"/>
        <v>November</v>
      </c>
      <c r="M1806">
        <f>YEAR(C1806)</f>
        <v>2023</v>
      </c>
      <c r="N1806">
        <v>109</v>
      </c>
      <c r="O1806" t="str">
        <f>IF(N1806&gt;=200,"Platinum",IF(N1806&gt;=100,"Gold",IF(N1806&gt;=50,"Silver","Regular")))</f>
        <v>Gold</v>
      </c>
      <c r="P1806" s="4" t="str">
        <f t="shared" si="197"/>
        <v>Tuesday</v>
      </c>
      <c r="Q1806" s="4" t="str">
        <f t="shared" si="198"/>
        <v>Medium Order</v>
      </c>
      <c r="R1806" s="4" t="str">
        <f t="shared" si="199"/>
        <v>Weekday</v>
      </c>
      <c r="S1806" s="4" t="str">
        <f t="shared" si="200"/>
        <v>Regular</v>
      </c>
    </row>
    <row r="1807" spans="1:19" x14ac:dyDescent="0.3">
      <c r="A1807">
        <v>9900</v>
      </c>
      <c r="B1807" t="s">
        <v>8</v>
      </c>
      <c r="C1807" s="1">
        <v>45691</v>
      </c>
      <c r="D1807" t="s">
        <v>11</v>
      </c>
      <c r="E1807" t="s">
        <v>12</v>
      </c>
      <c r="F1807">
        <v>3</v>
      </c>
      <c r="G1807">
        <v>12.23</v>
      </c>
      <c r="H1807">
        <v>36.69</v>
      </c>
      <c r="I1807" t="str">
        <f t="shared" si="196"/>
        <v>No Discount</v>
      </c>
      <c r="J1807">
        <v>0</v>
      </c>
      <c r="K1807">
        <f t="shared" si="201"/>
        <v>36.69</v>
      </c>
      <c r="L1807" t="str">
        <f t="shared" si="202"/>
        <v>February</v>
      </c>
      <c r="M1807">
        <f>YEAR(C1807)</f>
        <v>2025</v>
      </c>
      <c r="N1807">
        <v>396</v>
      </c>
      <c r="O1807" t="str">
        <f>IF(N1807&gt;=200,"Platinum",IF(N1807&gt;=100,"Gold",IF(N1807&gt;=50,"Silver","Regular")))</f>
        <v>Platinum</v>
      </c>
      <c r="P1807" s="4" t="str">
        <f t="shared" si="197"/>
        <v>Monday</v>
      </c>
      <c r="Q1807" s="4" t="str">
        <f t="shared" si="198"/>
        <v>Medium Order</v>
      </c>
      <c r="R1807" s="4" t="str">
        <f t="shared" si="199"/>
        <v>Weekday</v>
      </c>
      <c r="S1807" s="4" t="str">
        <f t="shared" si="200"/>
        <v>Regular</v>
      </c>
    </row>
    <row r="1808" spans="1:19" x14ac:dyDescent="0.3">
      <c r="A1808">
        <v>8398</v>
      </c>
      <c r="B1808" t="s">
        <v>3</v>
      </c>
      <c r="C1808" s="1">
        <v>45834</v>
      </c>
      <c r="D1808" t="s">
        <v>23</v>
      </c>
      <c r="E1808" t="s">
        <v>21</v>
      </c>
      <c r="F1808">
        <v>2</v>
      </c>
      <c r="G1808">
        <v>18.25</v>
      </c>
      <c r="H1808">
        <v>36.5</v>
      </c>
      <c r="I1808" t="str">
        <f t="shared" si="196"/>
        <v>No Discount</v>
      </c>
      <c r="J1808">
        <v>0</v>
      </c>
      <c r="K1808">
        <f t="shared" si="201"/>
        <v>36.5</v>
      </c>
      <c r="L1808" t="str">
        <f t="shared" si="202"/>
        <v>June</v>
      </c>
      <c r="M1808">
        <f>YEAR(C1808)</f>
        <v>2025</v>
      </c>
      <c r="N1808">
        <v>442</v>
      </c>
      <c r="O1808" t="str">
        <f>IF(N1808&gt;=200,"Platinum",IF(N1808&gt;=100,"Gold",IF(N1808&gt;=50,"Silver","Regular")))</f>
        <v>Platinum</v>
      </c>
      <c r="P1808" s="4" t="str">
        <f t="shared" si="197"/>
        <v>Thursday</v>
      </c>
      <c r="Q1808" s="4" t="str">
        <f t="shared" si="198"/>
        <v>Small Order</v>
      </c>
      <c r="R1808" s="4" t="str">
        <f t="shared" si="199"/>
        <v>Weekday</v>
      </c>
      <c r="S1808" s="4" t="str">
        <f t="shared" si="200"/>
        <v>Regular</v>
      </c>
    </row>
    <row r="1809" spans="1:19" x14ac:dyDescent="0.3">
      <c r="A1809">
        <v>5944</v>
      </c>
      <c r="B1809" t="s">
        <v>19</v>
      </c>
      <c r="C1809" s="1">
        <v>45825</v>
      </c>
      <c r="D1809" t="s">
        <v>17</v>
      </c>
      <c r="E1809" t="s">
        <v>33</v>
      </c>
      <c r="F1809">
        <v>5</v>
      </c>
      <c r="G1809">
        <v>7.3</v>
      </c>
      <c r="H1809">
        <v>36.5</v>
      </c>
      <c r="I1809" t="str">
        <f t="shared" si="196"/>
        <v>No Discount</v>
      </c>
      <c r="J1809">
        <v>0</v>
      </c>
      <c r="K1809">
        <f t="shared" si="201"/>
        <v>36.5</v>
      </c>
      <c r="L1809" t="str">
        <f t="shared" si="202"/>
        <v>June</v>
      </c>
      <c r="M1809">
        <f>YEAR(C1809)</f>
        <v>2025</v>
      </c>
      <c r="N1809">
        <v>287</v>
      </c>
      <c r="O1809" t="str">
        <f>IF(N1809&gt;=200,"Platinum",IF(N1809&gt;=100,"Gold",IF(N1809&gt;=50,"Silver","Regular")))</f>
        <v>Platinum</v>
      </c>
      <c r="P1809" s="4" t="str">
        <f t="shared" si="197"/>
        <v>Tuesday</v>
      </c>
      <c r="Q1809" s="4" t="str">
        <f t="shared" si="198"/>
        <v>Medium Order</v>
      </c>
      <c r="R1809" s="4" t="str">
        <f t="shared" si="199"/>
        <v>Weekday</v>
      </c>
      <c r="S1809" s="4" t="str">
        <f t="shared" si="200"/>
        <v>Regular</v>
      </c>
    </row>
    <row r="1810" spans="1:19" x14ac:dyDescent="0.3">
      <c r="A1810">
        <v>5681</v>
      </c>
      <c r="B1810" t="s">
        <v>13</v>
      </c>
      <c r="C1810" s="1">
        <v>45327</v>
      </c>
      <c r="D1810" t="s">
        <v>16</v>
      </c>
      <c r="E1810" t="s">
        <v>7</v>
      </c>
      <c r="F1810">
        <v>3</v>
      </c>
      <c r="G1810">
        <v>12.12</v>
      </c>
      <c r="H1810">
        <v>36.36</v>
      </c>
      <c r="I1810" t="str">
        <f t="shared" si="196"/>
        <v>No Discount</v>
      </c>
      <c r="J1810">
        <v>0</v>
      </c>
      <c r="K1810">
        <f t="shared" si="201"/>
        <v>36.36</v>
      </c>
      <c r="L1810" t="str">
        <f t="shared" si="202"/>
        <v>February</v>
      </c>
      <c r="M1810">
        <f>YEAR(C1810)</f>
        <v>2024</v>
      </c>
      <c r="N1810">
        <v>378</v>
      </c>
      <c r="O1810" t="str">
        <f>IF(N1810&gt;=200,"Platinum",IF(N1810&gt;=100,"Gold",IF(N1810&gt;=50,"Silver","Regular")))</f>
        <v>Platinum</v>
      </c>
      <c r="P1810" s="4" t="str">
        <f t="shared" si="197"/>
        <v>Monday</v>
      </c>
      <c r="Q1810" s="4" t="str">
        <f t="shared" si="198"/>
        <v>Medium Order</v>
      </c>
      <c r="R1810" s="4" t="str">
        <f t="shared" si="199"/>
        <v>Weekday</v>
      </c>
      <c r="S1810" s="4" t="str">
        <f t="shared" si="200"/>
        <v>Regular</v>
      </c>
    </row>
    <row r="1811" spans="1:19" x14ac:dyDescent="0.3">
      <c r="A1811">
        <v>7775</v>
      </c>
      <c r="B1811" t="s">
        <v>25</v>
      </c>
      <c r="C1811" s="1">
        <v>45378</v>
      </c>
      <c r="D1811" t="s">
        <v>17</v>
      </c>
      <c r="E1811" t="s">
        <v>21</v>
      </c>
      <c r="F1811">
        <v>2</v>
      </c>
      <c r="G1811">
        <v>17.71</v>
      </c>
      <c r="H1811">
        <v>35.42</v>
      </c>
      <c r="I1811" t="str">
        <f t="shared" si="196"/>
        <v>No Discount</v>
      </c>
      <c r="J1811">
        <v>0</v>
      </c>
      <c r="K1811">
        <f t="shared" si="201"/>
        <v>35.42</v>
      </c>
      <c r="L1811" t="str">
        <f t="shared" si="202"/>
        <v>March</v>
      </c>
      <c r="M1811">
        <f>YEAR(C1811)</f>
        <v>2024</v>
      </c>
      <c r="N1811">
        <v>145</v>
      </c>
      <c r="O1811" t="str">
        <f>IF(N1811&gt;=200,"Platinum",IF(N1811&gt;=100,"Gold",IF(N1811&gt;=50,"Silver","Regular")))</f>
        <v>Gold</v>
      </c>
      <c r="P1811" s="4" t="str">
        <f t="shared" si="197"/>
        <v>Wednesday</v>
      </c>
      <c r="Q1811" s="4" t="str">
        <f t="shared" si="198"/>
        <v>Small Order</v>
      </c>
      <c r="R1811" s="4" t="str">
        <f t="shared" si="199"/>
        <v>Weekday</v>
      </c>
      <c r="S1811" s="4" t="str">
        <f t="shared" si="200"/>
        <v>Regular</v>
      </c>
    </row>
    <row r="1812" spans="1:19" x14ac:dyDescent="0.3">
      <c r="A1812">
        <v>3868</v>
      </c>
      <c r="B1812" t="s">
        <v>20</v>
      </c>
      <c r="C1812" s="1">
        <v>45469</v>
      </c>
      <c r="D1812" t="s">
        <v>24</v>
      </c>
      <c r="E1812" t="s">
        <v>37</v>
      </c>
      <c r="F1812">
        <v>3</v>
      </c>
      <c r="G1812">
        <v>11.53</v>
      </c>
      <c r="H1812">
        <v>34.590000000000003</v>
      </c>
      <c r="I1812" t="str">
        <f t="shared" si="196"/>
        <v>No Discount</v>
      </c>
      <c r="J1812">
        <v>0</v>
      </c>
      <c r="K1812">
        <f t="shared" si="201"/>
        <v>34.590000000000003</v>
      </c>
      <c r="L1812" t="str">
        <f t="shared" si="202"/>
        <v>June</v>
      </c>
      <c r="M1812">
        <f>YEAR(C1812)</f>
        <v>2024</v>
      </c>
      <c r="N1812">
        <v>482</v>
      </c>
      <c r="O1812" t="str">
        <f>IF(N1812&gt;=200,"Platinum",IF(N1812&gt;=100,"Gold",IF(N1812&gt;=50,"Silver","Regular")))</f>
        <v>Platinum</v>
      </c>
      <c r="P1812" s="4" t="str">
        <f t="shared" si="197"/>
        <v>Wednesday</v>
      </c>
      <c r="Q1812" s="4" t="str">
        <f t="shared" si="198"/>
        <v>Medium Order</v>
      </c>
      <c r="R1812" s="4" t="str">
        <f t="shared" si="199"/>
        <v>Weekday</v>
      </c>
      <c r="S1812" s="4" t="str">
        <f t="shared" si="200"/>
        <v>Regular</v>
      </c>
    </row>
    <row r="1813" spans="1:19" x14ac:dyDescent="0.3">
      <c r="A1813">
        <v>1096</v>
      </c>
      <c r="B1813" t="s">
        <v>13</v>
      </c>
      <c r="C1813" s="1">
        <v>45418</v>
      </c>
      <c r="D1813" t="s">
        <v>11</v>
      </c>
      <c r="E1813" t="s">
        <v>37</v>
      </c>
      <c r="F1813">
        <v>5</v>
      </c>
      <c r="G1813">
        <v>6.78</v>
      </c>
      <c r="H1813">
        <v>33.9</v>
      </c>
      <c r="I1813" t="str">
        <f t="shared" si="196"/>
        <v>No Discount</v>
      </c>
      <c r="J1813">
        <v>0</v>
      </c>
      <c r="K1813">
        <f t="shared" si="201"/>
        <v>33.9</v>
      </c>
      <c r="L1813" t="str">
        <f t="shared" si="202"/>
        <v>May</v>
      </c>
      <c r="M1813">
        <f>YEAR(C1813)</f>
        <v>2024</v>
      </c>
      <c r="N1813">
        <v>279</v>
      </c>
      <c r="O1813" t="str">
        <f>IF(N1813&gt;=200,"Platinum",IF(N1813&gt;=100,"Gold",IF(N1813&gt;=50,"Silver","Regular")))</f>
        <v>Platinum</v>
      </c>
      <c r="P1813" s="4" t="str">
        <f t="shared" si="197"/>
        <v>Monday</v>
      </c>
      <c r="Q1813" s="4" t="str">
        <f t="shared" si="198"/>
        <v>Medium Order</v>
      </c>
      <c r="R1813" s="4" t="str">
        <f t="shared" si="199"/>
        <v>Weekday</v>
      </c>
      <c r="S1813" s="4" t="str">
        <f t="shared" si="200"/>
        <v>Regular</v>
      </c>
    </row>
    <row r="1814" spans="1:19" x14ac:dyDescent="0.3">
      <c r="A1814">
        <v>9864</v>
      </c>
      <c r="B1814" t="s">
        <v>25</v>
      </c>
      <c r="C1814" s="1">
        <v>45172</v>
      </c>
      <c r="D1814" t="s">
        <v>27</v>
      </c>
      <c r="E1814" t="s">
        <v>7</v>
      </c>
      <c r="F1814">
        <v>4</v>
      </c>
      <c r="G1814">
        <v>8.35</v>
      </c>
      <c r="H1814">
        <v>33.4</v>
      </c>
      <c r="I1814" t="str">
        <f t="shared" si="196"/>
        <v>No Discount</v>
      </c>
      <c r="J1814">
        <v>0</v>
      </c>
      <c r="K1814">
        <f t="shared" si="201"/>
        <v>33.4</v>
      </c>
      <c r="L1814" t="str">
        <f t="shared" si="202"/>
        <v>September</v>
      </c>
      <c r="M1814">
        <f>YEAR(C1814)</f>
        <v>2023</v>
      </c>
      <c r="N1814">
        <v>157</v>
      </c>
      <c r="O1814" t="str">
        <f>IF(N1814&gt;=200,"Platinum",IF(N1814&gt;=100,"Gold",IF(N1814&gt;=50,"Silver","Regular")))</f>
        <v>Gold</v>
      </c>
      <c r="P1814" s="4" t="str">
        <f t="shared" si="197"/>
        <v>Sunday</v>
      </c>
      <c r="Q1814" s="4" t="str">
        <f t="shared" si="198"/>
        <v>Medium Order</v>
      </c>
      <c r="R1814" s="4" t="str">
        <f t="shared" si="199"/>
        <v>Weekend</v>
      </c>
      <c r="S1814" s="4" t="str">
        <f t="shared" si="200"/>
        <v>Regular</v>
      </c>
    </row>
    <row r="1815" spans="1:19" x14ac:dyDescent="0.3">
      <c r="A1815">
        <v>7504</v>
      </c>
      <c r="B1815" t="s">
        <v>8</v>
      </c>
      <c r="C1815" s="1">
        <v>45757</v>
      </c>
      <c r="D1815" t="s">
        <v>24</v>
      </c>
      <c r="E1815" t="s">
        <v>36</v>
      </c>
      <c r="F1815">
        <v>3</v>
      </c>
      <c r="G1815">
        <v>10.68</v>
      </c>
      <c r="H1815">
        <v>32.04</v>
      </c>
      <c r="I1815" t="str">
        <f t="shared" si="196"/>
        <v>No Discount</v>
      </c>
      <c r="J1815">
        <v>0</v>
      </c>
      <c r="K1815">
        <f t="shared" si="201"/>
        <v>32.04</v>
      </c>
      <c r="L1815" t="str">
        <f t="shared" si="202"/>
        <v>April</v>
      </c>
      <c r="M1815">
        <f>YEAR(C1815)</f>
        <v>2025</v>
      </c>
      <c r="N1815">
        <v>57</v>
      </c>
      <c r="O1815" t="str">
        <f>IF(N1815&gt;=200,"Platinum",IF(N1815&gt;=100,"Gold",IF(N1815&gt;=50,"Silver","Regular")))</f>
        <v>Silver</v>
      </c>
      <c r="P1815" s="4" t="str">
        <f t="shared" si="197"/>
        <v>Thursday</v>
      </c>
      <c r="Q1815" s="4" t="str">
        <f t="shared" si="198"/>
        <v>Medium Order</v>
      </c>
      <c r="R1815" s="4" t="str">
        <f t="shared" si="199"/>
        <v>Weekday</v>
      </c>
      <c r="S1815" s="4" t="str">
        <f t="shared" si="200"/>
        <v>Regular</v>
      </c>
    </row>
    <row r="1816" spans="1:19" x14ac:dyDescent="0.3">
      <c r="A1816">
        <v>5941</v>
      </c>
      <c r="B1816" t="s">
        <v>19</v>
      </c>
      <c r="C1816" s="1">
        <v>45805</v>
      </c>
      <c r="D1816" t="s">
        <v>1</v>
      </c>
      <c r="E1816" t="s">
        <v>26</v>
      </c>
      <c r="F1816">
        <v>2</v>
      </c>
      <c r="G1816">
        <v>16</v>
      </c>
      <c r="H1816">
        <v>32</v>
      </c>
      <c r="I1816" t="str">
        <f t="shared" si="196"/>
        <v>No Discount</v>
      </c>
      <c r="J1816">
        <v>0</v>
      </c>
      <c r="K1816">
        <f t="shared" si="201"/>
        <v>32</v>
      </c>
      <c r="L1816" t="str">
        <f t="shared" si="202"/>
        <v>May</v>
      </c>
      <c r="M1816">
        <f>YEAR(C1816)</f>
        <v>2025</v>
      </c>
      <c r="N1816">
        <v>260</v>
      </c>
      <c r="O1816" t="str">
        <f>IF(N1816&gt;=200,"Platinum",IF(N1816&gt;=100,"Gold",IF(N1816&gt;=50,"Silver","Regular")))</f>
        <v>Platinum</v>
      </c>
      <c r="P1816" s="4" t="str">
        <f t="shared" si="197"/>
        <v>Wednesday</v>
      </c>
      <c r="Q1816" s="4" t="str">
        <f t="shared" si="198"/>
        <v>Small Order</v>
      </c>
      <c r="R1816" s="4" t="str">
        <f t="shared" si="199"/>
        <v>Weekday</v>
      </c>
      <c r="S1816" s="4" t="str">
        <f t="shared" si="200"/>
        <v>Regular</v>
      </c>
    </row>
    <row r="1817" spans="1:19" x14ac:dyDescent="0.3">
      <c r="A1817">
        <v>2374</v>
      </c>
      <c r="B1817" t="s">
        <v>0</v>
      </c>
      <c r="C1817" s="1">
        <v>45737</v>
      </c>
      <c r="D1817" t="s">
        <v>6</v>
      </c>
      <c r="E1817" t="s">
        <v>37</v>
      </c>
      <c r="F1817">
        <v>3</v>
      </c>
      <c r="G1817">
        <v>10.54</v>
      </c>
      <c r="H1817">
        <v>31.62</v>
      </c>
      <c r="I1817" t="str">
        <f t="shared" si="196"/>
        <v>No Discount</v>
      </c>
      <c r="J1817">
        <v>0</v>
      </c>
      <c r="K1817">
        <f t="shared" si="201"/>
        <v>31.62</v>
      </c>
      <c r="L1817" t="str">
        <f t="shared" si="202"/>
        <v>March</v>
      </c>
      <c r="M1817">
        <f>YEAR(C1817)</f>
        <v>2025</v>
      </c>
      <c r="N1817">
        <v>299</v>
      </c>
      <c r="O1817" t="str">
        <f>IF(N1817&gt;=200,"Platinum",IF(N1817&gt;=100,"Gold",IF(N1817&gt;=50,"Silver","Regular")))</f>
        <v>Platinum</v>
      </c>
      <c r="P1817" s="4" t="str">
        <f t="shared" si="197"/>
        <v>Friday</v>
      </c>
      <c r="Q1817" s="4" t="str">
        <f t="shared" si="198"/>
        <v>Medium Order</v>
      </c>
      <c r="R1817" s="4" t="str">
        <f t="shared" si="199"/>
        <v>Weekday</v>
      </c>
      <c r="S1817" s="4" t="str">
        <f t="shared" si="200"/>
        <v>Regular</v>
      </c>
    </row>
    <row r="1818" spans="1:19" x14ac:dyDescent="0.3">
      <c r="A1818">
        <v>2768</v>
      </c>
      <c r="B1818" t="s">
        <v>15</v>
      </c>
      <c r="C1818" s="1">
        <v>45525</v>
      </c>
      <c r="D1818" t="s">
        <v>23</v>
      </c>
      <c r="E1818" t="s">
        <v>37</v>
      </c>
      <c r="F1818">
        <v>3</v>
      </c>
      <c r="G1818">
        <v>10.54</v>
      </c>
      <c r="H1818">
        <v>31.62</v>
      </c>
      <c r="I1818" t="str">
        <f t="shared" si="196"/>
        <v>No Discount</v>
      </c>
      <c r="J1818">
        <v>0</v>
      </c>
      <c r="K1818">
        <f t="shared" si="201"/>
        <v>31.62</v>
      </c>
      <c r="L1818" t="str">
        <f t="shared" si="202"/>
        <v>August</v>
      </c>
      <c r="M1818">
        <f>YEAR(C1818)</f>
        <v>2024</v>
      </c>
      <c r="N1818">
        <v>211</v>
      </c>
      <c r="O1818" t="str">
        <f>IF(N1818&gt;=200,"Platinum",IF(N1818&gt;=100,"Gold",IF(N1818&gt;=50,"Silver","Regular")))</f>
        <v>Platinum</v>
      </c>
      <c r="P1818" s="4" t="str">
        <f t="shared" si="197"/>
        <v>Wednesday</v>
      </c>
      <c r="Q1818" s="4" t="str">
        <f t="shared" si="198"/>
        <v>Medium Order</v>
      </c>
      <c r="R1818" s="4" t="str">
        <f t="shared" si="199"/>
        <v>Weekday</v>
      </c>
      <c r="S1818" s="4" t="str">
        <f t="shared" si="200"/>
        <v>Regular</v>
      </c>
    </row>
    <row r="1819" spans="1:19" x14ac:dyDescent="0.3">
      <c r="A1819">
        <v>3329</v>
      </c>
      <c r="B1819" t="s">
        <v>31</v>
      </c>
      <c r="C1819" s="1">
        <v>45593</v>
      </c>
      <c r="D1819" t="s">
        <v>24</v>
      </c>
      <c r="E1819" t="s">
        <v>18</v>
      </c>
      <c r="F1819">
        <v>3</v>
      </c>
      <c r="G1819">
        <v>10.52</v>
      </c>
      <c r="H1819">
        <v>31.56</v>
      </c>
      <c r="I1819" t="str">
        <f t="shared" si="196"/>
        <v>No Discount</v>
      </c>
      <c r="J1819">
        <v>0</v>
      </c>
      <c r="K1819">
        <f t="shared" si="201"/>
        <v>31.56</v>
      </c>
      <c r="L1819" t="str">
        <f t="shared" si="202"/>
        <v>October</v>
      </c>
      <c r="M1819">
        <f>YEAR(C1819)</f>
        <v>2024</v>
      </c>
      <c r="N1819">
        <v>498</v>
      </c>
      <c r="O1819" t="str">
        <f>IF(N1819&gt;=200,"Platinum",IF(N1819&gt;=100,"Gold",IF(N1819&gt;=50,"Silver","Regular")))</f>
        <v>Platinum</v>
      </c>
      <c r="P1819" s="4" t="str">
        <f t="shared" si="197"/>
        <v>Monday</v>
      </c>
      <c r="Q1819" s="4" t="str">
        <f t="shared" si="198"/>
        <v>Medium Order</v>
      </c>
      <c r="R1819" s="4" t="str">
        <f t="shared" si="199"/>
        <v>Weekday</v>
      </c>
      <c r="S1819" s="4" t="str">
        <f t="shared" si="200"/>
        <v>Regular</v>
      </c>
    </row>
    <row r="1820" spans="1:19" x14ac:dyDescent="0.3">
      <c r="A1820">
        <v>2862</v>
      </c>
      <c r="B1820" t="s">
        <v>31</v>
      </c>
      <c r="C1820" s="1">
        <v>45724</v>
      </c>
      <c r="D1820" t="s">
        <v>34</v>
      </c>
      <c r="E1820" t="s">
        <v>32</v>
      </c>
      <c r="F1820">
        <v>3</v>
      </c>
      <c r="G1820">
        <v>10.39</v>
      </c>
      <c r="H1820">
        <v>31.17</v>
      </c>
      <c r="I1820" t="str">
        <f t="shared" si="196"/>
        <v>No Discount</v>
      </c>
      <c r="J1820">
        <v>0</v>
      </c>
      <c r="K1820">
        <f t="shared" si="201"/>
        <v>31.17</v>
      </c>
      <c r="L1820" t="str">
        <f t="shared" si="202"/>
        <v>March</v>
      </c>
      <c r="M1820">
        <f>YEAR(C1820)</f>
        <v>2025</v>
      </c>
      <c r="N1820">
        <v>332</v>
      </c>
      <c r="O1820" t="str">
        <f>IF(N1820&gt;=200,"Platinum",IF(N1820&gt;=100,"Gold",IF(N1820&gt;=50,"Silver","Regular")))</f>
        <v>Platinum</v>
      </c>
      <c r="P1820" s="4" t="str">
        <f t="shared" si="197"/>
        <v>Saturday</v>
      </c>
      <c r="Q1820" s="4" t="str">
        <f t="shared" si="198"/>
        <v>Medium Order</v>
      </c>
      <c r="R1820" s="4" t="str">
        <f t="shared" si="199"/>
        <v>Weekend</v>
      </c>
      <c r="S1820" s="4" t="str">
        <f t="shared" si="200"/>
        <v>Regular</v>
      </c>
    </row>
    <row r="1821" spans="1:19" x14ac:dyDescent="0.3">
      <c r="A1821">
        <v>3762</v>
      </c>
      <c r="B1821" t="s">
        <v>49</v>
      </c>
      <c r="C1821" s="1">
        <v>45604</v>
      </c>
      <c r="D1821" t="s">
        <v>6</v>
      </c>
      <c r="E1821" t="s">
        <v>33</v>
      </c>
      <c r="F1821">
        <v>4</v>
      </c>
      <c r="G1821">
        <v>7.77</v>
      </c>
      <c r="H1821">
        <v>31.08</v>
      </c>
      <c r="I1821" t="str">
        <f t="shared" si="196"/>
        <v>No Discount</v>
      </c>
      <c r="J1821">
        <v>0</v>
      </c>
      <c r="K1821">
        <f t="shared" si="201"/>
        <v>31.08</v>
      </c>
      <c r="L1821" t="str">
        <f t="shared" si="202"/>
        <v>November</v>
      </c>
      <c r="M1821">
        <f>YEAR(C1821)</f>
        <v>2024</v>
      </c>
      <c r="N1821">
        <v>300</v>
      </c>
      <c r="O1821" t="str">
        <f>IF(N1821&gt;=200,"Platinum",IF(N1821&gt;=100,"Gold",IF(N1821&gt;=50,"Silver","Regular")))</f>
        <v>Platinum</v>
      </c>
      <c r="P1821" s="4" t="str">
        <f t="shared" si="197"/>
        <v>Friday</v>
      </c>
      <c r="Q1821" s="4" t="str">
        <f t="shared" si="198"/>
        <v>Medium Order</v>
      </c>
      <c r="R1821" s="4" t="str">
        <f t="shared" si="199"/>
        <v>Weekday</v>
      </c>
      <c r="S1821" s="4" t="str">
        <f t="shared" si="200"/>
        <v>Regular</v>
      </c>
    </row>
    <row r="1822" spans="1:19" x14ac:dyDescent="0.3">
      <c r="A1822">
        <v>3147</v>
      </c>
      <c r="B1822" t="s">
        <v>3</v>
      </c>
      <c r="C1822" s="1">
        <v>45608</v>
      </c>
      <c r="D1822" t="s">
        <v>16</v>
      </c>
      <c r="E1822" t="s">
        <v>26</v>
      </c>
      <c r="F1822">
        <v>2</v>
      </c>
      <c r="G1822">
        <v>15.24</v>
      </c>
      <c r="H1822">
        <v>30.48</v>
      </c>
      <c r="I1822" t="str">
        <f t="shared" si="196"/>
        <v>No Discount</v>
      </c>
      <c r="J1822">
        <v>0</v>
      </c>
      <c r="K1822">
        <f t="shared" si="201"/>
        <v>30.48</v>
      </c>
      <c r="L1822" t="str">
        <f t="shared" si="202"/>
        <v>November</v>
      </c>
      <c r="M1822">
        <f>YEAR(C1822)</f>
        <v>2024</v>
      </c>
      <c r="N1822">
        <v>68</v>
      </c>
      <c r="O1822" t="str">
        <f>IF(N1822&gt;=200,"Platinum",IF(N1822&gt;=100,"Gold",IF(N1822&gt;=50,"Silver","Regular")))</f>
        <v>Silver</v>
      </c>
      <c r="P1822" s="4" t="str">
        <f t="shared" si="197"/>
        <v>Tuesday</v>
      </c>
      <c r="Q1822" s="4" t="str">
        <f t="shared" si="198"/>
        <v>Small Order</v>
      </c>
      <c r="R1822" s="4" t="str">
        <f t="shared" si="199"/>
        <v>Weekday</v>
      </c>
      <c r="S1822" s="4" t="str">
        <f t="shared" si="200"/>
        <v>Regular</v>
      </c>
    </row>
    <row r="1823" spans="1:19" x14ac:dyDescent="0.3">
      <c r="A1823">
        <v>9813</v>
      </c>
      <c r="B1823" t="s">
        <v>15</v>
      </c>
      <c r="C1823" s="1">
        <v>45512</v>
      </c>
      <c r="D1823" t="s">
        <v>24</v>
      </c>
      <c r="E1823" t="s">
        <v>10</v>
      </c>
      <c r="F1823">
        <v>4</v>
      </c>
      <c r="G1823">
        <v>7.54</v>
      </c>
      <c r="H1823">
        <v>30.16</v>
      </c>
      <c r="I1823" t="str">
        <f t="shared" si="196"/>
        <v>No Discount</v>
      </c>
      <c r="J1823">
        <v>0</v>
      </c>
      <c r="K1823">
        <f t="shared" si="201"/>
        <v>30.16</v>
      </c>
      <c r="L1823" t="str">
        <f t="shared" si="202"/>
        <v>August</v>
      </c>
      <c r="M1823">
        <f>YEAR(C1823)</f>
        <v>2024</v>
      </c>
      <c r="N1823">
        <v>135</v>
      </c>
      <c r="O1823" t="str">
        <f>IF(N1823&gt;=200,"Platinum",IF(N1823&gt;=100,"Gold",IF(N1823&gt;=50,"Silver","Regular")))</f>
        <v>Gold</v>
      </c>
      <c r="P1823" s="4" t="str">
        <f t="shared" si="197"/>
        <v>Thursday</v>
      </c>
      <c r="Q1823" s="4" t="str">
        <f t="shared" si="198"/>
        <v>Medium Order</v>
      </c>
      <c r="R1823" s="4" t="str">
        <f t="shared" si="199"/>
        <v>Weekday</v>
      </c>
      <c r="S1823" s="4" t="str">
        <f t="shared" si="200"/>
        <v>Regular</v>
      </c>
    </row>
    <row r="1824" spans="1:19" x14ac:dyDescent="0.3">
      <c r="A1824">
        <v>5978</v>
      </c>
      <c r="B1824" t="s">
        <v>25</v>
      </c>
      <c r="C1824" s="1">
        <v>45211</v>
      </c>
      <c r="D1824" t="s">
        <v>1</v>
      </c>
      <c r="E1824" t="s">
        <v>10</v>
      </c>
      <c r="F1824">
        <v>3</v>
      </c>
      <c r="G1824">
        <v>10.01</v>
      </c>
      <c r="H1824">
        <v>30.03</v>
      </c>
      <c r="I1824" t="str">
        <f t="shared" si="196"/>
        <v>No Discount</v>
      </c>
      <c r="J1824">
        <v>0</v>
      </c>
      <c r="K1824">
        <f t="shared" si="201"/>
        <v>30.03</v>
      </c>
      <c r="L1824" t="str">
        <f t="shared" si="202"/>
        <v>October</v>
      </c>
      <c r="M1824">
        <f>YEAR(C1824)</f>
        <v>2023</v>
      </c>
      <c r="N1824">
        <v>431</v>
      </c>
      <c r="O1824" t="str">
        <f>IF(N1824&gt;=200,"Platinum",IF(N1824&gt;=100,"Gold",IF(N1824&gt;=50,"Silver","Regular")))</f>
        <v>Platinum</v>
      </c>
      <c r="P1824" s="4" t="str">
        <f t="shared" si="197"/>
        <v>Thursday</v>
      </c>
      <c r="Q1824" s="4" t="str">
        <f t="shared" si="198"/>
        <v>Medium Order</v>
      </c>
      <c r="R1824" s="4" t="str">
        <f t="shared" si="199"/>
        <v>Weekday</v>
      </c>
      <c r="S1824" s="4" t="str">
        <f t="shared" si="200"/>
        <v>Regular</v>
      </c>
    </row>
    <row r="1825" spans="1:19" x14ac:dyDescent="0.3">
      <c r="A1825">
        <v>8265</v>
      </c>
      <c r="B1825" t="s">
        <v>15</v>
      </c>
      <c r="C1825" s="1">
        <v>45773</v>
      </c>
      <c r="D1825" t="s">
        <v>17</v>
      </c>
      <c r="E1825" t="s">
        <v>14</v>
      </c>
      <c r="F1825">
        <v>2</v>
      </c>
      <c r="G1825">
        <v>14.89</v>
      </c>
      <c r="H1825">
        <v>29.78</v>
      </c>
      <c r="I1825" t="str">
        <f t="shared" si="196"/>
        <v>No Discount</v>
      </c>
      <c r="J1825">
        <v>0</v>
      </c>
      <c r="K1825">
        <f t="shared" si="201"/>
        <v>29.78</v>
      </c>
      <c r="L1825" t="str">
        <f t="shared" si="202"/>
        <v>April</v>
      </c>
      <c r="M1825">
        <f>YEAR(C1825)</f>
        <v>2025</v>
      </c>
      <c r="N1825">
        <v>486</v>
      </c>
      <c r="O1825" t="str">
        <f>IF(N1825&gt;=200,"Platinum",IF(N1825&gt;=100,"Gold",IF(N1825&gt;=50,"Silver","Regular")))</f>
        <v>Platinum</v>
      </c>
      <c r="P1825" s="4" t="str">
        <f t="shared" si="197"/>
        <v>Saturday</v>
      </c>
      <c r="Q1825" s="4" t="str">
        <f t="shared" si="198"/>
        <v>Small Order</v>
      </c>
      <c r="R1825" s="4" t="str">
        <f t="shared" si="199"/>
        <v>Weekend</v>
      </c>
      <c r="S1825" s="4" t="str">
        <f t="shared" si="200"/>
        <v>Regular</v>
      </c>
    </row>
    <row r="1826" spans="1:19" x14ac:dyDescent="0.3">
      <c r="A1826">
        <v>5198</v>
      </c>
      <c r="B1826" t="s">
        <v>8</v>
      </c>
      <c r="C1826" s="1">
        <v>45740</v>
      </c>
      <c r="D1826" t="s">
        <v>34</v>
      </c>
      <c r="E1826" t="s">
        <v>22</v>
      </c>
      <c r="F1826">
        <v>1</v>
      </c>
      <c r="G1826">
        <v>29.75</v>
      </c>
      <c r="H1826">
        <v>29.75</v>
      </c>
      <c r="I1826" t="str">
        <f t="shared" si="196"/>
        <v>No Discount</v>
      </c>
      <c r="J1826">
        <v>0</v>
      </c>
      <c r="K1826">
        <f t="shared" si="201"/>
        <v>29.75</v>
      </c>
      <c r="L1826" t="str">
        <f t="shared" si="202"/>
        <v>March</v>
      </c>
      <c r="M1826">
        <f>YEAR(C1826)</f>
        <v>2025</v>
      </c>
      <c r="N1826">
        <v>219</v>
      </c>
      <c r="O1826" t="str">
        <f>IF(N1826&gt;=200,"Platinum",IF(N1826&gt;=100,"Gold",IF(N1826&gt;=50,"Silver","Regular")))</f>
        <v>Platinum</v>
      </c>
      <c r="P1826" s="4" t="str">
        <f t="shared" si="197"/>
        <v>Monday</v>
      </c>
      <c r="Q1826" s="4" t="str">
        <f t="shared" si="198"/>
        <v>Small Order</v>
      </c>
      <c r="R1826" s="4" t="str">
        <f t="shared" si="199"/>
        <v>Weekday</v>
      </c>
      <c r="S1826" s="4" t="str">
        <f t="shared" si="200"/>
        <v>Regular</v>
      </c>
    </row>
    <row r="1827" spans="1:19" x14ac:dyDescent="0.3">
      <c r="A1827">
        <v>5676</v>
      </c>
      <c r="B1827" t="s">
        <v>31</v>
      </c>
      <c r="C1827" s="1">
        <v>45646</v>
      </c>
      <c r="D1827" t="s">
        <v>16</v>
      </c>
      <c r="E1827" t="s">
        <v>5</v>
      </c>
      <c r="F1827">
        <v>2</v>
      </c>
      <c r="G1827">
        <v>14.73</v>
      </c>
      <c r="H1827">
        <v>29.46</v>
      </c>
      <c r="I1827" t="str">
        <f t="shared" si="196"/>
        <v>No Discount</v>
      </c>
      <c r="J1827">
        <v>0</v>
      </c>
      <c r="K1827">
        <f t="shared" si="201"/>
        <v>29.46</v>
      </c>
      <c r="L1827" t="str">
        <f t="shared" si="202"/>
        <v>December</v>
      </c>
      <c r="M1827">
        <f>YEAR(C1827)</f>
        <v>2024</v>
      </c>
      <c r="N1827">
        <v>400</v>
      </c>
      <c r="O1827" t="str">
        <f>IF(N1827&gt;=200,"Platinum",IF(N1827&gt;=100,"Gold",IF(N1827&gt;=50,"Silver","Regular")))</f>
        <v>Platinum</v>
      </c>
      <c r="P1827" s="4" t="str">
        <f t="shared" si="197"/>
        <v>Friday</v>
      </c>
      <c r="Q1827" s="4" t="str">
        <f t="shared" si="198"/>
        <v>Small Order</v>
      </c>
      <c r="R1827" s="4" t="str">
        <f t="shared" si="199"/>
        <v>Weekday</v>
      </c>
      <c r="S1827" s="4" t="str">
        <f t="shared" si="200"/>
        <v>Regular</v>
      </c>
    </row>
    <row r="1828" spans="1:19" x14ac:dyDescent="0.3">
      <c r="A1828">
        <v>6179</v>
      </c>
      <c r="B1828" t="s">
        <v>13</v>
      </c>
      <c r="C1828" s="1">
        <v>45262</v>
      </c>
      <c r="D1828" t="s">
        <v>16</v>
      </c>
      <c r="E1828" t="s">
        <v>7</v>
      </c>
      <c r="F1828">
        <v>2</v>
      </c>
      <c r="G1828">
        <v>14.73</v>
      </c>
      <c r="H1828">
        <v>29.46</v>
      </c>
      <c r="I1828" t="str">
        <f t="shared" si="196"/>
        <v>No Discount</v>
      </c>
      <c r="J1828">
        <v>0</v>
      </c>
      <c r="K1828">
        <f t="shared" si="201"/>
        <v>29.46</v>
      </c>
      <c r="L1828" t="str">
        <f t="shared" si="202"/>
        <v>December</v>
      </c>
      <c r="M1828">
        <f>YEAR(C1828)</f>
        <v>2023</v>
      </c>
      <c r="N1828">
        <v>215</v>
      </c>
      <c r="O1828" t="str">
        <f>IF(N1828&gt;=200,"Platinum",IF(N1828&gt;=100,"Gold",IF(N1828&gt;=50,"Silver","Regular")))</f>
        <v>Platinum</v>
      </c>
      <c r="P1828" s="4" t="str">
        <f t="shared" si="197"/>
        <v>Saturday</v>
      </c>
      <c r="Q1828" s="4" t="str">
        <f t="shared" si="198"/>
        <v>Small Order</v>
      </c>
      <c r="R1828" s="4" t="str">
        <f t="shared" si="199"/>
        <v>Weekend</v>
      </c>
      <c r="S1828" s="4" t="str">
        <f t="shared" si="200"/>
        <v>Regular</v>
      </c>
    </row>
    <row r="1829" spans="1:19" x14ac:dyDescent="0.3">
      <c r="A1829">
        <v>1502</v>
      </c>
      <c r="B1829" t="s">
        <v>19</v>
      </c>
      <c r="C1829" s="1">
        <v>45216</v>
      </c>
      <c r="D1829" t="s">
        <v>1</v>
      </c>
      <c r="E1829" t="s">
        <v>36</v>
      </c>
      <c r="F1829">
        <v>5</v>
      </c>
      <c r="G1829">
        <v>5.89</v>
      </c>
      <c r="H1829">
        <v>29.45</v>
      </c>
      <c r="I1829" t="str">
        <f t="shared" si="196"/>
        <v>No Discount</v>
      </c>
      <c r="J1829">
        <v>0</v>
      </c>
      <c r="K1829">
        <f t="shared" si="201"/>
        <v>29.45</v>
      </c>
      <c r="L1829" t="str">
        <f t="shared" si="202"/>
        <v>October</v>
      </c>
      <c r="M1829">
        <f>YEAR(C1829)</f>
        <v>2023</v>
      </c>
      <c r="N1829">
        <v>26</v>
      </c>
      <c r="O1829" t="str">
        <f>IF(N1829&gt;=200,"Platinum",IF(N1829&gt;=100,"Gold",IF(N1829&gt;=50,"Silver","Regular")))</f>
        <v>Regular</v>
      </c>
      <c r="P1829" s="4" t="str">
        <f t="shared" si="197"/>
        <v>Tuesday</v>
      </c>
      <c r="Q1829" s="4" t="str">
        <f t="shared" si="198"/>
        <v>Medium Order</v>
      </c>
      <c r="R1829" s="4" t="str">
        <f t="shared" si="199"/>
        <v>Weekday</v>
      </c>
      <c r="S1829" s="4" t="str">
        <f t="shared" si="200"/>
        <v>Regular</v>
      </c>
    </row>
    <row r="1830" spans="1:19" x14ac:dyDescent="0.3">
      <c r="A1830">
        <v>2623</v>
      </c>
      <c r="B1830" t="s">
        <v>20</v>
      </c>
      <c r="C1830" s="1">
        <v>45796</v>
      </c>
      <c r="D1830" t="s">
        <v>27</v>
      </c>
      <c r="E1830" t="s">
        <v>14</v>
      </c>
      <c r="F1830">
        <v>1</v>
      </c>
      <c r="G1830">
        <v>29.24</v>
      </c>
      <c r="H1830">
        <v>29.24</v>
      </c>
      <c r="I1830" t="str">
        <f t="shared" si="196"/>
        <v>No Discount</v>
      </c>
      <c r="J1830">
        <v>0</v>
      </c>
      <c r="K1830">
        <f t="shared" si="201"/>
        <v>29.24</v>
      </c>
      <c r="L1830" t="str">
        <f t="shared" si="202"/>
        <v>May</v>
      </c>
      <c r="M1830">
        <f>YEAR(C1830)</f>
        <v>2025</v>
      </c>
      <c r="N1830">
        <v>101</v>
      </c>
      <c r="O1830" t="str">
        <f>IF(N1830&gt;=200,"Platinum",IF(N1830&gt;=100,"Gold",IF(N1830&gt;=50,"Silver","Regular")))</f>
        <v>Gold</v>
      </c>
      <c r="P1830" s="4" t="str">
        <f t="shared" si="197"/>
        <v>Monday</v>
      </c>
      <c r="Q1830" s="4" t="str">
        <f t="shared" si="198"/>
        <v>Small Order</v>
      </c>
      <c r="R1830" s="4" t="str">
        <f t="shared" si="199"/>
        <v>Weekday</v>
      </c>
      <c r="S1830" s="4" t="str">
        <f t="shared" si="200"/>
        <v>Regular</v>
      </c>
    </row>
    <row r="1831" spans="1:19" x14ac:dyDescent="0.3">
      <c r="A1831">
        <v>2163</v>
      </c>
      <c r="B1831" t="s">
        <v>15</v>
      </c>
      <c r="C1831" s="1">
        <v>45694</v>
      </c>
      <c r="D1831" t="s">
        <v>34</v>
      </c>
      <c r="E1831" t="s">
        <v>37</v>
      </c>
      <c r="F1831">
        <v>1</v>
      </c>
      <c r="G1831">
        <v>29.21</v>
      </c>
      <c r="H1831">
        <v>29.21</v>
      </c>
      <c r="I1831" t="str">
        <f t="shared" si="196"/>
        <v>No Discount</v>
      </c>
      <c r="J1831">
        <v>0</v>
      </c>
      <c r="K1831">
        <f t="shared" si="201"/>
        <v>29.21</v>
      </c>
      <c r="L1831" t="str">
        <f t="shared" si="202"/>
        <v>February</v>
      </c>
      <c r="M1831">
        <f>YEAR(C1831)</f>
        <v>2025</v>
      </c>
      <c r="N1831">
        <v>311</v>
      </c>
      <c r="O1831" t="str">
        <f>IF(N1831&gt;=200,"Platinum",IF(N1831&gt;=100,"Gold",IF(N1831&gt;=50,"Silver","Regular")))</f>
        <v>Platinum</v>
      </c>
      <c r="P1831" s="4" t="str">
        <f t="shared" si="197"/>
        <v>Thursday</v>
      </c>
      <c r="Q1831" s="4" t="str">
        <f t="shared" si="198"/>
        <v>Small Order</v>
      </c>
      <c r="R1831" s="4" t="str">
        <f t="shared" si="199"/>
        <v>Weekday</v>
      </c>
      <c r="S1831" s="4" t="str">
        <f t="shared" si="200"/>
        <v>Regular</v>
      </c>
    </row>
    <row r="1832" spans="1:19" x14ac:dyDescent="0.3">
      <c r="A1832">
        <v>3956</v>
      </c>
      <c r="B1832" t="s">
        <v>3</v>
      </c>
      <c r="C1832" s="1">
        <v>45568</v>
      </c>
      <c r="D1832" t="s">
        <v>17</v>
      </c>
      <c r="E1832" t="s">
        <v>14</v>
      </c>
      <c r="F1832">
        <v>3</v>
      </c>
      <c r="G1832">
        <v>9.67</v>
      </c>
      <c r="H1832">
        <v>29.01</v>
      </c>
      <c r="I1832" t="str">
        <f t="shared" si="196"/>
        <v>No Discount</v>
      </c>
      <c r="J1832">
        <v>0</v>
      </c>
      <c r="K1832">
        <f t="shared" si="201"/>
        <v>29.01</v>
      </c>
      <c r="L1832" t="str">
        <f t="shared" si="202"/>
        <v>October</v>
      </c>
      <c r="M1832">
        <f>YEAR(C1832)</f>
        <v>2024</v>
      </c>
      <c r="N1832">
        <v>341</v>
      </c>
      <c r="O1832" t="str">
        <f>IF(N1832&gt;=200,"Platinum",IF(N1832&gt;=100,"Gold",IF(N1832&gt;=50,"Silver","Regular")))</f>
        <v>Platinum</v>
      </c>
      <c r="P1832" s="4" t="str">
        <f t="shared" si="197"/>
        <v>Thursday</v>
      </c>
      <c r="Q1832" s="4" t="str">
        <f t="shared" si="198"/>
        <v>Medium Order</v>
      </c>
      <c r="R1832" s="4" t="str">
        <f t="shared" si="199"/>
        <v>Weekday</v>
      </c>
      <c r="S1832" s="4" t="str">
        <f t="shared" si="200"/>
        <v>Regular</v>
      </c>
    </row>
    <row r="1833" spans="1:19" x14ac:dyDescent="0.3">
      <c r="A1833">
        <v>1601</v>
      </c>
      <c r="B1833" t="s">
        <v>31</v>
      </c>
      <c r="C1833" s="1">
        <v>45498</v>
      </c>
      <c r="D1833" t="s">
        <v>6</v>
      </c>
      <c r="E1833" t="s">
        <v>37</v>
      </c>
      <c r="F1833">
        <v>4</v>
      </c>
      <c r="G1833">
        <v>7.24</v>
      </c>
      <c r="H1833">
        <v>28.96</v>
      </c>
      <c r="I1833" t="str">
        <f t="shared" si="196"/>
        <v>No Discount</v>
      </c>
      <c r="J1833">
        <v>0</v>
      </c>
      <c r="K1833">
        <f t="shared" si="201"/>
        <v>28.96</v>
      </c>
      <c r="L1833" t="str">
        <f t="shared" si="202"/>
        <v>July</v>
      </c>
      <c r="M1833">
        <f>YEAR(C1833)</f>
        <v>2024</v>
      </c>
      <c r="N1833">
        <v>422</v>
      </c>
      <c r="O1833" t="str">
        <f>IF(N1833&gt;=200,"Platinum",IF(N1833&gt;=100,"Gold",IF(N1833&gt;=50,"Silver","Regular")))</f>
        <v>Platinum</v>
      </c>
      <c r="P1833" s="4" t="str">
        <f t="shared" si="197"/>
        <v>Thursday</v>
      </c>
      <c r="Q1833" s="4" t="str">
        <f t="shared" si="198"/>
        <v>Medium Order</v>
      </c>
      <c r="R1833" s="4" t="str">
        <f t="shared" si="199"/>
        <v>Weekday</v>
      </c>
      <c r="S1833" s="4" t="str">
        <f t="shared" si="200"/>
        <v>Regular</v>
      </c>
    </row>
    <row r="1834" spans="1:19" x14ac:dyDescent="0.3">
      <c r="A1834">
        <v>2020</v>
      </c>
      <c r="B1834" t="s">
        <v>20</v>
      </c>
      <c r="C1834" s="1">
        <v>45482</v>
      </c>
      <c r="D1834" t="s">
        <v>17</v>
      </c>
      <c r="E1834" t="s">
        <v>29</v>
      </c>
      <c r="F1834">
        <v>1</v>
      </c>
      <c r="G1834">
        <v>28.81</v>
      </c>
      <c r="H1834">
        <v>28.81</v>
      </c>
      <c r="I1834" t="str">
        <f t="shared" si="196"/>
        <v>No Discount</v>
      </c>
      <c r="J1834">
        <v>0</v>
      </c>
      <c r="K1834">
        <f t="shared" si="201"/>
        <v>28.81</v>
      </c>
      <c r="L1834" t="str">
        <f t="shared" si="202"/>
        <v>July</v>
      </c>
      <c r="M1834">
        <f>YEAR(C1834)</f>
        <v>2024</v>
      </c>
      <c r="N1834">
        <v>448</v>
      </c>
      <c r="O1834" t="str">
        <f>IF(N1834&gt;=200,"Platinum",IF(N1834&gt;=100,"Gold",IF(N1834&gt;=50,"Silver","Regular")))</f>
        <v>Platinum</v>
      </c>
      <c r="P1834" s="4" t="str">
        <f t="shared" si="197"/>
        <v>Tuesday</v>
      </c>
      <c r="Q1834" s="4" t="str">
        <f t="shared" si="198"/>
        <v>Small Order</v>
      </c>
      <c r="R1834" s="4" t="str">
        <f t="shared" si="199"/>
        <v>Weekday</v>
      </c>
      <c r="S1834" s="4" t="str">
        <f t="shared" si="200"/>
        <v>Regular</v>
      </c>
    </row>
    <row r="1835" spans="1:19" x14ac:dyDescent="0.3">
      <c r="A1835">
        <v>8444</v>
      </c>
      <c r="B1835" t="s">
        <v>19</v>
      </c>
      <c r="C1835" s="1">
        <v>45643</v>
      </c>
      <c r="D1835" t="s">
        <v>23</v>
      </c>
      <c r="E1835" t="s">
        <v>26</v>
      </c>
      <c r="F1835">
        <v>1</v>
      </c>
      <c r="G1835">
        <v>28.71</v>
      </c>
      <c r="H1835">
        <v>28.71</v>
      </c>
      <c r="I1835" t="str">
        <f t="shared" si="196"/>
        <v>No Discount</v>
      </c>
      <c r="J1835">
        <v>0</v>
      </c>
      <c r="K1835">
        <f t="shared" si="201"/>
        <v>28.71</v>
      </c>
      <c r="L1835" t="str">
        <f t="shared" si="202"/>
        <v>December</v>
      </c>
      <c r="M1835">
        <f>YEAR(C1835)</f>
        <v>2024</v>
      </c>
      <c r="N1835">
        <v>31</v>
      </c>
      <c r="O1835" t="str">
        <f>IF(N1835&gt;=200,"Platinum",IF(N1835&gt;=100,"Gold",IF(N1835&gt;=50,"Silver","Regular")))</f>
        <v>Regular</v>
      </c>
      <c r="P1835" s="4" t="str">
        <f t="shared" si="197"/>
        <v>Tuesday</v>
      </c>
      <c r="Q1835" s="4" t="str">
        <f t="shared" si="198"/>
        <v>Small Order</v>
      </c>
      <c r="R1835" s="4" t="str">
        <f t="shared" si="199"/>
        <v>Weekday</v>
      </c>
      <c r="S1835" s="4" t="str">
        <f t="shared" si="200"/>
        <v>Regular</v>
      </c>
    </row>
    <row r="1836" spans="1:19" x14ac:dyDescent="0.3">
      <c r="A1836">
        <v>5475</v>
      </c>
      <c r="B1836" t="s">
        <v>8</v>
      </c>
      <c r="C1836" s="1">
        <v>45312</v>
      </c>
      <c r="D1836" t="s">
        <v>4</v>
      </c>
      <c r="E1836" t="s">
        <v>18</v>
      </c>
      <c r="F1836">
        <v>3</v>
      </c>
      <c r="G1836">
        <v>9.5299999999999994</v>
      </c>
      <c r="H1836">
        <v>28.59</v>
      </c>
      <c r="I1836" t="str">
        <f t="shared" si="196"/>
        <v>No Discount</v>
      </c>
      <c r="J1836">
        <v>0</v>
      </c>
      <c r="K1836">
        <f t="shared" si="201"/>
        <v>28.59</v>
      </c>
      <c r="L1836" t="str">
        <f t="shared" si="202"/>
        <v>January</v>
      </c>
      <c r="M1836">
        <f>YEAR(C1836)</f>
        <v>2024</v>
      </c>
      <c r="N1836">
        <v>338</v>
      </c>
      <c r="O1836" t="str">
        <f>IF(N1836&gt;=200,"Platinum",IF(N1836&gt;=100,"Gold",IF(N1836&gt;=50,"Silver","Regular")))</f>
        <v>Platinum</v>
      </c>
      <c r="P1836" s="4" t="str">
        <f t="shared" si="197"/>
        <v>Sunday</v>
      </c>
      <c r="Q1836" s="4" t="str">
        <f t="shared" si="198"/>
        <v>Medium Order</v>
      </c>
      <c r="R1836" s="4" t="str">
        <f t="shared" si="199"/>
        <v>Weekend</v>
      </c>
      <c r="S1836" s="4" t="str">
        <f t="shared" si="200"/>
        <v>Regular</v>
      </c>
    </row>
    <row r="1837" spans="1:19" x14ac:dyDescent="0.3">
      <c r="A1837">
        <v>8479</v>
      </c>
      <c r="B1837" t="s">
        <v>15</v>
      </c>
      <c r="C1837" s="1">
        <v>45145</v>
      </c>
      <c r="D1837" t="s">
        <v>34</v>
      </c>
      <c r="E1837" t="s">
        <v>35</v>
      </c>
      <c r="F1837">
        <v>1</v>
      </c>
      <c r="G1837">
        <v>28.26</v>
      </c>
      <c r="H1837">
        <v>28.26</v>
      </c>
      <c r="I1837" t="str">
        <f t="shared" si="196"/>
        <v>No Discount</v>
      </c>
      <c r="J1837">
        <v>0</v>
      </c>
      <c r="K1837">
        <f t="shared" si="201"/>
        <v>28.26</v>
      </c>
      <c r="L1837" t="str">
        <f t="shared" si="202"/>
        <v>August</v>
      </c>
      <c r="M1837">
        <f>YEAR(C1837)</f>
        <v>2023</v>
      </c>
      <c r="N1837">
        <v>416</v>
      </c>
      <c r="O1837" t="str">
        <f>IF(N1837&gt;=200,"Platinum",IF(N1837&gt;=100,"Gold",IF(N1837&gt;=50,"Silver","Regular")))</f>
        <v>Platinum</v>
      </c>
      <c r="P1837" s="4" t="str">
        <f t="shared" si="197"/>
        <v>Monday</v>
      </c>
      <c r="Q1837" s="4" t="str">
        <f t="shared" si="198"/>
        <v>Small Order</v>
      </c>
      <c r="R1837" s="4" t="str">
        <f t="shared" si="199"/>
        <v>Weekday</v>
      </c>
      <c r="S1837" s="4" t="str">
        <f t="shared" si="200"/>
        <v>Regular</v>
      </c>
    </row>
    <row r="1838" spans="1:19" x14ac:dyDescent="0.3">
      <c r="A1838">
        <v>9998</v>
      </c>
      <c r="B1838" t="s">
        <v>20</v>
      </c>
      <c r="C1838" s="1">
        <v>45853</v>
      </c>
      <c r="D1838" t="s">
        <v>17</v>
      </c>
      <c r="E1838" t="s">
        <v>18</v>
      </c>
      <c r="F1838">
        <v>5</v>
      </c>
      <c r="G1838">
        <v>5.64</v>
      </c>
      <c r="H1838">
        <v>28.2</v>
      </c>
      <c r="I1838" t="str">
        <f t="shared" si="196"/>
        <v>No Discount</v>
      </c>
      <c r="J1838">
        <v>0</v>
      </c>
      <c r="K1838">
        <f t="shared" si="201"/>
        <v>28.2</v>
      </c>
      <c r="L1838" t="str">
        <f t="shared" si="202"/>
        <v>July</v>
      </c>
      <c r="M1838">
        <f>YEAR(C1838)</f>
        <v>2025</v>
      </c>
      <c r="N1838">
        <v>202</v>
      </c>
      <c r="O1838" t="str">
        <f>IF(N1838&gt;=200,"Platinum",IF(N1838&gt;=100,"Gold",IF(N1838&gt;=50,"Silver","Regular")))</f>
        <v>Platinum</v>
      </c>
      <c r="P1838" s="4" t="str">
        <f t="shared" si="197"/>
        <v>Tuesday</v>
      </c>
      <c r="Q1838" s="4" t="str">
        <f t="shared" si="198"/>
        <v>Medium Order</v>
      </c>
      <c r="R1838" s="4" t="str">
        <f t="shared" si="199"/>
        <v>Weekday</v>
      </c>
      <c r="S1838" s="4" t="str">
        <f t="shared" si="200"/>
        <v>Regular</v>
      </c>
    </row>
    <row r="1839" spans="1:19" x14ac:dyDescent="0.3">
      <c r="A1839">
        <v>3692</v>
      </c>
      <c r="B1839" t="s">
        <v>19</v>
      </c>
      <c r="C1839" s="1">
        <v>45867</v>
      </c>
      <c r="D1839" t="s">
        <v>24</v>
      </c>
      <c r="E1839" t="s">
        <v>28</v>
      </c>
      <c r="F1839">
        <v>4</v>
      </c>
      <c r="G1839">
        <v>7</v>
      </c>
      <c r="H1839">
        <v>28</v>
      </c>
      <c r="I1839" t="str">
        <f t="shared" si="196"/>
        <v>No Discount</v>
      </c>
      <c r="J1839">
        <v>0</v>
      </c>
      <c r="K1839">
        <f t="shared" si="201"/>
        <v>28</v>
      </c>
      <c r="L1839" t="str">
        <f t="shared" si="202"/>
        <v>July</v>
      </c>
      <c r="M1839">
        <f>YEAR(C1839)</f>
        <v>2025</v>
      </c>
      <c r="N1839">
        <v>400</v>
      </c>
      <c r="O1839" t="str">
        <f>IF(N1839&gt;=200,"Platinum",IF(N1839&gt;=100,"Gold",IF(N1839&gt;=50,"Silver","Regular")))</f>
        <v>Platinum</v>
      </c>
      <c r="P1839" s="4" t="str">
        <f t="shared" si="197"/>
        <v>Tuesday</v>
      </c>
      <c r="Q1839" s="4" t="str">
        <f t="shared" si="198"/>
        <v>Medium Order</v>
      </c>
      <c r="R1839" s="4" t="str">
        <f t="shared" si="199"/>
        <v>Weekday</v>
      </c>
      <c r="S1839" s="4" t="str">
        <f t="shared" si="200"/>
        <v>Regular</v>
      </c>
    </row>
    <row r="1840" spans="1:19" x14ac:dyDescent="0.3">
      <c r="A1840">
        <v>5728</v>
      </c>
      <c r="B1840" t="s">
        <v>31</v>
      </c>
      <c r="C1840" s="1">
        <v>45202</v>
      </c>
      <c r="D1840" t="s">
        <v>6</v>
      </c>
      <c r="E1840" t="s">
        <v>36</v>
      </c>
      <c r="F1840">
        <v>1</v>
      </c>
      <c r="G1840">
        <v>27.71</v>
      </c>
      <c r="H1840">
        <v>27.71</v>
      </c>
      <c r="I1840" t="str">
        <f t="shared" si="196"/>
        <v>No Discount</v>
      </c>
      <c r="J1840">
        <v>0</v>
      </c>
      <c r="K1840">
        <f t="shared" si="201"/>
        <v>27.71</v>
      </c>
      <c r="L1840" t="str">
        <f t="shared" si="202"/>
        <v>October</v>
      </c>
      <c r="M1840">
        <f>YEAR(C1840)</f>
        <v>2023</v>
      </c>
      <c r="N1840">
        <v>185</v>
      </c>
      <c r="O1840" t="str">
        <f>IF(N1840&gt;=200,"Platinum",IF(N1840&gt;=100,"Gold",IF(N1840&gt;=50,"Silver","Regular")))</f>
        <v>Gold</v>
      </c>
      <c r="P1840" s="4" t="str">
        <f t="shared" si="197"/>
        <v>Tuesday</v>
      </c>
      <c r="Q1840" s="4" t="str">
        <f t="shared" si="198"/>
        <v>Small Order</v>
      </c>
      <c r="R1840" s="4" t="str">
        <f t="shared" si="199"/>
        <v>Weekday</v>
      </c>
      <c r="S1840" s="4" t="str">
        <f t="shared" si="200"/>
        <v>Regular</v>
      </c>
    </row>
    <row r="1841" spans="1:19" x14ac:dyDescent="0.3">
      <c r="A1841">
        <v>7464</v>
      </c>
      <c r="B1841" t="s">
        <v>13</v>
      </c>
      <c r="C1841" s="1">
        <v>45780</v>
      </c>
      <c r="D1841" t="s">
        <v>17</v>
      </c>
      <c r="E1841" t="s">
        <v>2</v>
      </c>
      <c r="F1841">
        <v>1</v>
      </c>
      <c r="G1841">
        <v>27.62</v>
      </c>
      <c r="H1841">
        <v>27.62</v>
      </c>
      <c r="I1841" t="str">
        <f t="shared" si="196"/>
        <v>No Discount</v>
      </c>
      <c r="J1841">
        <v>0</v>
      </c>
      <c r="K1841">
        <f t="shared" si="201"/>
        <v>27.62</v>
      </c>
      <c r="L1841" t="str">
        <f t="shared" si="202"/>
        <v>May</v>
      </c>
      <c r="M1841">
        <f>YEAR(C1841)</f>
        <v>2025</v>
      </c>
      <c r="N1841">
        <v>327</v>
      </c>
      <c r="O1841" t="str">
        <f>IF(N1841&gt;=200,"Platinum",IF(N1841&gt;=100,"Gold",IF(N1841&gt;=50,"Silver","Regular")))</f>
        <v>Platinum</v>
      </c>
      <c r="P1841" s="4" t="str">
        <f t="shared" si="197"/>
        <v>Saturday</v>
      </c>
      <c r="Q1841" s="4" t="str">
        <f t="shared" si="198"/>
        <v>Small Order</v>
      </c>
      <c r="R1841" s="4" t="str">
        <f t="shared" si="199"/>
        <v>Weekend</v>
      </c>
      <c r="S1841" s="4" t="str">
        <f t="shared" si="200"/>
        <v>Regular</v>
      </c>
    </row>
    <row r="1842" spans="1:19" x14ac:dyDescent="0.3">
      <c r="A1842">
        <v>7818</v>
      </c>
      <c r="B1842" t="s">
        <v>13</v>
      </c>
      <c r="C1842" s="1">
        <v>45615</v>
      </c>
      <c r="D1842" t="s">
        <v>17</v>
      </c>
      <c r="E1842" t="s">
        <v>32</v>
      </c>
      <c r="F1842">
        <v>2</v>
      </c>
      <c r="G1842">
        <v>13.8</v>
      </c>
      <c r="H1842">
        <v>27.6</v>
      </c>
      <c r="I1842" t="str">
        <f t="shared" si="196"/>
        <v>No Discount</v>
      </c>
      <c r="J1842">
        <v>0</v>
      </c>
      <c r="K1842">
        <f t="shared" si="201"/>
        <v>27.6</v>
      </c>
      <c r="L1842" t="str">
        <f t="shared" si="202"/>
        <v>November</v>
      </c>
      <c r="M1842">
        <f>YEAR(C1842)</f>
        <v>2024</v>
      </c>
      <c r="N1842">
        <v>467</v>
      </c>
      <c r="O1842" t="str">
        <f>IF(N1842&gt;=200,"Platinum",IF(N1842&gt;=100,"Gold",IF(N1842&gt;=50,"Silver","Regular")))</f>
        <v>Platinum</v>
      </c>
      <c r="P1842" s="4" t="str">
        <f t="shared" si="197"/>
        <v>Tuesday</v>
      </c>
      <c r="Q1842" s="4" t="str">
        <f t="shared" si="198"/>
        <v>Small Order</v>
      </c>
      <c r="R1842" s="4" t="str">
        <f t="shared" si="199"/>
        <v>Weekday</v>
      </c>
      <c r="S1842" s="4" t="str">
        <f t="shared" si="200"/>
        <v>Regular</v>
      </c>
    </row>
    <row r="1843" spans="1:19" x14ac:dyDescent="0.3">
      <c r="A1843">
        <v>3170</v>
      </c>
      <c r="B1843" t="s">
        <v>25</v>
      </c>
      <c r="C1843" s="1">
        <v>45869</v>
      </c>
      <c r="D1843" t="s">
        <v>16</v>
      </c>
      <c r="E1843" t="s">
        <v>10</v>
      </c>
      <c r="F1843">
        <v>2</v>
      </c>
      <c r="G1843">
        <v>13.74</v>
      </c>
      <c r="H1843">
        <v>27.48</v>
      </c>
      <c r="I1843" t="str">
        <f t="shared" si="196"/>
        <v>No Discount</v>
      </c>
      <c r="J1843">
        <v>0</v>
      </c>
      <c r="K1843">
        <f t="shared" si="201"/>
        <v>27.48</v>
      </c>
      <c r="L1843" t="str">
        <f t="shared" si="202"/>
        <v>July</v>
      </c>
      <c r="M1843">
        <f>YEAR(C1843)</f>
        <v>2025</v>
      </c>
      <c r="N1843">
        <v>240</v>
      </c>
      <c r="O1843" t="str">
        <f>IF(N1843&gt;=200,"Platinum",IF(N1843&gt;=100,"Gold",IF(N1843&gt;=50,"Silver","Regular")))</f>
        <v>Platinum</v>
      </c>
      <c r="P1843" s="4" t="str">
        <f t="shared" si="197"/>
        <v>Thursday</v>
      </c>
      <c r="Q1843" s="4" t="str">
        <f t="shared" si="198"/>
        <v>Small Order</v>
      </c>
      <c r="R1843" s="4" t="str">
        <f t="shared" si="199"/>
        <v>Weekday</v>
      </c>
      <c r="S1843" s="4" t="str">
        <f t="shared" si="200"/>
        <v>Regular</v>
      </c>
    </row>
    <row r="1844" spans="1:19" x14ac:dyDescent="0.3">
      <c r="A1844">
        <v>4524</v>
      </c>
      <c r="B1844" t="s">
        <v>31</v>
      </c>
      <c r="C1844" s="1">
        <v>45598</v>
      </c>
      <c r="D1844" t="s">
        <v>6</v>
      </c>
      <c r="E1844" t="s">
        <v>7</v>
      </c>
      <c r="F1844">
        <v>1</v>
      </c>
      <c r="G1844">
        <v>27.28</v>
      </c>
      <c r="H1844">
        <v>27.28</v>
      </c>
      <c r="I1844" t="str">
        <f t="shared" si="196"/>
        <v>No Discount</v>
      </c>
      <c r="J1844">
        <v>0</v>
      </c>
      <c r="K1844">
        <f t="shared" si="201"/>
        <v>27.28</v>
      </c>
      <c r="L1844" t="str">
        <f t="shared" si="202"/>
        <v>November</v>
      </c>
      <c r="M1844">
        <f>YEAR(C1844)</f>
        <v>2024</v>
      </c>
      <c r="N1844">
        <v>340</v>
      </c>
      <c r="O1844" t="str">
        <f>IF(N1844&gt;=200,"Platinum",IF(N1844&gt;=100,"Gold",IF(N1844&gt;=50,"Silver","Regular")))</f>
        <v>Platinum</v>
      </c>
      <c r="P1844" s="4" t="str">
        <f t="shared" si="197"/>
        <v>Saturday</v>
      </c>
      <c r="Q1844" s="4" t="str">
        <f t="shared" si="198"/>
        <v>Small Order</v>
      </c>
      <c r="R1844" s="4" t="str">
        <f t="shared" si="199"/>
        <v>Weekend</v>
      </c>
      <c r="S1844" s="4" t="str">
        <f t="shared" si="200"/>
        <v>Regular</v>
      </c>
    </row>
    <row r="1845" spans="1:19" x14ac:dyDescent="0.3">
      <c r="A1845">
        <v>9939</v>
      </c>
      <c r="B1845" t="s">
        <v>15</v>
      </c>
      <c r="C1845" s="1">
        <v>45284</v>
      </c>
      <c r="D1845" t="s">
        <v>9</v>
      </c>
      <c r="E1845" t="s">
        <v>29</v>
      </c>
      <c r="F1845">
        <v>3</v>
      </c>
      <c r="G1845">
        <v>8.94</v>
      </c>
      <c r="H1845">
        <v>26.82</v>
      </c>
      <c r="I1845" t="str">
        <f t="shared" si="196"/>
        <v>No Discount</v>
      </c>
      <c r="J1845">
        <v>0</v>
      </c>
      <c r="K1845">
        <f t="shared" si="201"/>
        <v>26.82</v>
      </c>
      <c r="L1845" t="str">
        <f t="shared" si="202"/>
        <v>December</v>
      </c>
      <c r="M1845">
        <f>YEAR(C1845)</f>
        <v>2023</v>
      </c>
      <c r="N1845">
        <v>29</v>
      </c>
      <c r="O1845" t="str">
        <f>IF(N1845&gt;=200,"Platinum",IF(N1845&gt;=100,"Gold",IF(N1845&gt;=50,"Silver","Regular")))</f>
        <v>Regular</v>
      </c>
      <c r="P1845" s="4" t="str">
        <f t="shared" si="197"/>
        <v>Sunday</v>
      </c>
      <c r="Q1845" s="4" t="str">
        <f t="shared" si="198"/>
        <v>Medium Order</v>
      </c>
      <c r="R1845" s="4" t="str">
        <f t="shared" si="199"/>
        <v>Weekend</v>
      </c>
      <c r="S1845" s="4" t="str">
        <f t="shared" si="200"/>
        <v>Regular</v>
      </c>
    </row>
    <row r="1846" spans="1:19" x14ac:dyDescent="0.3">
      <c r="A1846">
        <v>2260</v>
      </c>
      <c r="B1846" t="s">
        <v>31</v>
      </c>
      <c r="C1846" s="1">
        <v>45425</v>
      </c>
      <c r="D1846" t="s">
        <v>34</v>
      </c>
      <c r="E1846" t="s">
        <v>37</v>
      </c>
      <c r="F1846">
        <v>1</v>
      </c>
      <c r="G1846">
        <v>26.67</v>
      </c>
      <c r="H1846">
        <v>26.67</v>
      </c>
      <c r="I1846" t="str">
        <f t="shared" si="196"/>
        <v>No Discount</v>
      </c>
      <c r="J1846">
        <v>0</v>
      </c>
      <c r="K1846">
        <f t="shared" si="201"/>
        <v>26.67</v>
      </c>
      <c r="L1846" t="str">
        <f t="shared" si="202"/>
        <v>May</v>
      </c>
      <c r="M1846">
        <f>YEAR(C1846)</f>
        <v>2024</v>
      </c>
      <c r="N1846">
        <v>253</v>
      </c>
      <c r="O1846" t="str">
        <f>IF(N1846&gt;=200,"Platinum",IF(N1846&gt;=100,"Gold",IF(N1846&gt;=50,"Silver","Regular")))</f>
        <v>Platinum</v>
      </c>
      <c r="P1846" s="4" t="str">
        <f t="shared" si="197"/>
        <v>Monday</v>
      </c>
      <c r="Q1846" s="4" t="str">
        <f t="shared" si="198"/>
        <v>Small Order</v>
      </c>
      <c r="R1846" s="4" t="str">
        <f t="shared" si="199"/>
        <v>Weekday</v>
      </c>
      <c r="S1846" s="4" t="str">
        <f t="shared" si="200"/>
        <v>Regular</v>
      </c>
    </row>
    <row r="1847" spans="1:19" x14ac:dyDescent="0.3">
      <c r="A1847">
        <v>7819</v>
      </c>
      <c r="B1847" t="s">
        <v>31</v>
      </c>
      <c r="C1847" s="1">
        <v>45856</v>
      </c>
      <c r="D1847" t="s">
        <v>27</v>
      </c>
      <c r="E1847" t="s">
        <v>36</v>
      </c>
      <c r="F1847">
        <v>2</v>
      </c>
      <c r="G1847">
        <v>13.06</v>
      </c>
      <c r="H1847">
        <v>26.12</v>
      </c>
      <c r="I1847" t="str">
        <f t="shared" si="196"/>
        <v>No Discount</v>
      </c>
      <c r="J1847">
        <v>0</v>
      </c>
      <c r="K1847">
        <f t="shared" si="201"/>
        <v>26.12</v>
      </c>
      <c r="L1847" t="str">
        <f t="shared" si="202"/>
        <v>July</v>
      </c>
      <c r="M1847">
        <f>YEAR(C1847)</f>
        <v>2025</v>
      </c>
      <c r="N1847">
        <v>6</v>
      </c>
      <c r="O1847" t="str">
        <f>IF(N1847&gt;=200,"Platinum",IF(N1847&gt;=100,"Gold",IF(N1847&gt;=50,"Silver","Regular")))</f>
        <v>Regular</v>
      </c>
      <c r="P1847" s="4" t="str">
        <f t="shared" si="197"/>
        <v>Friday</v>
      </c>
      <c r="Q1847" s="4" t="str">
        <f t="shared" si="198"/>
        <v>Small Order</v>
      </c>
      <c r="R1847" s="4" t="str">
        <f t="shared" si="199"/>
        <v>Weekday</v>
      </c>
      <c r="S1847" s="4" t="str">
        <f t="shared" si="200"/>
        <v>Regular</v>
      </c>
    </row>
    <row r="1848" spans="1:19" x14ac:dyDescent="0.3">
      <c r="A1848">
        <v>1187</v>
      </c>
      <c r="B1848" t="s">
        <v>25</v>
      </c>
      <c r="C1848" s="1">
        <v>45348</v>
      </c>
      <c r="D1848" t="s">
        <v>24</v>
      </c>
      <c r="E1848" t="s">
        <v>32</v>
      </c>
      <c r="F1848">
        <v>1</v>
      </c>
      <c r="G1848">
        <v>25.98</v>
      </c>
      <c r="H1848">
        <v>25.98</v>
      </c>
      <c r="I1848" t="str">
        <f t="shared" si="196"/>
        <v>No Discount</v>
      </c>
      <c r="J1848">
        <v>0</v>
      </c>
      <c r="K1848">
        <f t="shared" si="201"/>
        <v>25.98</v>
      </c>
      <c r="L1848" t="str">
        <f t="shared" si="202"/>
        <v>February</v>
      </c>
      <c r="M1848">
        <f>YEAR(C1848)</f>
        <v>2024</v>
      </c>
      <c r="N1848">
        <v>500</v>
      </c>
      <c r="O1848" t="str">
        <f>IF(N1848&gt;=200,"Platinum",IF(N1848&gt;=100,"Gold",IF(N1848&gt;=50,"Silver","Regular")))</f>
        <v>Platinum</v>
      </c>
      <c r="P1848" s="4" t="str">
        <f t="shared" si="197"/>
        <v>Monday</v>
      </c>
      <c r="Q1848" s="4" t="str">
        <f t="shared" si="198"/>
        <v>Small Order</v>
      </c>
      <c r="R1848" s="4" t="str">
        <f t="shared" si="199"/>
        <v>Weekday</v>
      </c>
      <c r="S1848" s="4" t="str">
        <f t="shared" si="200"/>
        <v>Regular</v>
      </c>
    </row>
    <row r="1849" spans="1:19" x14ac:dyDescent="0.3">
      <c r="A1849">
        <v>6310</v>
      </c>
      <c r="B1849" t="s">
        <v>20</v>
      </c>
      <c r="C1849" s="1">
        <v>45524</v>
      </c>
      <c r="D1849" t="s">
        <v>4</v>
      </c>
      <c r="E1849" t="s">
        <v>26</v>
      </c>
      <c r="F1849">
        <v>2</v>
      </c>
      <c r="G1849">
        <v>12.72</v>
      </c>
      <c r="H1849">
        <v>25.44</v>
      </c>
      <c r="I1849" t="str">
        <f t="shared" si="196"/>
        <v>No Discount</v>
      </c>
      <c r="J1849">
        <v>0</v>
      </c>
      <c r="K1849">
        <f t="shared" si="201"/>
        <v>25.44</v>
      </c>
      <c r="L1849" t="str">
        <f t="shared" si="202"/>
        <v>August</v>
      </c>
      <c r="M1849">
        <f>YEAR(C1849)</f>
        <v>2024</v>
      </c>
      <c r="N1849">
        <v>124</v>
      </c>
      <c r="O1849" t="str">
        <f>IF(N1849&gt;=200,"Platinum",IF(N1849&gt;=100,"Gold",IF(N1849&gt;=50,"Silver","Regular")))</f>
        <v>Gold</v>
      </c>
      <c r="P1849" s="4" t="str">
        <f t="shared" si="197"/>
        <v>Tuesday</v>
      </c>
      <c r="Q1849" s="4" t="str">
        <f t="shared" si="198"/>
        <v>Small Order</v>
      </c>
      <c r="R1849" s="4" t="str">
        <f t="shared" si="199"/>
        <v>Weekday</v>
      </c>
      <c r="S1849" s="4" t="str">
        <f t="shared" si="200"/>
        <v>Regular</v>
      </c>
    </row>
    <row r="1850" spans="1:19" x14ac:dyDescent="0.3">
      <c r="A1850">
        <v>2380</v>
      </c>
      <c r="B1850" t="s">
        <v>31</v>
      </c>
      <c r="C1850" s="1">
        <v>45337</v>
      </c>
      <c r="D1850" t="s">
        <v>11</v>
      </c>
      <c r="E1850" t="s">
        <v>7</v>
      </c>
      <c r="F1850">
        <v>1</v>
      </c>
      <c r="G1850">
        <v>24.88</v>
      </c>
      <c r="H1850">
        <v>24.88</v>
      </c>
      <c r="I1850" t="str">
        <f t="shared" si="196"/>
        <v>No Discount</v>
      </c>
      <c r="J1850">
        <v>0</v>
      </c>
      <c r="K1850">
        <f t="shared" si="201"/>
        <v>24.88</v>
      </c>
      <c r="L1850" t="str">
        <f t="shared" si="202"/>
        <v>February</v>
      </c>
      <c r="M1850">
        <f>YEAR(C1850)</f>
        <v>2024</v>
      </c>
      <c r="N1850">
        <v>350</v>
      </c>
      <c r="O1850" t="str">
        <f>IF(N1850&gt;=200,"Platinum",IF(N1850&gt;=100,"Gold",IF(N1850&gt;=50,"Silver","Regular")))</f>
        <v>Platinum</v>
      </c>
      <c r="P1850" s="4" t="str">
        <f t="shared" si="197"/>
        <v>Thursday</v>
      </c>
      <c r="Q1850" s="4" t="str">
        <f t="shared" si="198"/>
        <v>Small Order</v>
      </c>
      <c r="R1850" s="4" t="str">
        <f t="shared" si="199"/>
        <v>Weekday</v>
      </c>
      <c r="S1850" s="4" t="str">
        <f t="shared" si="200"/>
        <v>Regular</v>
      </c>
    </row>
    <row r="1851" spans="1:19" x14ac:dyDescent="0.3">
      <c r="A1851">
        <v>4578</v>
      </c>
      <c r="B1851" t="s">
        <v>31</v>
      </c>
      <c r="C1851" s="1">
        <v>45736</v>
      </c>
      <c r="D1851" t="s">
        <v>9</v>
      </c>
      <c r="E1851" t="s">
        <v>29</v>
      </c>
      <c r="F1851">
        <v>2</v>
      </c>
      <c r="G1851">
        <v>12.37</v>
      </c>
      <c r="H1851">
        <v>24.74</v>
      </c>
      <c r="I1851" t="str">
        <f t="shared" si="196"/>
        <v>No Discount</v>
      </c>
      <c r="J1851">
        <v>0</v>
      </c>
      <c r="K1851">
        <f t="shared" si="201"/>
        <v>24.74</v>
      </c>
      <c r="L1851" t="str">
        <f t="shared" si="202"/>
        <v>March</v>
      </c>
      <c r="M1851">
        <f>YEAR(C1851)</f>
        <v>2025</v>
      </c>
      <c r="N1851">
        <v>421</v>
      </c>
      <c r="O1851" t="str">
        <f>IF(N1851&gt;=200,"Platinum",IF(N1851&gt;=100,"Gold",IF(N1851&gt;=50,"Silver","Regular")))</f>
        <v>Platinum</v>
      </c>
      <c r="P1851" s="4" t="str">
        <f t="shared" si="197"/>
        <v>Thursday</v>
      </c>
      <c r="Q1851" s="4" t="str">
        <f t="shared" si="198"/>
        <v>Small Order</v>
      </c>
      <c r="R1851" s="4" t="str">
        <f t="shared" si="199"/>
        <v>Weekday</v>
      </c>
      <c r="S1851" s="4" t="str">
        <f t="shared" si="200"/>
        <v>Regular</v>
      </c>
    </row>
    <row r="1852" spans="1:19" x14ac:dyDescent="0.3">
      <c r="A1852">
        <v>9624</v>
      </c>
      <c r="B1852" t="s">
        <v>0</v>
      </c>
      <c r="C1852" s="1">
        <v>45217</v>
      </c>
      <c r="D1852" t="s">
        <v>34</v>
      </c>
      <c r="E1852" t="s">
        <v>37</v>
      </c>
      <c r="F1852">
        <v>5</v>
      </c>
      <c r="G1852">
        <v>4.93</v>
      </c>
      <c r="H1852">
        <v>24.65</v>
      </c>
      <c r="I1852" t="str">
        <f t="shared" si="196"/>
        <v>No Discount</v>
      </c>
      <c r="J1852">
        <v>0</v>
      </c>
      <c r="K1852">
        <f t="shared" si="201"/>
        <v>24.65</v>
      </c>
      <c r="L1852" t="str">
        <f t="shared" si="202"/>
        <v>October</v>
      </c>
      <c r="M1852">
        <f>YEAR(C1852)</f>
        <v>2023</v>
      </c>
      <c r="N1852">
        <v>390</v>
      </c>
      <c r="O1852" t="str">
        <f>IF(N1852&gt;=200,"Platinum",IF(N1852&gt;=100,"Gold",IF(N1852&gt;=50,"Silver","Regular")))</f>
        <v>Platinum</v>
      </c>
      <c r="P1852" s="4" t="str">
        <f t="shared" si="197"/>
        <v>Wednesday</v>
      </c>
      <c r="Q1852" s="4" t="str">
        <f t="shared" si="198"/>
        <v>Medium Order</v>
      </c>
      <c r="R1852" s="4" t="str">
        <f t="shared" si="199"/>
        <v>Weekday</v>
      </c>
      <c r="S1852" s="4" t="str">
        <f t="shared" si="200"/>
        <v>Regular</v>
      </c>
    </row>
    <row r="1853" spans="1:19" x14ac:dyDescent="0.3">
      <c r="A1853">
        <v>7012</v>
      </c>
      <c r="B1853" t="s">
        <v>3</v>
      </c>
      <c r="C1853" s="1">
        <v>45454</v>
      </c>
      <c r="D1853" t="s">
        <v>34</v>
      </c>
      <c r="E1853" t="s">
        <v>29</v>
      </c>
      <c r="F1853">
        <v>1</v>
      </c>
      <c r="G1853">
        <v>24.56</v>
      </c>
      <c r="H1853">
        <v>24.56</v>
      </c>
      <c r="I1853" t="str">
        <f t="shared" si="196"/>
        <v>No Discount</v>
      </c>
      <c r="J1853">
        <v>0</v>
      </c>
      <c r="K1853">
        <f t="shared" si="201"/>
        <v>24.56</v>
      </c>
      <c r="L1853" t="str">
        <f t="shared" si="202"/>
        <v>June</v>
      </c>
      <c r="M1853">
        <f>YEAR(C1853)</f>
        <v>2024</v>
      </c>
      <c r="N1853">
        <v>492</v>
      </c>
      <c r="O1853" t="str">
        <f>IF(N1853&gt;=200,"Platinum",IF(N1853&gt;=100,"Gold",IF(N1853&gt;=50,"Silver","Regular")))</f>
        <v>Platinum</v>
      </c>
      <c r="P1853" s="4" t="str">
        <f t="shared" si="197"/>
        <v>Tuesday</v>
      </c>
      <c r="Q1853" s="4" t="str">
        <f t="shared" si="198"/>
        <v>Small Order</v>
      </c>
      <c r="R1853" s="4" t="str">
        <f t="shared" si="199"/>
        <v>Weekday</v>
      </c>
      <c r="S1853" s="4" t="str">
        <f t="shared" si="200"/>
        <v>Regular</v>
      </c>
    </row>
    <row r="1854" spans="1:19" x14ac:dyDescent="0.3">
      <c r="A1854">
        <v>2734</v>
      </c>
      <c r="B1854" t="s">
        <v>8</v>
      </c>
      <c r="C1854" s="1">
        <v>45333</v>
      </c>
      <c r="D1854" t="s">
        <v>6</v>
      </c>
      <c r="E1854" t="s">
        <v>22</v>
      </c>
      <c r="F1854">
        <v>2</v>
      </c>
      <c r="G1854">
        <v>12.22</v>
      </c>
      <c r="H1854">
        <v>24.44</v>
      </c>
      <c r="I1854" t="str">
        <f t="shared" si="196"/>
        <v>No Discount</v>
      </c>
      <c r="J1854">
        <v>0</v>
      </c>
      <c r="K1854">
        <f t="shared" si="201"/>
        <v>24.44</v>
      </c>
      <c r="L1854" t="str">
        <f t="shared" si="202"/>
        <v>February</v>
      </c>
      <c r="M1854">
        <f>YEAR(C1854)</f>
        <v>2024</v>
      </c>
      <c r="N1854">
        <v>69</v>
      </c>
      <c r="O1854" t="str">
        <f>IF(N1854&gt;=200,"Platinum",IF(N1854&gt;=100,"Gold",IF(N1854&gt;=50,"Silver","Regular")))</f>
        <v>Silver</v>
      </c>
      <c r="P1854" s="4" t="str">
        <f t="shared" si="197"/>
        <v>Sunday</v>
      </c>
      <c r="Q1854" s="4" t="str">
        <f t="shared" si="198"/>
        <v>Small Order</v>
      </c>
      <c r="R1854" s="4" t="str">
        <f t="shared" si="199"/>
        <v>Weekend</v>
      </c>
      <c r="S1854" s="4" t="str">
        <f t="shared" si="200"/>
        <v>Regular</v>
      </c>
    </row>
    <row r="1855" spans="1:19" x14ac:dyDescent="0.3">
      <c r="A1855">
        <v>2739</v>
      </c>
      <c r="B1855" t="s">
        <v>19</v>
      </c>
      <c r="C1855" s="1">
        <v>45392</v>
      </c>
      <c r="D1855" t="s">
        <v>4</v>
      </c>
      <c r="E1855" t="s">
        <v>7</v>
      </c>
      <c r="F1855">
        <v>4</v>
      </c>
      <c r="G1855">
        <v>5.88</v>
      </c>
      <c r="H1855">
        <v>23.52</v>
      </c>
      <c r="I1855" t="str">
        <f t="shared" si="196"/>
        <v>No Discount</v>
      </c>
      <c r="J1855">
        <v>0</v>
      </c>
      <c r="K1855">
        <f t="shared" si="201"/>
        <v>23.52</v>
      </c>
      <c r="L1855" t="str">
        <f t="shared" si="202"/>
        <v>April</v>
      </c>
      <c r="M1855">
        <f>YEAR(C1855)</f>
        <v>2024</v>
      </c>
      <c r="N1855">
        <v>343</v>
      </c>
      <c r="O1855" t="str">
        <f>IF(N1855&gt;=200,"Platinum",IF(N1855&gt;=100,"Gold",IF(N1855&gt;=50,"Silver","Regular")))</f>
        <v>Platinum</v>
      </c>
      <c r="P1855" s="4" t="str">
        <f t="shared" si="197"/>
        <v>Wednesday</v>
      </c>
      <c r="Q1855" s="4" t="str">
        <f t="shared" si="198"/>
        <v>Medium Order</v>
      </c>
      <c r="R1855" s="4" t="str">
        <f t="shared" si="199"/>
        <v>Weekday</v>
      </c>
      <c r="S1855" s="4" t="str">
        <f t="shared" si="200"/>
        <v>Regular</v>
      </c>
    </row>
    <row r="1856" spans="1:19" x14ac:dyDescent="0.3">
      <c r="A1856">
        <v>4582</v>
      </c>
      <c r="B1856" t="s">
        <v>15</v>
      </c>
      <c r="C1856" s="1">
        <v>45325</v>
      </c>
      <c r="D1856" t="s">
        <v>16</v>
      </c>
      <c r="E1856" t="s">
        <v>12</v>
      </c>
      <c r="F1856">
        <v>2</v>
      </c>
      <c r="G1856">
        <v>11.73</v>
      </c>
      <c r="H1856">
        <v>23.46</v>
      </c>
      <c r="I1856" t="str">
        <f t="shared" si="196"/>
        <v>No Discount</v>
      </c>
      <c r="J1856">
        <v>0</v>
      </c>
      <c r="K1856">
        <f t="shared" si="201"/>
        <v>23.46</v>
      </c>
      <c r="L1856" t="str">
        <f t="shared" si="202"/>
        <v>February</v>
      </c>
      <c r="M1856">
        <f>YEAR(C1856)</f>
        <v>2024</v>
      </c>
      <c r="N1856">
        <v>107</v>
      </c>
      <c r="O1856" t="str">
        <f>IF(N1856&gt;=200,"Platinum",IF(N1856&gt;=100,"Gold",IF(N1856&gt;=50,"Silver","Regular")))</f>
        <v>Gold</v>
      </c>
      <c r="P1856" s="4" t="str">
        <f t="shared" si="197"/>
        <v>Saturday</v>
      </c>
      <c r="Q1856" s="4" t="str">
        <f t="shared" si="198"/>
        <v>Small Order</v>
      </c>
      <c r="R1856" s="4" t="str">
        <f t="shared" si="199"/>
        <v>Weekend</v>
      </c>
      <c r="S1856" s="4" t="str">
        <f t="shared" si="200"/>
        <v>Regular</v>
      </c>
    </row>
    <row r="1857" spans="1:19" x14ac:dyDescent="0.3">
      <c r="A1857">
        <v>8761</v>
      </c>
      <c r="B1857" t="s">
        <v>13</v>
      </c>
      <c r="C1857" s="1">
        <v>45548</v>
      </c>
      <c r="D1857" t="s">
        <v>23</v>
      </c>
      <c r="E1857" t="s">
        <v>28</v>
      </c>
      <c r="F1857">
        <v>5</v>
      </c>
      <c r="G1857">
        <v>4.55</v>
      </c>
      <c r="H1857">
        <v>22.75</v>
      </c>
      <c r="I1857" t="str">
        <f t="shared" si="196"/>
        <v>No Discount</v>
      </c>
      <c r="J1857">
        <v>0</v>
      </c>
      <c r="K1857">
        <f t="shared" si="201"/>
        <v>22.75</v>
      </c>
      <c r="L1857" t="str">
        <f t="shared" si="202"/>
        <v>September</v>
      </c>
      <c r="M1857">
        <f>YEAR(C1857)</f>
        <v>2024</v>
      </c>
      <c r="N1857">
        <v>271</v>
      </c>
      <c r="O1857" t="str">
        <f>IF(N1857&gt;=200,"Platinum",IF(N1857&gt;=100,"Gold",IF(N1857&gt;=50,"Silver","Regular")))</f>
        <v>Platinum</v>
      </c>
      <c r="P1857" s="4" t="str">
        <f t="shared" si="197"/>
        <v>Friday</v>
      </c>
      <c r="Q1857" s="4" t="str">
        <f t="shared" si="198"/>
        <v>Medium Order</v>
      </c>
      <c r="R1857" s="4" t="str">
        <f t="shared" si="199"/>
        <v>Weekday</v>
      </c>
      <c r="S1857" s="4" t="str">
        <f t="shared" si="200"/>
        <v>Regular</v>
      </c>
    </row>
    <row r="1858" spans="1:19" x14ac:dyDescent="0.3">
      <c r="A1858">
        <v>1674</v>
      </c>
      <c r="B1858" t="s">
        <v>20</v>
      </c>
      <c r="C1858" s="1">
        <v>45785</v>
      </c>
      <c r="D1858" t="s">
        <v>34</v>
      </c>
      <c r="E1858" t="s">
        <v>12</v>
      </c>
      <c r="F1858">
        <v>3</v>
      </c>
      <c r="G1858">
        <v>7.53</v>
      </c>
      <c r="H1858">
        <v>22.59</v>
      </c>
      <c r="I1858" t="str">
        <f t="shared" ref="I1858:I1921" si="203">IF(J1858=0,"No Discount",IF(J1858&lt;=5,"Low",IF(J1858&lt;=10,"Medium",IF(J1858&lt;=20,"High","Very High"))))</f>
        <v>No Discount</v>
      </c>
      <c r="J1858">
        <v>0</v>
      </c>
      <c r="K1858">
        <f t="shared" si="201"/>
        <v>22.59</v>
      </c>
      <c r="L1858" t="str">
        <f t="shared" si="202"/>
        <v>May</v>
      </c>
      <c r="M1858">
        <f>YEAR(C1858)</f>
        <v>2025</v>
      </c>
      <c r="N1858">
        <v>217</v>
      </c>
      <c r="O1858" t="str">
        <f>IF(N1858&gt;=200,"Platinum",IF(N1858&gt;=100,"Gold",IF(N1858&gt;=50,"Silver","Regular")))</f>
        <v>Platinum</v>
      </c>
      <c r="P1858" s="4" t="str">
        <f t="shared" ref="P1858:P1921" si="204">TEXT(C1858,"dddd")</f>
        <v>Thursday</v>
      </c>
      <c r="Q1858" s="4" t="str">
        <f t="shared" ref="Q1858:Q1921" si="205">IF(F1858&lt;=2,"Small Order",IF(F1858&lt;=5,"Medium Order",IF(F1858&lt;=10,"Large Order","Bulk Order")))</f>
        <v>Medium Order</v>
      </c>
      <c r="R1858" s="4" t="str">
        <f t="shared" ref="R1858:R1921" si="206">IF(WEEKDAY(C1858,2)&gt;5,"Weekend","Weekday")</f>
        <v>Weekday</v>
      </c>
      <c r="S1858" s="4" t="str">
        <f t="shared" ref="S1858:S1921" si="207">IF(K1858&gt;=100,"High Value","Regular")</f>
        <v>Regular</v>
      </c>
    </row>
    <row r="1859" spans="1:19" x14ac:dyDescent="0.3">
      <c r="A1859">
        <v>1349</v>
      </c>
      <c r="B1859" t="s">
        <v>13</v>
      </c>
      <c r="C1859" s="1">
        <v>45184</v>
      </c>
      <c r="D1859" t="s">
        <v>1</v>
      </c>
      <c r="E1859" t="s">
        <v>7</v>
      </c>
      <c r="F1859">
        <v>3</v>
      </c>
      <c r="G1859">
        <v>7.53</v>
      </c>
      <c r="H1859">
        <v>22.59</v>
      </c>
      <c r="I1859" t="str">
        <f t="shared" si="203"/>
        <v>No Discount</v>
      </c>
      <c r="J1859">
        <v>0</v>
      </c>
      <c r="K1859">
        <f t="shared" ref="K1859:K1922" si="208">MAX(0,H1859-J1859)</f>
        <v>22.59</v>
      </c>
      <c r="L1859" t="str">
        <f t="shared" ref="L1859:L1922" si="209">TEXT(C1859,"mmmm")</f>
        <v>September</v>
      </c>
      <c r="M1859">
        <f>YEAR(C1859)</f>
        <v>2023</v>
      </c>
      <c r="N1859">
        <v>174</v>
      </c>
      <c r="O1859" t="str">
        <f>IF(N1859&gt;=200,"Platinum",IF(N1859&gt;=100,"Gold",IF(N1859&gt;=50,"Silver","Regular")))</f>
        <v>Gold</v>
      </c>
      <c r="P1859" s="4" t="str">
        <f t="shared" si="204"/>
        <v>Friday</v>
      </c>
      <c r="Q1859" s="4" t="str">
        <f t="shared" si="205"/>
        <v>Medium Order</v>
      </c>
      <c r="R1859" s="4" t="str">
        <f t="shared" si="206"/>
        <v>Weekday</v>
      </c>
      <c r="S1859" s="4" t="str">
        <f t="shared" si="207"/>
        <v>Regular</v>
      </c>
    </row>
    <row r="1860" spans="1:19" x14ac:dyDescent="0.3">
      <c r="A1860">
        <v>9715</v>
      </c>
      <c r="B1860" t="s">
        <v>3</v>
      </c>
      <c r="C1860" s="1">
        <v>45439</v>
      </c>
      <c r="D1860" t="s">
        <v>4</v>
      </c>
      <c r="E1860" t="s">
        <v>21</v>
      </c>
      <c r="F1860">
        <v>1</v>
      </c>
      <c r="G1860">
        <v>22.52</v>
      </c>
      <c r="H1860">
        <v>22.52</v>
      </c>
      <c r="I1860" t="str">
        <f t="shared" si="203"/>
        <v>No Discount</v>
      </c>
      <c r="J1860">
        <v>0</v>
      </c>
      <c r="K1860">
        <f t="shared" si="208"/>
        <v>22.52</v>
      </c>
      <c r="L1860" t="str">
        <f t="shared" si="209"/>
        <v>May</v>
      </c>
      <c r="M1860">
        <f>YEAR(C1860)</f>
        <v>2024</v>
      </c>
      <c r="N1860">
        <v>66</v>
      </c>
      <c r="O1860" t="str">
        <f>IF(N1860&gt;=200,"Platinum",IF(N1860&gt;=100,"Gold",IF(N1860&gt;=50,"Silver","Regular")))</f>
        <v>Silver</v>
      </c>
      <c r="P1860" s="4" t="str">
        <f t="shared" si="204"/>
        <v>Monday</v>
      </c>
      <c r="Q1860" s="4" t="str">
        <f t="shared" si="205"/>
        <v>Small Order</v>
      </c>
      <c r="R1860" s="4" t="str">
        <f t="shared" si="206"/>
        <v>Weekday</v>
      </c>
      <c r="S1860" s="4" t="str">
        <f t="shared" si="207"/>
        <v>Regular</v>
      </c>
    </row>
    <row r="1861" spans="1:19" x14ac:dyDescent="0.3">
      <c r="A1861">
        <v>3218</v>
      </c>
      <c r="B1861" t="s">
        <v>3</v>
      </c>
      <c r="C1861" s="1">
        <v>45739</v>
      </c>
      <c r="D1861" t="s">
        <v>23</v>
      </c>
      <c r="E1861" t="s">
        <v>21</v>
      </c>
      <c r="F1861">
        <v>2</v>
      </c>
      <c r="G1861">
        <v>11.08</v>
      </c>
      <c r="H1861">
        <v>22.16</v>
      </c>
      <c r="I1861" t="str">
        <f t="shared" si="203"/>
        <v>No Discount</v>
      </c>
      <c r="J1861">
        <v>0</v>
      </c>
      <c r="K1861">
        <f t="shared" si="208"/>
        <v>22.16</v>
      </c>
      <c r="L1861" t="str">
        <f t="shared" si="209"/>
        <v>March</v>
      </c>
      <c r="M1861">
        <f>YEAR(C1861)</f>
        <v>2025</v>
      </c>
      <c r="N1861">
        <v>487</v>
      </c>
      <c r="O1861" t="str">
        <f>IF(N1861&gt;=200,"Platinum",IF(N1861&gt;=100,"Gold",IF(N1861&gt;=50,"Silver","Regular")))</f>
        <v>Platinum</v>
      </c>
      <c r="P1861" s="4" t="str">
        <f t="shared" si="204"/>
        <v>Sunday</v>
      </c>
      <c r="Q1861" s="4" t="str">
        <f t="shared" si="205"/>
        <v>Small Order</v>
      </c>
      <c r="R1861" s="4" t="str">
        <f t="shared" si="206"/>
        <v>Weekend</v>
      </c>
      <c r="S1861" s="4" t="str">
        <f t="shared" si="207"/>
        <v>Regular</v>
      </c>
    </row>
    <row r="1862" spans="1:19" x14ac:dyDescent="0.3">
      <c r="A1862">
        <v>3392</v>
      </c>
      <c r="B1862" t="s">
        <v>8</v>
      </c>
      <c r="C1862" s="1">
        <v>45251</v>
      </c>
      <c r="D1862" t="s">
        <v>17</v>
      </c>
      <c r="E1862" t="s">
        <v>37</v>
      </c>
      <c r="F1862">
        <v>1</v>
      </c>
      <c r="G1862">
        <v>21.83</v>
      </c>
      <c r="H1862">
        <v>21.83</v>
      </c>
      <c r="I1862" t="str">
        <f t="shared" si="203"/>
        <v>No Discount</v>
      </c>
      <c r="J1862">
        <v>0</v>
      </c>
      <c r="K1862">
        <f t="shared" si="208"/>
        <v>21.83</v>
      </c>
      <c r="L1862" t="str">
        <f t="shared" si="209"/>
        <v>November</v>
      </c>
      <c r="M1862">
        <f>YEAR(C1862)</f>
        <v>2023</v>
      </c>
      <c r="N1862">
        <v>222</v>
      </c>
      <c r="O1862" t="str">
        <f>IF(N1862&gt;=200,"Platinum",IF(N1862&gt;=100,"Gold",IF(N1862&gt;=50,"Silver","Regular")))</f>
        <v>Platinum</v>
      </c>
      <c r="P1862" s="4" t="str">
        <f t="shared" si="204"/>
        <v>Tuesday</v>
      </c>
      <c r="Q1862" s="4" t="str">
        <f t="shared" si="205"/>
        <v>Small Order</v>
      </c>
      <c r="R1862" s="4" t="str">
        <f t="shared" si="206"/>
        <v>Weekday</v>
      </c>
      <c r="S1862" s="4" t="str">
        <f t="shared" si="207"/>
        <v>Regular</v>
      </c>
    </row>
    <row r="1863" spans="1:19" x14ac:dyDescent="0.3">
      <c r="A1863">
        <v>4196</v>
      </c>
      <c r="B1863" t="s">
        <v>19</v>
      </c>
      <c r="C1863" s="1">
        <v>45778</v>
      </c>
      <c r="D1863" t="s">
        <v>24</v>
      </c>
      <c r="E1863" t="s">
        <v>7</v>
      </c>
      <c r="F1863">
        <v>2</v>
      </c>
      <c r="G1863">
        <v>10.88</v>
      </c>
      <c r="H1863">
        <v>21.76</v>
      </c>
      <c r="I1863" t="str">
        <f t="shared" si="203"/>
        <v>No Discount</v>
      </c>
      <c r="J1863">
        <v>0</v>
      </c>
      <c r="K1863">
        <f t="shared" si="208"/>
        <v>21.76</v>
      </c>
      <c r="L1863" t="str">
        <f t="shared" si="209"/>
        <v>May</v>
      </c>
      <c r="M1863">
        <f>YEAR(C1863)</f>
        <v>2025</v>
      </c>
      <c r="N1863">
        <v>347</v>
      </c>
      <c r="O1863" t="str">
        <f>IF(N1863&gt;=200,"Platinum",IF(N1863&gt;=100,"Gold",IF(N1863&gt;=50,"Silver","Regular")))</f>
        <v>Platinum</v>
      </c>
      <c r="P1863" s="4" t="str">
        <f t="shared" si="204"/>
        <v>Thursday</v>
      </c>
      <c r="Q1863" s="4" t="str">
        <f t="shared" si="205"/>
        <v>Small Order</v>
      </c>
      <c r="R1863" s="4" t="str">
        <f t="shared" si="206"/>
        <v>Weekday</v>
      </c>
      <c r="S1863" s="4" t="str">
        <f t="shared" si="207"/>
        <v>Regular</v>
      </c>
    </row>
    <row r="1864" spans="1:19" x14ac:dyDescent="0.3">
      <c r="A1864">
        <v>2160</v>
      </c>
      <c r="B1864" t="s">
        <v>19</v>
      </c>
      <c r="C1864" s="1">
        <v>45322</v>
      </c>
      <c r="D1864" t="s">
        <v>17</v>
      </c>
      <c r="E1864" t="s">
        <v>2</v>
      </c>
      <c r="F1864">
        <v>1</v>
      </c>
      <c r="G1864">
        <v>21.68</v>
      </c>
      <c r="H1864">
        <v>21.68</v>
      </c>
      <c r="I1864" t="str">
        <f t="shared" si="203"/>
        <v>No Discount</v>
      </c>
      <c r="J1864">
        <v>0</v>
      </c>
      <c r="K1864">
        <f t="shared" si="208"/>
        <v>21.68</v>
      </c>
      <c r="L1864" t="str">
        <f t="shared" si="209"/>
        <v>January</v>
      </c>
      <c r="M1864">
        <f>YEAR(C1864)</f>
        <v>2024</v>
      </c>
      <c r="N1864">
        <v>251</v>
      </c>
      <c r="O1864" t="str">
        <f>IF(N1864&gt;=200,"Platinum",IF(N1864&gt;=100,"Gold",IF(N1864&gt;=50,"Silver","Regular")))</f>
        <v>Platinum</v>
      </c>
      <c r="P1864" s="4" t="str">
        <f t="shared" si="204"/>
        <v>Wednesday</v>
      </c>
      <c r="Q1864" s="4" t="str">
        <f t="shared" si="205"/>
        <v>Small Order</v>
      </c>
      <c r="R1864" s="4" t="str">
        <f t="shared" si="206"/>
        <v>Weekday</v>
      </c>
      <c r="S1864" s="4" t="str">
        <f t="shared" si="207"/>
        <v>Regular</v>
      </c>
    </row>
    <row r="1865" spans="1:19" x14ac:dyDescent="0.3">
      <c r="A1865">
        <v>3501</v>
      </c>
      <c r="B1865" t="s">
        <v>13</v>
      </c>
      <c r="C1865" s="1">
        <v>45360</v>
      </c>
      <c r="D1865" t="s">
        <v>1</v>
      </c>
      <c r="E1865" t="s">
        <v>33</v>
      </c>
      <c r="F1865">
        <v>2</v>
      </c>
      <c r="G1865">
        <v>10.78</v>
      </c>
      <c r="H1865">
        <v>21.56</v>
      </c>
      <c r="I1865" t="str">
        <f t="shared" si="203"/>
        <v>No Discount</v>
      </c>
      <c r="J1865">
        <v>0</v>
      </c>
      <c r="K1865">
        <f t="shared" si="208"/>
        <v>21.56</v>
      </c>
      <c r="L1865" t="str">
        <f t="shared" si="209"/>
        <v>March</v>
      </c>
      <c r="M1865">
        <f>YEAR(C1865)</f>
        <v>2024</v>
      </c>
      <c r="N1865">
        <v>455</v>
      </c>
      <c r="O1865" t="str">
        <f>IF(N1865&gt;=200,"Platinum",IF(N1865&gt;=100,"Gold",IF(N1865&gt;=50,"Silver","Regular")))</f>
        <v>Platinum</v>
      </c>
      <c r="P1865" s="4" t="str">
        <f t="shared" si="204"/>
        <v>Saturday</v>
      </c>
      <c r="Q1865" s="4" t="str">
        <f t="shared" si="205"/>
        <v>Small Order</v>
      </c>
      <c r="R1865" s="4" t="str">
        <f t="shared" si="206"/>
        <v>Weekend</v>
      </c>
      <c r="S1865" s="4" t="str">
        <f t="shared" si="207"/>
        <v>Regular</v>
      </c>
    </row>
    <row r="1866" spans="1:19" x14ac:dyDescent="0.3">
      <c r="A1866">
        <v>8408</v>
      </c>
      <c r="B1866" t="s">
        <v>15</v>
      </c>
      <c r="C1866" s="1">
        <v>45576</v>
      </c>
      <c r="D1866" t="s">
        <v>11</v>
      </c>
      <c r="E1866" t="s">
        <v>5</v>
      </c>
      <c r="F1866">
        <v>1</v>
      </c>
      <c r="G1866">
        <v>21.53</v>
      </c>
      <c r="H1866">
        <v>21.53</v>
      </c>
      <c r="I1866" t="str">
        <f t="shared" si="203"/>
        <v>No Discount</v>
      </c>
      <c r="J1866">
        <v>0</v>
      </c>
      <c r="K1866">
        <f t="shared" si="208"/>
        <v>21.53</v>
      </c>
      <c r="L1866" t="str">
        <f t="shared" si="209"/>
        <v>October</v>
      </c>
      <c r="M1866">
        <f>YEAR(C1866)</f>
        <v>2024</v>
      </c>
      <c r="N1866">
        <v>459</v>
      </c>
      <c r="O1866" t="str">
        <f>IF(N1866&gt;=200,"Platinum",IF(N1866&gt;=100,"Gold",IF(N1866&gt;=50,"Silver","Regular")))</f>
        <v>Platinum</v>
      </c>
      <c r="P1866" s="4" t="str">
        <f t="shared" si="204"/>
        <v>Friday</v>
      </c>
      <c r="Q1866" s="4" t="str">
        <f t="shared" si="205"/>
        <v>Small Order</v>
      </c>
      <c r="R1866" s="4" t="str">
        <f t="shared" si="206"/>
        <v>Weekday</v>
      </c>
      <c r="S1866" s="4" t="str">
        <f t="shared" si="207"/>
        <v>Regular</v>
      </c>
    </row>
    <row r="1867" spans="1:19" x14ac:dyDescent="0.3">
      <c r="A1867">
        <v>8586</v>
      </c>
      <c r="B1867" t="s">
        <v>13</v>
      </c>
      <c r="C1867" s="1">
        <v>45744</v>
      </c>
      <c r="D1867" t="s">
        <v>16</v>
      </c>
      <c r="E1867" t="s">
        <v>18</v>
      </c>
      <c r="F1867">
        <v>4</v>
      </c>
      <c r="G1867">
        <v>5.36</v>
      </c>
      <c r="H1867">
        <v>21.44</v>
      </c>
      <c r="I1867" t="str">
        <f t="shared" si="203"/>
        <v>No Discount</v>
      </c>
      <c r="J1867">
        <v>0</v>
      </c>
      <c r="K1867">
        <f t="shared" si="208"/>
        <v>21.44</v>
      </c>
      <c r="L1867" t="str">
        <f t="shared" si="209"/>
        <v>March</v>
      </c>
      <c r="M1867">
        <f>YEAR(C1867)</f>
        <v>2025</v>
      </c>
      <c r="N1867">
        <v>159</v>
      </c>
      <c r="O1867" t="str">
        <f>IF(N1867&gt;=200,"Platinum",IF(N1867&gt;=100,"Gold",IF(N1867&gt;=50,"Silver","Regular")))</f>
        <v>Gold</v>
      </c>
      <c r="P1867" s="4" t="str">
        <f t="shared" si="204"/>
        <v>Friday</v>
      </c>
      <c r="Q1867" s="4" t="str">
        <f t="shared" si="205"/>
        <v>Medium Order</v>
      </c>
      <c r="R1867" s="4" t="str">
        <f t="shared" si="206"/>
        <v>Weekday</v>
      </c>
      <c r="S1867" s="4" t="str">
        <f t="shared" si="207"/>
        <v>Regular</v>
      </c>
    </row>
    <row r="1868" spans="1:19" x14ac:dyDescent="0.3">
      <c r="A1868">
        <v>9116</v>
      </c>
      <c r="B1868" t="s">
        <v>20</v>
      </c>
      <c r="C1868" s="1">
        <v>45289</v>
      </c>
      <c r="D1868" t="s">
        <v>16</v>
      </c>
      <c r="E1868" t="s">
        <v>7</v>
      </c>
      <c r="F1868">
        <v>2</v>
      </c>
      <c r="G1868">
        <v>10.6</v>
      </c>
      <c r="H1868">
        <v>21.2</v>
      </c>
      <c r="I1868" t="str">
        <f t="shared" si="203"/>
        <v>No Discount</v>
      </c>
      <c r="J1868">
        <v>0</v>
      </c>
      <c r="K1868">
        <f t="shared" si="208"/>
        <v>21.2</v>
      </c>
      <c r="L1868" t="str">
        <f t="shared" si="209"/>
        <v>December</v>
      </c>
      <c r="M1868">
        <f>YEAR(C1868)</f>
        <v>2023</v>
      </c>
      <c r="N1868">
        <v>379</v>
      </c>
      <c r="O1868" t="str">
        <f>IF(N1868&gt;=200,"Platinum",IF(N1868&gt;=100,"Gold",IF(N1868&gt;=50,"Silver","Regular")))</f>
        <v>Platinum</v>
      </c>
      <c r="P1868" s="4" t="str">
        <f t="shared" si="204"/>
        <v>Friday</v>
      </c>
      <c r="Q1868" s="4" t="str">
        <f t="shared" si="205"/>
        <v>Small Order</v>
      </c>
      <c r="R1868" s="4" t="str">
        <f t="shared" si="206"/>
        <v>Weekday</v>
      </c>
      <c r="S1868" s="4" t="str">
        <f t="shared" si="207"/>
        <v>Regular</v>
      </c>
    </row>
    <row r="1869" spans="1:19" x14ac:dyDescent="0.3">
      <c r="A1869">
        <v>3939</v>
      </c>
      <c r="B1869" t="s">
        <v>8</v>
      </c>
      <c r="C1869" s="1">
        <v>45379</v>
      </c>
      <c r="D1869" t="s">
        <v>1</v>
      </c>
      <c r="E1869" t="s">
        <v>37</v>
      </c>
      <c r="F1869">
        <v>3</v>
      </c>
      <c r="G1869">
        <v>6.95</v>
      </c>
      <c r="H1869">
        <v>20.85</v>
      </c>
      <c r="I1869" t="str">
        <f t="shared" si="203"/>
        <v>No Discount</v>
      </c>
      <c r="J1869">
        <v>0</v>
      </c>
      <c r="K1869">
        <f t="shared" si="208"/>
        <v>20.85</v>
      </c>
      <c r="L1869" t="str">
        <f t="shared" si="209"/>
        <v>March</v>
      </c>
      <c r="M1869">
        <f>YEAR(C1869)</f>
        <v>2024</v>
      </c>
      <c r="N1869">
        <v>97</v>
      </c>
      <c r="O1869" t="str">
        <f>IF(N1869&gt;=200,"Platinum",IF(N1869&gt;=100,"Gold",IF(N1869&gt;=50,"Silver","Regular")))</f>
        <v>Silver</v>
      </c>
      <c r="P1869" s="4" t="str">
        <f t="shared" si="204"/>
        <v>Thursday</v>
      </c>
      <c r="Q1869" s="4" t="str">
        <f t="shared" si="205"/>
        <v>Medium Order</v>
      </c>
      <c r="R1869" s="4" t="str">
        <f t="shared" si="206"/>
        <v>Weekday</v>
      </c>
      <c r="S1869" s="4" t="str">
        <f t="shared" si="207"/>
        <v>Regular</v>
      </c>
    </row>
    <row r="1870" spans="1:19" x14ac:dyDescent="0.3">
      <c r="A1870">
        <v>1106</v>
      </c>
      <c r="B1870" t="s">
        <v>3</v>
      </c>
      <c r="C1870" s="1">
        <v>45734</v>
      </c>
      <c r="D1870" t="s">
        <v>24</v>
      </c>
      <c r="E1870" t="s">
        <v>7</v>
      </c>
      <c r="F1870">
        <v>1</v>
      </c>
      <c r="G1870">
        <v>20.72</v>
      </c>
      <c r="H1870">
        <v>20.72</v>
      </c>
      <c r="I1870" t="str">
        <f t="shared" si="203"/>
        <v>No Discount</v>
      </c>
      <c r="J1870">
        <v>0</v>
      </c>
      <c r="K1870">
        <f t="shared" si="208"/>
        <v>20.72</v>
      </c>
      <c r="L1870" t="str">
        <f t="shared" si="209"/>
        <v>March</v>
      </c>
      <c r="M1870">
        <f>YEAR(C1870)</f>
        <v>2025</v>
      </c>
      <c r="N1870">
        <v>58</v>
      </c>
      <c r="O1870" t="str">
        <f>IF(N1870&gt;=200,"Platinum",IF(N1870&gt;=100,"Gold",IF(N1870&gt;=50,"Silver","Regular")))</f>
        <v>Silver</v>
      </c>
      <c r="P1870" s="4" t="str">
        <f t="shared" si="204"/>
        <v>Tuesday</v>
      </c>
      <c r="Q1870" s="4" t="str">
        <f t="shared" si="205"/>
        <v>Small Order</v>
      </c>
      <c r="R1870" s="4" t="str">
        <f t="shared" si="206"/>
        <v>Weekday</v>
      </c>
      <c r="S1870" s="4" t="str">
        <f t="shared" si="207"/>
        <v>Regular</v>
      </c>
    </row>
    <row r="1871" spans="1:19" x14ac:dyDescent="0.3">
      <c r="A1871">
        <v>8138</v>
      </c>
      <c r="B1871" t="s">
        <v>31</v>
      </c>
      <c r="C1871" s="1">
        <v>45602</v>
      </c>
      <c r="D1871" t="s">
        <v>16</v>
      </c>
      <c r="E1871" t="s">
        <v>12</v>
      </c>
      <c r="F1871">
        <v>3</v>
      </c>
      <c r="G1871">
        <v>6.85</v>
      </c>
      <c r="H1871">
        <v>20.55</v>
      </c>
      <c r="I1871" t="str">
        <f t="shared" si="203"/>
        <v>No Discount</v>
      </c>
      <c r="J1871">
        <v>0</v>
      </c>
      <c r="K1871">
        <f t="shared" si="208"/>
        <v>20.55</v>
      </c>
      <c r="L1871" t="str">
        <f t="shared" si="209"/>
        <v>November</v>
      </c>
      <c r="M1871">
        <f>YEAR(C1871)</f>
        <v>2024</v>
      </c>
      <c r="N1871">
        <v>65</v>
      </c>
      <c r="O1871" t="str">
        <f>IF(N1871&gt;=200,"Platinum",IF(N1871&gt;=100,"Gold",IF(N1871&gt;=50,"Silver","Regular")))</f>
        <v>Silver</v>
      </c>
      <c r="P1871" s="4" t="str">
        <f t="shared" si="204"/>
        <v>Wednesday</v>
      </c>
      <c r="Q1871" s="4" t="str">
        <f t="shared" si="205"/>
        <v>Medium Order</v>
      </c>
      <c r="R1871" s="4" t="str">
        <f t="shared" si="206"/>
        <v>Weekday</v>
      </c>
      <c r="S1871" s="4" t="str">
        <f t="shared" si="207"/>
        <v>Regular</v>
      </c>
    </row>
    <row r="1872" spans="1:19" x14ac:dyDescent="0.3">
      <c r="A1872">
        <v>4266</v>
      </c>
      <c r="B1872" t="s">
        <v>25</v>
      </c>
      <c r="C1872" s="1">
        <v>45796</v>
      </c>
      <c r="D1872" t="s">
        <v>6</v>
      </c>
      <c r="E1872" t="s">
        <v>21</v>
      </c>
      <c r="F1872">
        <v>4</v>
      </c>
      <c r="G1872">
        <v>5.1100000000000003</v>
      </c>
      <c r="H1872">
        <v>20.440000000000001</v>
      </c>
      <c r="I1872" t="str">
        <f t="shared" si="203"/>
        <v>No Discount</v>
      </c>
      <c r="J1872">
        <v>0</v>
      </c>
      <c r="K1872">
        <f t="shared" si="208"/>
        <v>20.440000000000001</v>
      </c>
      <c r="L1872" t="str">
        <f t="shared" si="209"/>
        <v>May</v>
      </c>
      <c r="M1872">
        <f>YEAR(C1872)</f>
        <v>2025</v>
      </c>
      <c r="N1872">
        <v>323</v>
      </c>
      <c r="O1872" t="str">
        <f>IF(N1872&gt;=200,"Platinum",IF(N1872&gt;=100,"Gold",IF(N1872&gt;=50,"Silver","Regular")))</f>
        <v>Platinum</v>
      </c>
      <c r="P1872" s="4" t="str">
        <f t="shared" si="204"/>
        <v>Monday</v>
      </c>
      <c r="Q1872" s="4" t="str">
        <f t="shared" si="205"/>
        <v>Medium Order</v>
      </c>
      <c r="R1872" s="4" t="str">
        <f t="shared" si="206"/>
        <v>Weekday</v>
      </c>
      <c r="S1872" s="4" t="str">
        <f t="shared" si="207"/>
        <v>Regular</v>
      </c>
    </row>
    <row r="1873" spans="1:19" x14ac:dyDescent="0.3">
      <c r="A1873">
        <v>5215</v>
      </c>
      <c r="B1873" t="s">
        <v>19</v>
      </c>
      <c r="C1873" s="1">
        <v>45703</v>
      </c>
      <c r="D1873" t="s">
        <v>1</v>
      </c>
      <c r="E1873" t="s">
        <v>7</v>
      </c>
      <c r="F1873">
        <v>5</v>
      </c>
      <c r="G1873">
        <v>4.08</v>
      </c>
      <c r="H1873">
        <v>20.399999999999999</v>
      </c>
      <c r="I1873" t="str">
        <f t="shared" si="203"/>
        <v>No Discount</v>
      </c>
      <c r="J1873">
        <v>0</v>
      </c>
      <c r="K1873">
        <f t="shared" si="208"/>
        <v>20.399999999999999</v>
      </c>
      <c r="L1873" t="str">
        <f t="shared" si="209"/>
        <v>February</v>
      </c>
      <c r="M1873">
        <f>YEAR(C1873)</f>
        <v>2025</v>
      </c>
      <c r="N1873">
        <v>381</v>
      </c>
      <c r="O1873" t="str">
        <f>IF(N1873&gt;=200,"Platinum",IF(N1873&gt;=100,"Gold",IF(N1873&gt;=50,"Silver","Regular")))</f>
        <v>Platinum</v>
      </c>
      <c r="P1873" s="4" t="str">
        <f t="shared" si="204"/>
        <v>Saturday</v>
      </c>
      <c r="Q1873" s="4" t="str">
        <f t="shared" si="205"/>
        <v>Medium Order</v>
      </c>
      <c r="R1873" s="4" t="str">
        <f t="shared" si="206"/>
        <v>Weekend</v>
      </c>
      <c r="S1873" s="4" t="str">
        <f t="shared" si="207"/>
        <v>Regular</v>
      </c>
    </row>
    <row r="1874" spans="1:19" x14ac:dyDescent="0.3">
      <c r="A1874">
        <v>7455</v>
      </c>
      <c r="B1874" t="s">
        <v>3</v>
      </c>
      <c r="C1874" s="1">
        <v>45604</v>
      </c>
      <c r="D1874" t="s">
        <v>23</v>
      </c>
      <c r="E1874" t="s">
        <v>12</v>
      </c>
      <c r="F1874">
        <v>3</v>
      </c>
      <c r="G1874">
        <v>6.71</v>
      </c>
      <c r="H1874">
        <v>20.13</v>
      </c>
      <c r="I1874" t="str">
        <f t="shared" si="203"/>
        <v>No Discount</v>
      </c>
      <c r="J1874">
        <v>0</v>
      </c>
      <c r="K1874">
        <f t="shared" si="208"/>
        <v>20.13</v>
      </c>
      <c r="L1874" t="str">
        <f t="shared" si="209"/>
        <v>November</v>
      </c>
      <c r="M1874">
        <f>YEAR(C1874)</f>
        <v>2024</v>
      </c>
      <c r="N1874">
        <v>58</v>
      </c>
      <c r="O1874" t="str">
        <f>IF(N1874&gt;=200,"Platinum",IF(N1874&gt;=100,"Gold",IF(N1874&gt;=50,"Silver","Regular")))</f>
        <v>Silver</v>
      </c>
      <c r="P1874" s="4" t="str">
        <f t="shared" si="204"/>
        <v>Friday</v>
      </c>
      <c r="Q1874" s="4" t="str">
        <f t="shared" si="205"/>
        <v>Medium Order</v>
      </c>
      <c r="R1874" s="4" t="str">
        <f t="shared" si="206"/>
        <v>Weekday</v>
      </c>
      <c r="S1874" s="4" t="str">
        <f t="shared" si="207"/>
        <v>Regular</v>
      </c>
    </row>
    <row r="1875" spans="1:19" x14ac:dyDescent="0.3">
      <c r="A1875">
        <v>3525</v>
      </c>
      <c r="B1875" t="s">
        <v>25</v>
      </c>
      <c r="C1875" s="1">
        <v>45700</v>
      </c>
      <c r="D1875" t="s">
        <v>34</v>
      </c>
      <c r="E1875" t="s">
        <v>32</v>
      </c>
      <c r="F1875">
        <v>2</v>
      </c>
      <c r="G1875">
        <v>9.92</v>
      </c>
      <c r="H1875">
        <v>19.84</v>
      </c>
      <c r="I1875" t="str">
        <f t="shared" si="203"/>
        <v>No Discount</v>
      </c>
      <c r="J1875">
        <v>0</v>
      </c>
      <c r="K1875">
        <f t="shared" si="208"/>
        <v>19.84</v>
      </c>
      <c r="L1875" t="str">
        <f t="shared" si="209"/>
        <v>February</v>
      </c>
      <c r="M1875">
        <f>YEAR(C1875)</f>
        <v>2025</v>
      </c>
      <c r="N1875">
        <v>348</v>
      </c>
      <c r="O1875" t="str">
        <f>IF(N1875&gt;=200,"Platinum",IF(N1875&gt;=100,"Gold",IF(N1875&gt;=50,"Silver","Regular")))</f>
        <v>Platinum</v>
      </c>
      <c r="P1875" s="4" t="str">
        <f t="shared" si="204"/>
        <v>Wednesday</v>
      </c>
      <c r="Q1875" s="4" t="str">
        <f t="shared" si="205"/>
        <v>Small Order</v>
      </c>
      <c r="R1875" s="4" t="str">
        <f t="shared" si="206"/>
        <v>Weekday</v>
      </c>
      <c r="S1875" s="4" t="str">
        <f t="shared" si="207"/>
        <v>Regular</v>
      </c>
    </row>
    <row r="1876" spans="1:19" x14ac:dyDescent="0.3">
      <c r="A1876">
        <v>3842</v>
      </c>
      <c r="B1876" t="s">
        <v>25</v>
      </c>
      <c r="C1876" s="1">
        <v>45612</v>
      </c>
      <c r="D1876" t="s">
        <v>6</v>
      </c>
      <c r="E1876" t="s">
        <v>7</v>
      </c>
      <c r="F1876">
        <v>1</v>
      </c>
      <c r="G1876">
        <v>19.809999999999999</v>
      </c>
      <c r="H1876">
        <v>19.809999999999999</v>
      </c>
      <c r="I1876" t="str">
        <f t="shared" si="203"/>
        <v>No Discount</v>
      </c>
      <c r="J1876">
        <v>0</v>
      </c>
      <c r="K1876">
        <f t="shared" si="208"/>
        <v>19.809999999999999</v>
      </c>
      <c r="L1876" t="str">
        <f t="shared" si="209"/>
        <v>November</v>
      </c>
      <c r="M1876">
        <f>YEAR(C1876)</f>
        <v>2024</v>
      </c>
      <c r="N1876">
        <v>377</v>
      </c>
      <c r="O1876" t="str">
        <f>IF(N1876&gt;=200,"Platinum",IF(N1876&gt;=100,"Gold",IF(N1876&gt;=50,"Silver","Regular")))</f>
        <v>Platinum</v>
      </c>
      <c r="P1876" s="4" t="str">
        <f t="shared" si="204"/>
        <v>Saturday</v>
      </c>
      <c r="Q1876" s="4" t="str">
        <f t="shared" si="205"/>
        <v>Small Order</v>
      </c>
      <c r="R1876" s="4" t="str">
        <f t="shared" si="206"/>
        <v>Weekend</v>
      </c>
      <c r="S1876" s="4" t="str">
        <f t="shared" si="207"/>
        <v>Regular</v>
      </c>
    </row>
    <row r="1877" spans="1:19" x14ac:dyDescent="0.3">
      <c r="A1877">
        <v>8167</v>
      </c>
      <c r="B1877" t="s">
        <v>15</v>
      </c>
      <c r="C1877" s="1">
        <v>45216</v>
      </c>
      <c r="D1877" t="s">
        <v>11</v>
      </c>
      <c r="E1877" t="s">
        <v>26</v>
      </c>
      <c r="F1877">
        <v>1</v>
      </c>
      <c r="G1877">
        <v>19.71</v>
      </c>
      <c r="H1877">
        <v>19.71</v>
      </c>
      <c r="I1877" t="str">
        <f t="shared" si="203"/>
        <v>No Discount</v>
      </c>
      <c r="J1877">
        <v>0</v>
      </c>
      <c r="K1877">
        <f t="shared" si="208"/>
        <v>19.71</v>
      </c>
      <c r="L1877" t="str">
        <f t="shared" si="209"/>
        <v>October</v>
      </c>
      <c r="M1877">
        <f>YEAR(C1877)</f>
        <v>2023</v>
      </c>
      <c r="N1877">
        <v>463</v>
      </c>
      <c r="O1877" t="str">
        <f>IF(N1877&gt;=200,"Platinum",IF(N1877&gt;=100,"Gold",IF(N1877&gt;=50,"Silver","Regular")))</f>
        <v>Platinum</v>
      </c>
      <c r="P1877" s="4" t="str">
        <f t="shared" si="204"/>
        <v>Tuesday</v>
      </c>
      <c r="Q1877" s="4" t="str">
        <f t="shared" si="205"/>
        <v>Small Order</v>
      </c>
      <c r="R1877" s="4" t="str">
        <f t="shared" si="206"/>
        <v>Weekday</v>
      </c>
      <c r="S1877" s="4" t="str">
        <f t="shared" si="207"/>
        <v>Regular</v>
      </c>
    </row>
    <row r="1878" spans="1:19" x14ac:dyDescent="0.3">
      <c r="A1878">
        <v>8564</v>
      </c>
      <c r="B1878" t="s">
        <v>8</v>
      </c>
      <c r="C1878" s="1">
        <v>45286</v>
      </c>
      <c r="D1878" t="s">
        <v>11</v>
      </c>
      <c r="E1878" t="s">
        <v>37</v>
      </c>
      <c r="F1878">
        <v>2</v>
      </c>
      <c r="G1878">
        <v>9.85</v>
      </c>
      <c r="H1878">
        <v>19.7</v>
      </c>
      <c r="I1878" t="str">
        <f t="shared" si="203"/>
        <v>No Discount</v>
      </c>
      <c r="J1878">
        <v>0</v>
      </c>
      <c r="K1878">
        <f t="shared" si="208"/>
        <v>19.7</v>
      </c>
      <c r="L1878" t="str">
        <f t="shared" si="209"/>
        <v>December</v>
      </c>
      <c r="M1878">
        <f>YEAR(C1878)</f>
        <v>2023</v>
      </c>
      <c r="N1878">
        <v>93</v>
      </c>
      <c r="O1878" t="str">
        <f>IF(N1878&gt;=200,"Platinum",IF(N1878&gt;=100,"Gold",IF(N1878&gt;=50,"Silver","Regular")))</f>
        <v>Silver</v>
      </c>
      <c r="P1878" s="4" t="str">
        <f t="shared" si="204"/>
        <v>Tuesday</v>
      </c>
      <c r="Q1878" s="4" t="str">
        <f t="shared" si="205"/>
        <v>Small Order</v>
      </c>
      <c r="R1878" s="4" t="str">
        <f t="shared" si="206"/>
        <v>Weekday</v>
      </c>
      <c r="S1878" s="4" t="str">
        <f t="shared" si="207"/>
        <v>Regular</v>
      </c>
    </row>
    <row r="1879" spans="1:19" x14ac:dyDescent="0.3">
      <c r="A1879">
        <v>3370</v>
      </c>
      <c r="B1879" t="s">
        <v>20</v>
      </c>
      <c r="C1879" s="1">
        <v>45245</v>
      </c>
      <c r="D1879" t="s">
        <v>11</v>
      </c>
      <c r="E1879" t="s">
        <v>32</v>
      </c>
      <c r="F1879">
        <v>4</v>
      </c>
      <c r="G1879">
        <v>4.88</v>
      </c>
      <c r="H1879">
        <v>19.52</v>
      </c>
      <c r="I1879" t="str">
        <f t="shared" si="203"/>
        <v>No Discount</v>
      </c>
      <c r="J1879">
        <v>0</v>
      </c>
      <c r="K1879">
        <f t="shared" si="208"/>
        <v>19.52</v>
      </c>
      <c r="L1879" t="str">
        <f t="shared" si="209"/>
        <v>November</v>
      </c>
      <c r="M1879">
        <f>YEAR(C1879)</f>
        <v>2023</v>
      </c>
      <c r="N1879">
        <v>433</v>
      </c>
      <c r="O1879" t="str">
        <f>IF(N1879&gt;=200,"Platinum",IF(N1879&gt;=100,"Gold",IF(N1879&gt;=50,"Silver","Regular")))</f>
        <v>Platinum</v>
      </c>
      <c r="P1879" s="4" t="str">
        <f t="shared" si="204"/>
        <v>Wednesday</v>
      </c>
      <c r="Q1879" s="4" t="str">
        <f t="shared" si="205"/>
        <v>Medium Order</v>
      </c>
      <c r="R1879" s="4" t="str">
        <f t="shared" si="206"/>
        <v>Weekday</v>
      </c>
      <c r="S1879" s="4" t="str">
        <f t="shared" si="207"/>
        <v>Regular</v>
      </c>
    </row>
    <row r="1880" spans="1:19" x14ac:dyDescent="0.3">
      <c r="A1880">
        <v>9446</v>
      </c>
      <c r="B1880" t="s">
        <v>31</v>
      </c>
      <c r="C1880" s="1">
        <v>45253</v>
      </c>
      <c r="D1880" t="s">
        <v>1</v>
      </c>
      <c r="E1880" t="s">
        <v>10</v>
      </c>
      <c r="F1880">
        <v>1</v>
      </c>
      <c r="G1880">
        <v>19.37</v>
      </c>
      <c r="H1880">
        <v>19.37</v>
      </c>
      <c r="I1880" t="str">
        <f t="shared" si="203"/>
        <v>No Discount</v>
      </c>
      <c r="J1880">
        <v>0</v>
      </c>
      <c r="K1880">
        <f t="shared" si="208"/>
        <v>19.37</v>
      </c>
      <c r="L1880" t="str">
        <f t="shared" si="209"/>
        <v>November</v>
      </c>
      <c r="M1880">
        <f>YEAR(C1880)</f>
        <v>2023</v>
      </c>
      <c r="N1880">
        <v>447</v>
      </c>
      <c r="O1880" t="str">
        <f>IF(N1880&gt;=200,"Platinum",IF(N1880&gt;=100,"Gold",IF(N1880&gt;=50,"Silver","Regular")))</f>
        <v>Platinum</v>
      </c>
      <c r="P1880" s="4" t="str">
        <f t="shared" si="204"/>
        <v>Thursday</v>
      </c>
      <c r="Q1880" s="4" t="str">
        <f t="shared" si="205"/>
        <v>Small Order</v>
      </c>
      <c r="R1880" s="4" t="str">
        <f t="shared" si="206"/>
        <v>Weekday</v>
      </c>
      <c r="S1880" s="4" t="str">
        <f t="shared" si="207"/>
        <v>Regular</v>
      </c>
    </row>
    <row r="1881" spans="1:19" x14ac:dyDescent="0.3">
      <c r="A1881">
        <v>3248</v>
      </c>
      <c r="B1881" t="s">
        <v>3</v>
      </c>
      <c r="C1881" s="1">
        <v>45738</v>
      </c>
      <c r="D1881" t="s">
        <v>1</v>
      </c>
      <c r="E1881" t="s">
        <v>21</v>
      </c>
      <c r="F1881">
        <v>2</v>
      </c>
      <c r="G1881">
        <v>9.66</v>
      </c>
      <c r="H1881">
        <v>19.32</v>
      </c>
      <c r="I1881" t="str">
        <f t="shared" si="203"/>
        <v>No Discount</v>
      </c>
      <c r="J1881">
        <v>0</v>
      </c>
      <c r="K1881">
        <f t="shared" si="208"/>
        <v>19.32</v>
      </c>
      <c r="L1881" t="str">
        <f t="shared" si="209"/>
        <v>March</v>
      </c>
      <c r="M1881">
        <f>YEAR(C1881)</f>
        <v>2025</v>
      </c>
      <c r="N1881">
        <v>199</v>
      </c>
      <c r="O1881" t="str">
        <f>IF(N1881&gt;=200,"Platinum",IF(N1881&gt;=100,"Gold",IF(N1881&gt;=50,"Silver","Regular")))</f>
        <v>Gold</v>
      </c>
      <c r="P1881" s="4" t="str">
        <f t="shared" si="204"/>
        <v>Saturday</v>
      </c>
      <c r="Q1881" s="4" t="str">
        <f t="shared" si="205"/>
        <v>Small Order</v>
      </c>
      <c r="R1881" s="4" t="str">
        <f t="shared" si="206"/>
        <v>Weekend</v>
      </c>
      <c r="S1881" s="4" t="str">
        <f t="shared" si="207"/>
        <v>Regular</v>
      </c>
    </row>
    <row r="1882" spans="1:19" x14ac:dyDescent="0.3">
      <c r="A1882">
        <v>5291</v>
      </c>
      <c r="B1882" t="s">
        <v>15</v>
      </c>
      <c r="C1882" s="1">
        <v>45270</v>
      </c>
      <c r="D1882" t="s">
        <v>17</v>
      </c>
      <c r="E1882" t="s">
        <v>7</v>
      </c>
      <c r="F1882">
        <v>1</v>
      </c>
      <c r="G1882">
        <v>19.32</v>
      </c>
      <c r="H1882">
        <v>19.32</v>
      </c>
      <c r="I1882" t="str">
        <f t="shared" si="203"/>
        <v>No Discount</v>
      </c>
      <c r="J1882">
        <v>0</v>
      </c>
      <c r="K1882">
        <f t="shared" si="208"/>
        <v>19.32</v>
      </c>
      <c r="L1882" t="str">
        <f t="shared" si="209"/>
        <v>December</v>
      </c>
      <c r="M1882">
        <f>YEAR(C1882)</f>
        <v>2023</v>
      </c>
      <c r="N1882">
        <v>294</v>
      </c>
      <c r="O1882" t="str">
        <f>IF(N1882&gt;=200,"Platinum",IF(N1882&gt;=100,"Gold",IF(N1882&gt;=50,"Silver","Regular")))</f>
        <v>Platinum</v>
      </c>
      <c r="P1882" s="4" t="str">
        <f t="shared" si="204"/>
        <v>Sunday</v>
      </c>
      <c r="Q1882" s="4" t="str">
        <f t="shared" si="205"/>
        <v>Small Order</v>
      </c>
      <c r="R1882" s="4" t="str">
        <f t="shared" si="206"/>
        <v>Weekend</v>
      </c>
      <c r="S1882" s="4" t="str">
        <f t="shared" si="207"/>
        <v>Regular</v>
      </c>
    </row>
    <row r="1883" spans="1:19" x14ac:dyDescent="0.3">
      <c r="A1883">
        <v>4762</v>
      </c>
      <c r="B1883" t="s">
        <v>25</v>
      </c>
      <c r="C1883" s="1">
        <v>45337</v>
      </c>
      <c r="D1883" t="s">
        <v>23</v>
      </c>
      <c r="E1883" t="s">
        <v>14</v>
      </c>
      <c r="F1883">
        <v>2</v>
      </c>
      <c r="G1883">
        <v>9.6</v>
      </c>
      <c r="H1883">
        <v>19.2</v>
      </c>
      <c r="I1883" t="str">
        <f t="shared" si="203"/>
        <v>No Discount</v>
      </c>
      <c r="J1883">
        <v>0</v>
      </c>
      <c r="K1883">
        <f t="shared" si="208"/>
        <v>19.2</v>
      </c>
      <c r="L1883" t="str">
        <f t="shared" si="209"/>
        <v>February</v>
      </c>
      <c r="M1883">
        <f>YEAR(C1883)</f>
        <v>2024</v>
      </c>
      <c r="N1883">
        <v>274</v>
      </c>
      <c r="O1883" t="str">
        <f>IF(N1883&gt;=200,"Platinum",IF(N1883&gt;=100,"Gold",IF(N1883&gt;=50,"Silver","Regular")))</f>
        <v>Platinum</v>
      </c>
      <c r="P1883" s="4" t="str">
        <f t="shared" si="204"/>
        <v>Thursday</v>
      </c>
      <c r="Q1883" s="4" t="str">
        <f t="shared" si="205"/>
        <v>Small Order</v>
      </c>
      <c r="R1883" s="4" t="str">
        <f t="shared" si="206"/>
        <v>Weekday</v>
      </c>
      <c r="S1883" s="4" t="str">
        <f t="shared" si="207"/>
        <v>Regular</v>
      </c>
    </row>
    <row r="1884" spans="1:19" x14ac:dyDescent="0.3">
      <c r="A1884">
        <v>5352</v>
      </c>
      <c r="B1884" t="s">
        <v>3</v>
      </c>
      <c r="C1884" s="1">
        <v>45787</v>
      </c>
      <c r="D1884" t="s">
        <v>6</v>
      </c>
      <c r="E1884" t="s">
        <v>28</v>
      </c>
      <c r="F1884">
        <v>1</v>
      </c>
      <c r="G1884">
        <v>19.16</v>
      </c>
      <c r="H1884">
        <v>19.16</v>
      </c>
      <c r="I1884" t="str">
        <f t="shared" si="203"/>
        <v>No Discount</v>
      </c>
      <c r="J1884">
        <v>0</v>
      </c>
      <c r="K1884">
        <f t="shared" si="208"/>
        <v>19.16</v>
      </c>
      <c r="L1884" t="str">
        <f t="shared" si="209"/>
        <v>May</v>
      </c>
      <c r="M1884">
        <f>YEAR(C1884)</f>
        <v>2025</v>
      </c>
      <c r="N1884">
        <v>127</v>
      </c>
      <c r="O1884" t="str">
        <f>IF(N1884&gt;=200,"Platinum",IF(N1884&gt;=100,"Gold",IF(N1884&gt;=50,"Silver","Regular")))</f>
        <v>Gold</v>
      </c>
      <c r="P1884" s="4" t="str">
        <f t="shared" si="204"/>
        <v>Saturday</v>
      </c>
      <c r="Q1884" s="4" t="str">
        <f t="shared" si="205"/>
        <v>Small Order</v>
      </c>
      <c r="R1884" s="4" t="str">
        <f t="shared" si="206"/>
        <v>Weekend</v>
      </c>
      <c r="S1884" s="4" t="str">
        <f t="shared" si="207"/>
        <v>Regular</v>
      </c>
    </row>
    <row r="1885" spans="1:19" x14ac:dyDescent="0.3">
      <c r="A1885">
        <v>5720</v>
      </c>
      <c r="B1885" t="s">
        <v>8</v>
      </c>
      <c r="C1885" s="1">
        <v>45694</v>
      </c>
      <c r="D1885" t="s">
        <v>16</v>
      </c>
      <c r="E1885" t="s">
        <v>7</v>
      </c>
      <c r="F1885">
        <v>2</v>
      </c>
      <c r="G1885">
        <v>9.51</v>
      </c>
      <c r="H1885">
        <v>19.02</v>
      </c>
      <c r="I1885" t="str">
        <f t="shared" si="203"/>
        <v>No Discount</v>
      </c>
      <c r="J1885">
        <v>0</v>
      </c>
      <c r="K1885">
        <f t="shared" si="208"/>
        <v>19.02</v>
      </c>
      <c r="L1885" t="str">
        <f t="shared" si="209"/>
        <v>February</v>
      </c>
      <c r="M1885">
        <f>YEAR(C1885)</f>
        <v>2025</v>
      </c>
      <c r="N1885">
        <v>241</v>
      </c>
      <c r="O1885" t="str">
        <f>IF(N1885&gt;=200,"Platinum",IF(N1885&gt;=100,"Gold",IF(N1885&gt;=50,"Silver","Regular")))</f>
        <v>Platinum</v>
      </c>
      <c r="P1885" s="4" t="str">
        <f t="shared" si="204"/>
        <v>Thursday</v>
      </c>
      <c r="Q1885" s="4" t="str">
        <f t="shared" si="205"/>
        <v>Small Order</v>
      </c>
      <c r="R1885" s="4" t="str">
        <f t="shared" si="206"/>
        <v>Weekday</v>
      </c>
      <c r="S1885" s="4" t="str">
        <f t="shared" si="207"/>
        <v>Regular</v>
      </c>
    </row>
    <row r="1886" spans="1:19" x14ac:dyDescent="0.3">
      <c r="A1886">
        <v>6133</v>
      </c>
      <c r="B1886" t="s">
        <v>20</v>
      </c>
      <c r="C1886" s="1">
        <v>45430</v>
      </c>
      <c r="D1886" t="s">
        <v>11</v>
      </c>
      <c r="E1886" t="s">
        <v>37</v>
      </c>
      <c r="F1886">
        <v>1</v>
      </c>
      <c r="G1886">
        <v>18.79</v>
      </c>
      <c r="H1886">
        <v>18.79</v>
      </c>
      <c r="I1886" t="str">
        <f t="shared" si="203"/>
        <v>No Discount</v>
      </c>
      <c r="J1886">
        <v>0</v>
      </c>
      <c r="K1886">
        <f t="shared" si="208"/>
        <v>18.79</v>
      </c>
      <c r="L1886" t="str">
        <f t="shared" si="209"/>
        <v>May</v>
      </c>
      <c r="M1886">
        <f>YEAR(C1886)</f>
        <v>2024</v>
      </c>
      <c r="N1886">
        <v>271</v>
      </c>
      <c r="O1886" t="str">
        <f>IF(N1886&gt;=200,"Platinum",IF(N1886&gt;=100,"Gold",IF(N1886&gt;=50,"Silver","Regular")))</f>
        <v>Platinum</v>
      </c>
      <c r="P1886" s="4" t="str">
        <f t="shared" si="204"/>
        <v>Saturday</v>
      </c>
      <c r="Q1886" s="4" t="str">
        <f t="shared" si="205"/>
        <v>Small Order</v>
      </c>
      <c r="R1886" s="4" t="str">
        <f t="shared" si="206"/>
        <v>Weekend</v>
      </c>
      <c r="S1886" s="4" t="str">
        <f t="shared" si="207"/>
        <v>Regular</v>
      </c>
    </row>
    <row r="1887" spans="1:19" x14ac:dyDescent="0.3">
      <c r="A1887">
        <v>8801</v>
      </c>
      <c r="B1887" t="s">
        <v>31</v>
      </c>
      <c r="C1887" s="1">
        <v>45220</v>
      </c>
      <c r="D1887" t="s">
        <v>23</v>
      </c>
      <c r="E1887" t="s">
        <v>32</v>
      </c>
      <c r="F1887">
        <v>5</v>
      </c>
      <c r="G1887">
        <v>3.73</v>
      </c>
      <c r="H1887">
        <v>18.649999999999999</v>
      </c>
      <c r="I1887" t="str">
        <f t="shared" si="203"/>
        <v>No Discount</v>
      </c>
      <c r="J1887">
        <v>0</v>
      </c>
      <c r="K1887">
        <f t="shared" si="208"/>
        <v>18.649999999999999</v>
      </c>
      <c r="L1887" t="str">
        <f t="shared" si="209"/>
        <v>October</v>
      </c>
      <c r="M1887">
        <f>YEAR(C1887)</f>
        <v>2023</v>
      </c>
      <c r="N1887">
        <v>372</v>
      </c>
      <c r="O1887" t="str">
        <f>IF(N1887&gt;=200,"Platinum",IF(N1887&gt;=100,"Gold",IF(N1887&gt;=50,"Silver","Regular")))</f>
        <v>Platinum</v>
      </c>
      <c r="P1887" s="4" t="str">
        <f t="shared" si="204"/>
        <v>Saturday</v>
      </c>
      <c r="Q1887" s="4" t="str">
        <f t="shared" si="205"/>
        <v>Medium Order</v>
      </c>
      <c r="R1887" s="4" t="str">
        <f t="shared" si="206"/>
        <v>Weekend</v>
      </c>
      <c r="S1887" s="4" t="str">
        <f t="shared" si="207"/>
        <v>Regular</v>
      </c>
    </row>
    <row r="1888" spans="1:19" x14ac:dyDescent="0.3">
      <c r="A1888">
        <v>6940</v>
      </c>
      <c r="B1888" t="s">
        <v>31</v>
      </c>
      <c r="C1888" s="1">
        <v>45384</v>
      </c>
      <c r="D1888" t="s">
        <v>4</v>
      </c>
      <c r="E1888" t="s">
        <v>36</v>
      </c>
      <c r="F1888">
        <v>3</v>
      </c>
      <c r="G1888">
        <v>6.19</v>
      </c>
      <c r="H1888">
        <v>18.57</v>
      </c>
      <c r="I1888" t="str">
        <f t="shared" si="203"/>
        <v>No Discount</v>
      </c>
      <c r="J1888">
        <v>0</v>
      </c>
      <c r="K1888">
        <f t="shared" si="208"/>
        <v>18.57</v>
      </c>
      <c r="L1888" t="str">
        <f t="shared" si="209"/>
        <v>April</v>
      </c>
      <c r="M1888">
        <f>YEAR(C1888)</f>
        <v>2024</v>
      </c>
      <c r="N1888">
        <v>345</v>
      </c>
      <c r="O1888" t="str">
        <f>IF(N1888&gt;=200,"Platinum",IF(N1888&gt;=100,"Gold",IF(N1888&gt;=50,"Silver","Regular")))</f>
        <v>Platinum</v>
      </c>
      <c r="P1888" s="4" t="str">
        <f t="shared" si="204"/>
        <v>Tuesday</v>
      </c>
      <c r="Q1888" s="4" t="str">
        <f t="shared" si="205"/>
        <v>Medium Order</v>
      </c>
      <c r="R1888" s="4" t="str">
        <f t="shared" si="206"/>
        <v>Weekday</v>
      </c>
      <c r="S1888" s="4" t="str">
        <f t="shared" si="207"/>
        <v>Regular</v>
      </c>
    </row>
    <row r="1889" spans="1:19" x14ac:dyDescent="0.3">
      <c r="A1889">
        <v>2791</v>
      </c>
      <c r="B1889" t="s">
        <v>8</v>
      </c>
      <c r="C1889" s="1">
        <v>45670</v>
      </c>
      <c r="D1889" t="s">
        <v>24</v>
      </c>
      <c r="E1889" t="s">
        <v>35</v>
      </c>
      <c r="F1889">
        <v>1</v>
      </c>
      <c r="G1889">
        <v>18.52</v>
      </c>
      <c r="H1889">
        <v>18.52</v>
      </c>
      <c r="I1889" t="str">
        <f t="shared" si="203"/>
        <v>No Discount</v>
      </c>
      <c r="J1889">
        <v>0</v>
      </c>
      <c r="K1889">
        <f t="shared" si="208"/>
        <v>18.52</v>
      </c>
      <c r="L1889" t="str">
        <f t="shared" si="209"/>
        <v>January</v>
      </c>
      <c r="M1889">
        <f>YEAR(C1889)</f>
        <v>2025</v>
      </c>
      <c r="N1889">
        <v>465</v>
      </c>
      <c r="O1889" t="str">
        <f>IF(N1889&gt;=200,"Platinum",IF(N1889&gt;=100,"Gold",IF(N1889&gt;=50,"Silver","Regular")))</f>
        <v>Platinum</v>
      </c>
      <c r="P1889" s="4" t="str">
        <f t="shared" si="204"/>
        <v>Monday</v>
      </c>
      <c r="Q1889" s="4" t="str">
        <f t="shared" si="205"/>
        <v>Small Order</v>
      </c>
      <c r="R1889" s="4" t="str">
        <f t="shared" si="206"/>
        <v>Weekday</v>
      </c>
      <c r="S1889" s="4" t="str">
        <f t="shared" si="207"/>
        <v>Regular</v>
      </c>
    </row>
    <row r="1890" spans="1:19" x14ac:dyDescent="0.3">
      <c r="A1890">
        <v>4960</v>
      </c>
      <c r="B1890" t="s">
        <v>19</v>
      </c>
      <c r="C1890" s="1">
        <v>45507</v>
      </c>
      <c r="D1890" t="s">
        <v>23</v>
      </c>
      <c r="E1890" t="s">
        <v>22</v>
      </c>
      <c r="F1890">
        <v>3</v>
      </c>
      <c r="G1890">
        <v>6.15</v>
      </c>
      <c r="H1890">
        <v>18.45</v>
      </c>
      <c r="I1890" t="str">
        <f t="shared" si="203"/>
        <v>No Discount</v>
      </c>
      <c r="J1890">
        <v>0</v>
      </c>
      <c r="K1890">
        <f t="shared" si="208"/>
        <v>18.45</v>
      </c>
      <c r="L1890" t="str">
        <f t="shared" si="209"/>
        <v>August</v>
      </c>
      <c r="M1890">
        <f>YEAR(C1890)</f>
        <v>2024</v>
      </c>
      <c r="N1890">
        <v>365</v>
      </c>
      <c r="O1890" t="str">
        <f>IF(N1890&gt;=200,"Platinum",IF(N1890&gt;=100,"Gold",IF(N1890&gt;=50,"Silver","Regular")))</f>
        <v>Platinum</v>
      </c>
      <c r="P1890" s="4" t="str">
        <f t="shared" si="204"/>
        <v>Saturday</v>
      </c>
      <c r="Q1890" s="4" t="str">
        <f t="shared" si="205"/>
        <v>Medium Order</v>
      </c>
      <c r="R1890" s="4" t="str">
        <f t="shared" si="206"/>
        <v>Weekend</v>
      </c>
      <c r="S1890" s="4" t="str">
        <f t="shared" si="207"/>
        <v>Regular</v>
      </c>
    </row>
    <row r="1891" spans="1:19" x14ac:dyDescent="0.3">
      <c r="A1891">
        <v>4295</v>
      </c>
      <c r="B1891" t="s">
        <v>19</v>
      </c>
      <c r="C1891" s="1">
        <v>45698</v>
      </c>
      <c r="D1891" t="s">
        <v>17</v>
      </c>
      <c r="E1891" t="s">
        <v>26</v>
      </c>
      <c r="F1891">
        <v>4</v>
      </c>
      <c r="G1891">
        <v>4.5999999999999996</v>
      </c>
      <c r="H1891">
        <v>18.399999999999999</v>
      </c>
      <c r="I1891" t="str">
        <f t="shared" si="203"/>
        <v>No Discount</v>
      </c>
      <c r="J1891">
        <v>0</v>
      </c>
      <c r="K1891">
        <f t="shared" si="208"/>
        <v>18.399999999999999</v>
      </c>
      <c r="L1891" t="str">
        <f t="shared" si="209"/>
        <v>February</v>
      </c>
      <c r="M1891">
        <f>YEAR(C1891)</f>
        <v>2025</v>
      </c>
      <c r="N1891">
        <v>352</v>
      </c>
      <c r="O1891" t="str">
        <f>IF(N1891&gt;=200,"Platinum",IF(N1891&gt;=100,"Gold",IF(N1891&gt;=50,"Silver","Regular")))</f>
        <v>Platinum</v>
      </c>
      <c r="P1891" s="4" t="str">
        <f t="shared" si="204"/>
        <v>Monday</v>
      </c>
      <c r="Q1891" s="4" t="str">
        <f t="shared" si="205"/>
        <v>Medium Order</v>
      </c>
      <c r="R1891" s="4" t="str">
        <f t="shared" si="206"/>
        <v>Weekday</v>
      </c>
      <c r="S1891" s="4" t="str">
        <f t="shared" si="207"/>
        <v>Regular</v>
      </c>
    </row>
    <row r="1892" spans="1:19" x14ac:dyDescent="0.3">
      <c r="A1892">
        <v>5706</v>
      </c>
      <c r="B1892" t="s">
        <v>8</v>
      </c>
      <c r="C1892" s="1">
        <v>45394</v>
      </c>
      <c r="D1892" t="s">
        <v>27</v>
      </c>
      <c r="E1892" t="s">
        <v>18</v>
      </c>
      <c r="F1892">
        <v>2</v>
      </c>
      <c r="G1892">
        <v>9.14</v>
      </c>
      <c r="H1892">
        <v>18.28</v>
      </c>
      <c r="I1892" t="str">
        <f t="shared" si="203"/>
        <v>No Discount</v>
      </c>
      <c r="J1892">
        <v>0</v>
      </c>
      <c r="K1892">
        <f t="shared" si="208"/>
        <v>18.28</v>
      </c>
      <c r="L1892" t="str">
        <f t="shared" si="209"/>
        <v>April</v>
      </c>
      <c r="M1892">
        <f>YEAR(C1892)</f>
        <v>2024</v>
      </c>
      <c r="N1892">
        <v>58</v>
      </c>
      <c r="O1892" t="str">
        <f>IF(N1892&gt;=200,"Platinum",IF(N1892&gt;=100,"Gold",IF(N1892&gt;=50,"Silver","Regular")))</f>
        <v>Silver</v>
      </c>
      <c r="P1892" s="4" t="str">
        <f t="shared" si="204"/>
        <v>Friday</v>
      </c>
      <c r="Q1892" s="4" t="str">
        <f t="shared" si="205"/>
        <v>Small Order</v>
      </c>
      <c r="R1892" s="4" t="str">
        <f t="shared" si="206"/>
        <v>Weekday</v>
      </c>
      <c r="S1892" s="4" t="str">
        <f t="shared" si="207"/>
        <v>Regular</v>
      </c>
    </row>
    <row r="1893" spans="1:19" x14ac:dyDescent="0.3">
      <c r="A1893">
        <v>1470</v>
      </c>
      <c r="B1893" t="s">
        <v>8</v>
      </c>
      <c r="C1893" s="1">
        <v>45528</v>
      </c>
      <c r="D1893" t="s">
        <v>16</v>
      </c>
      <c r="E1893" t="s">
        <v>21</v>
      </c>
      <c r="F1893">
        <v>1</v>
      </c>
      <c r="G1893">
        <v>18.149999999999999</v>
      </c>
      <c r="H1893">
        <v>18.149999999999999</v>
      </c>
      <c r="I1893" t="str">
        <f t="shared" si="203"/>
        <v>No Discount</v>
      </c>
      <c r="J1893">
        <v>0</v>
      </c>
      <c r="K1893">
        <f t="shared" si="208"/>
        <v>18.149999999999999</v>
      </c>
      <c r="L1893" t="str">
        <f t="shared" si="209"/>
        <v>August</v>
      </c>
      <c r="M1893">
        <f>YEAR(C1893)</f>
        <v>2024</v>
      </c>
      <c r="N1893">
        <v>31</v>
      </c>
      <c r="O1893" t="str">
        <f>IF(N1893&gt;=200,"Platinum",IF(N1893&gt;=100,"Gold",IF(N1893&gt;=50,"Silver","Regular")))</f>
        <v>Regular</v>
      </c>
      <c r="P1893" s="4" t="str">
        <f t="shared" si="204"/>
        <v>Saturday</v>
      </c>
      <c r="Q1893" s="4" t="str">
        <f t="shared" si="205"/>
        <v>Small Order</v>
      </c>
      <c r="R1893" s="4" t="str">
        <f t="shared" si="206"/>
        <v>Weekend</v>
      </c>
      <c r="S1893" s="4" t="str">
        <f t="shared" si="207"/>
        <v>Regular</v>
      </c>
    </row>
    <row r="1894" spans="1:19" x14ac:dyDescent="0.3">
      <c r="A1894">
        <v>1931</v>
      </c>
      <c r="B1894" t="s">
        <v>25</v>
      </c>
      <c r="C1894" s="1">
        <v>45539</v>
      </c>
      <c r="D1894" t="s">
        <v>23</v>
      </c>
      <c r="E1894" t="s">
        <v>7</v>
      </c>
      <c r="F1894">
        <v>1</v>
      </c>
      <c r="G1894">
        <v>18</v>
      </c>
      <c r="H1894">
        <v>18</v>
      </c>
      <c r="I1894" t="str">
        <f t="shared" si="203"/>
        <v>No Discount</v>
      </c>
      <c r="J1894">
        <v>0</v>
      </c>
      <c r="K1894">
        <f t="shared" si="208"/>
        <v>18</v>
      </c>
      <c r="L1894" t="str">
        <f t="shared" si="209"/>
        <v>September</v>
      </c>
      <c r="M1894">
        <f>YEAR(C1894)</f>
        <v>2024</v>
      </c>
      <c r="N1894">
        <v>287</v>
      </c>
      <c r="O1894" t="str">
        <f>IF(N1894&gt;=200,"Platinum",IF(N1894&gt;=100,"Gold",IF(N1894&gt;=50,"Silver","Regular")))</f>
        <v>Platinum</v>
      </c>
      <c r="P1894" s="4" t="str">
        <f t="shared" si="204"/>
        <v>Wednesday</v>
      </c>
      <c r="Q1894" s="4" t="str">
        <f t="shared" si="205"/>
        <v>Small Order</v>
      </c>
      <c r="R1894" s="4" t="str">
        <f t="shared" si="206"/>
        <v>Weekday</v>
      </c>
      <c r="S1894" s="4" t="str">
        <f t="shared" si="207"/>
        <v>Regular</v>
      </c>
    </row>
    <row r="1895" spans="1:19" x14ac:dyDescent="0.3">
      <c r="A1895">
        <v>2139</v>
      </c>
      <c r="B1895" t="s">
        <v>31</v>
      </c>
      <c r="C1895" s="1">
        <v>45180</v>
      </c>
      <c r="D1895" t="s">
        <v>24</v>
      </c>
      <c r="E1895" t="s">
        <v>33</v>
      </c>
      <c r="F1895">
        <v>1</v>
      </c>
      <c r="G1895">
        <v>17.79</v>
      </c>
      <c r="H1895">
        <v>17.79</v>
      </c>
      <c r="I1895" t="str">
        <f t="shared" si="203"/>
        <v>No Discount</v>
      </c>
      <c r="J1895">
        <v>0</v>
      </c>
      <c r="K1895">
        <f t="shared" si="208"/>
        <v>17.79</v>
      </c>
      <c r="L1895" t="str">
        <f t="shared" si="209"/>
        <v>September</v>
      </c>
      <c r="M1895">
        <f>YEAR(C1895)</f>
        <v>2023</v>
      </c>
      <c r="N1895">
        <v>277</v>
      </c>
      <c r="O1895" t="str">
        <f>IF(N1895&gt;=200,"Platinum",IF(N1895&gt;=100,"Gold",IF(N1895&gt;=50,"Silver","Regular")))</f>
        <v>Platinum</v>
      </c>
      <c r="P1895" s="4" t="str">
        <f t="shared" si="204"/>
        <v>Monday</v>
      </c>
      <c r="Q1895" s="4" t="str">
        <f t="shared" si="205"/>
        <v>Small Order</v>
      </c>
      <c r="R1895" s="4" t="str">
        <f t="shared" si="206"/>
        <v>Weekday</v>
      </c>
      <c r="S1895" s="4" t="str">
        <f t="shared" si="207"/>
        <v>Regular</v>
      </c>
    </row>
    <row r="1896" spans="1:19" x14ac:dyDescent="0.3">
      <c r="A1896">
        <v>5374</v>
      </c>
      <c r="B1896" t="s">
        <v>0</v>
      </c>
      <c r="C1896" s="1">
        <v>45690</v>
      </c>
      <c r="D1896" t="s">
        <v>4</v>
      </c>
      <c r="E1896" t="s">
        <v>7</v>
      </c>
      <c r="F1896">
        <v>2</v>
      </c>
      <c r="G1896">
        <v>8.89</v>
      </c>
      <c r="H1896">
        <v>17.78</v>
      </c>
      <c r="I1896" t="str">
        <f t="shared" si="203"/>
        <v>No Discount</v>
      </c>
      <c r="J1896">
        <v>0</v>
      </c>
      <c r="K1896">
        <f t="shared" si="208"/>
        <v>17.78</v>
      </c>
      <c r="L1896" t="str">
        <f t="shared" si="209"/>
        <v>February</v>
      </c>
      <c r="M1896">
        <f>YEAR(C1896)</f>
        <v>2025</v>
      </c>
      <c r="N1896">
        <v>309</v>
      </c>
      <c r="O1896" t="str">
        <f>IF(N1896&gt;=200,"Platinum",IF(N1896&gt;=100,"Gold",IF(N1896&gt;=50,"Silver","Regular")))</f>
        <v>Platinum</v>
      </c>
      <c r="P1896" s="4" t="str">
        <f t="shared" si="204"/>
        <v>Sunday</v>
      </c>
      <c r="Q1896" s="4" t="str">
        <f t="shared" si="205"/>
        <v>Small Order</v>
      </c>
      <c r="R1896" s="4" t="str">
        <f t="shared" si="206"/>
        <v>Weekend</v>
      </c>
      <c r="S1896" s="4" t="str">
        <f t="shared" si="207"/>
        <v>Regular</v>
      </c>
    </row>
    <row r="1897" spans="1:19" x14ac:dyDescent="0.3">
      <c r="A1897">
        <v>2625</v>
      </c>
      <c r="B1897" t="s">
        <v>31</v>
      </c>
      <c r="C1897" s="1">
        <v>45737</v>
      </c>
      <c r="D1897" t="s">
        <v>6</v>
      </c>
      <c r="E1897" t="s">
        <v>14</v>
      </c>
      <c r="F1897">
        <v>2</v>
      </c>
      <c r="G1897">
        <v>8.7899999999999991</v>
      </c>
      <c r="H1897">
        <v>17.579999999999998</v>
      </c>
      <c r="I1897" t="str">
        <f t="shared" si="203"/>
        <v>No Discount</v>
      </c>
      <c r="J1897">
        <v>0</v>
      </c>
      <c r="K1897">
        <f t="shared" si="208"/>
        <v>17.579999999999998</v>
      </c>
      <c r="L1897" t="str">
        <f t="shared" si="209"/>
        <v>March</v>
      </c>
      <c r="M1897">
        <f>YEAR(C1897)</f>
        <v>2025</v>
      </c>
      <c r="N1897">
        <v>209</v>
      </c>
      <c r="O1897" t="str">
        <f>IF(N1897&gt;=200,"Platinum",IF(N1897&gt;=100,"Gold",IF(N1897&gt;=50,"Silver","Regular")))</f>
        <v>Platinum</v>
      </c>
      <c r="P1897" s="4" t="str">
        <f t="shared" si="204"/>
        <v>Friday</v>
      </c>
      <c r="Q1897" s="4" t="str">
        <f t="shared" si="205"/>
        <v>Small Order</v>
      </c>
      <c r="R1897" s="4" t="str">
        <f t="shared" si="206"/>
        <v>Weekday</v>
      </c>
      <c r="S1897" s="4" t="str">
        <f t="shared" si="207"/>
        <v>Regular</v>
      </c>
    </row>
    <row r="1898" spans="1:19" x14ac:dyDescent="0.3">
      <c r="A1898">
        <v>4033</v>
      </c>
      <c r="B1898" t="s">
        <v>0</v>
      </c>
      <c r="C1898" s="1">
        <v>45293</v>
      </c>
      <c r="D1898" t="s">
        <v>6</v>
      </c>
      <c r="E1898" t="s">
        <v>12</v>
      </c>
      <c r="F1898">
        <v>3</v>
      </c>
      <c r="G1898">
        <v>5.86</v>
      </c>
      <c r="H1898">
        <v>17.579999999999998</v>
      </c>
      <c r="I1898" t="str">
        <f t="shared" si="203"/>
        <v>No Discount</v>
      </c>
      <c r="J1898">
        <v>0</v>
      </c>
      <c r="K1898">
        <f t="shared" si="208"/>
        <v>17.579999999999998</v>
      </c>
      <c r="L1898" t="str">
        <f t="shared" si="209"/>
        <v>January</v>
      </c>
      <c r="M1898">
        <f>YEAR(C1898)</f>
        <v>2024</v>
      </c>
      <c r="N1898">
        <v>453</v>
      </c>
      <c r="O1898" t="str">
        <f>IF(N1898&gt;=200,"Platinum",IF(N1898&gt;=100,"Gold",IF(N1898&gt;=50,"Silver","Regular")))</f>
        <v>Platinum</v>
      </c>
      <c r="P1898" s="4" t="str">
        <f t="shared" si="204"/>
        <v>Tuesday</v>
      </c>
      <c r="Q1898" s="4" t="str">
        <f t="shared" si="205"/>
        <v>Medium Order</v>
      </c>
      <c r="R1898" s="4" t="str">
        <f t="shared" si="206"/>
        <v>Weekday</v>
      </c>
      <c r="S1898" s="4" t="str">
        <f t="shared" si="207"/>
        <v>Regular</v>
      </c>
    </row>
    <row r="1899" spans="1:19" x14ac:dyDescent="0.3">
      <c r="A1899">
        <v>7322</v>
      </c>
      <c r="B1899" t="s">
        <v>0</v>
      </c>
      <c r="C1899" s="1">
        <v>45232</v>
      </c>
      <c r="D1899" t="s">
        <v>23</v>
      </c>
      <c r="E1899" t="s">
        <v>7</v>
      </c>
      <c r="F1899">
        <v>3</v>
      </c>
      <c r="G1899">
        <v>5.84</v>
      </c>
      <c r="H1899">
        <v>17.52</v>
      </c>
      <c r="I1899" t="str">
        <f t="shared" si="203"/>
        <v>No Discount</v>
      </c>
      <c r="J1899">
        <v>0</v>
      </c>
      <c r="K1899">
        <f t="shared" si="208"/>
        <v>17.52</v>
      </c>
      <c r="L1899" t="str">
        <f t="shared" si="209"/>
        <v>November</v>
      </c>
      <c r="M1899">
        <f>YEAR(C1899)</f>
        <v>2023</v>
      </c>
      <c r="N1899">
        <v>378</v>
      </c>
      <c r="O1899" t="str">
        <f>IF(N1899&gt;=200,"Platinum",IF(N1899&gt;=100,"Gold",IF(N1899&gt;=50,"Silver","Regular")))</f>
        <v>Platinum</v>
      </c>
      <c r="P1899" s="4" t="str">
        <f t="shared" si="204"/>
        <v>Thursday</v>
      </c>
      <c r="Q1899" s="4" t="str">
        <f t="shared" si="205"/>
        <v>Medium Order</v>
      </c>
      <c r="R1899" s="4" t="str">
        <f t="shared" si="206"/>
        <v>Weekday</v>
      </c>
      <c r="S1899" s="4" t="str">
        <f t="shared" si="207"/>
        <v>Regular</v>
      </c>
    </row>
    <row r="1900" spans="1:19" x14ac:dyDescent="0.3">
      <c r="A1900">
        <v>7751</v>
      </c>
      <c r="B1900" t="s">
        <v>15</v>
      </c>
      <c r="C1900" s="1">
        <v>45584</v>
      </c>
      <c r="D1900" t="s">
        <v>17</v>
      </c>
      <c r="E1900" t="s">
        <v>28</v>
      </c>
      <c r="F1900">
        <v>4</v>
      </c>
      <c r="G1900">
        <v>4.3600000000000003</v>
      </c>
      <c r="H1900">
        <v>17.440000000000001</v>
      </c>
      <c r="I1900" t="str">
        <f t="shared" si="203"/>
        <v>No Discount</v>
      </c>
      <c r="J1900">
        <v>0</v>
      </c>
      <c r="K1900">
        <f t="shared" si="208"/>
        <v>17.440000000000001</v>
      </c>
      <c r="L1900" t="str">
        <f t="shared" si="209"/>
        <v>October</v>
      </c>
      <c r="M1900">
        <f>YEAR(C1900)</f>
        <v>2024</v>
      </c>
      <c r="N1900">
        <v>34</v>
      </c>
      <c r="O1900" t="str">
        <f>IF(N1900&gt;=200,"Platinum",IF(N1900&gt;=100,"Gold",IF(N1900&gt;=50,"Silver","Regular")))</f>
        <v>Regular</v>
      </c>
      <c r="P1900" s="4" t="str">
        <f t="shared" si="204"/>
        <v>Saturday</v>
      </c>
      <c r="Q1900" s="4" t="str">
        <f t="shared" si="205"/>
        <v>Medium Order</v>
      </c>
      <c r="R1900" s="4" t="str">
        <f t="shared" si="206"/>
        <v>Weekend</v>
      </c>
      <c r="S1900" s="4" t="str">
        <f t="shared" si="207"/>
        <v>Regular</v>
      </c>
    </row>
    <row r="1901" spans="1:19" x14ac:dyDescent="0.3">
      <c r="A1901">
        <v>9928</v>
      </c>
      <c r="B1901" t="s">
        <v>15</v>
      </c>
      <c r="C1901" s="1">
        <v>45470</v>
      </c>
      <c r="D1901" t="s">
        <v>9</v>
      </c>
      <c r="E1901" t="s">
        <v>22</v>
      </c>
      <c r="F1901">
        <v>2</v>
      </c>
      <c r="G1901">
        <v>8.67</v>
      </c>
      <c r="H1901">
        <v>17.34</v>
      </c>
      <c r="I1901" t="str">
        <f t="shared" si="203"/>
        <v>No Discount</v>
      </c>
      <c r="J1901">
        <v>0</v>
      </c>
      <c r="K1901">
        <f t="shared" si="208"/>
        <v>17.34</v>
      </c>
      <c r="L1901" t="str">
        <f t="shared" si="209"/>
        <v>June</v>
      </c>
      <c r="M1901">
        <f>YEAR(C1901)</f>
        <v>2024</v>
      </c>
      <c r="N1901">
        <v>126</v>
      </c>
      <c r="O1901" t="str">
        <f>IF(N1901&gt;=200,"Platinum",IF(N1901&gt;=100,"Gold",IF(N1901&gt;=50,"Silver","Regular")))</f>
        <v>Gold</v>
      </c>
      <c r="P1901" s="4" t="str">
        <f t="shared" si="204"/>
        <v>Thursday</v>
      </c>
      <c r="Q1901" s="4" t="str">
        <f t="shared" si="205"/>
        <v>Small Order</v>
      </c>
      <c r="R1901" s="4" t="str">
        <f t="shared" si="206"/>
        <v>Weekday</v>
      </c>
      <c r="S1901" s="4" t="str">
        <f t="shared" si="207"/>
        <v>Regular</v>
      </c>
    </row>
    <row r="1902" spans="1:19" x14ac:dyDescent="0.3">
      <c r="A1902">
        <v>5419</v>
      </c>
      <c r="B1902" t="s">
        <v>3</v>
      </c>
      <c r="C1902" s="1">
        <v>45224</v>
      </c>
      <c r="D1902" t="s">
        <v>6</v>
      </c>
      <c r="E1902" t="s">
        <v>5</v>
      </c>
      <c r="F1902">
        <v>1</v>
      </c>
      <c r="G1902">
        <v>17.3</v>
      </c>
      <c r="H1902">
        <v>17.3</v>
      </c>
      <c r="I1902" t="str">
        <f t="shared" si="203"/>
        <v>No Discount</v>
      </c>
      <c r="J1902">
        <v>0</v>
      </c>
      <c r="K1902">
        <f t="shared" si="208"/>
        <v>17.3</v>
      </c>
      <c r="L1902" t="str">
        <f t="shared" si="209"/>
        <v>October</v>
      </c>
      <c r="M1902">
        <f>YEAR(C1902)</f>
        <v>2023</v>
      </c>
      <c r="N1902">
        <v>165</v>
      </c>
      <c r="O1902" t="str">
        <f>IF(N1902&gt;=200,"Platinum",IF(N1902&gt;=100,"Gold",IF(N1902&gt;=50,"Silver","Regular")))</f>
        <v>Gold</v>
      </c>
      <c r="P1902" s="4" t="str">
        <f t="shared" si="204"/>
        <v>Wednesday</v>
      </c>
      <c r="Q1902" s="4" t="str">
        <f t="shared" si="205"/>
        <v>Small Order</v>
      </c>
      <c r="R1902" s="4" t="str">
        <f t="shared" si="206"/>
        <v>Weekday</v>
      </c>
      <c r="S1902" s="4" t="str">
        <f t="shared" si="207"/>
        <v>Regular</v>
      </c>
    </row>
    <row r="1903" spans="1:19" x14ac:dyDescent="0.3">
      <c r="A1903">
        <v>8871</v>
      </c>
      <c r="B1903" t="s">
        <v>13</v>
      </c>
      <c r="C1903" s="1">
        <v>45277</v>
      </c>
      <c r="D1903" t="s">
        <v>24</v>
      </c>
      <c r="E1903" t="s">
        <v>18</v>
      </c>
      <c r="F1903">
        <v>1</v>
      </c>
      <c r="G1903">
        <v>16.88</v>
      </c>
      <c r="H1903">
        <v>16.88</v>
      </c>
      <c r="I1903" t="str">
        <f t="shared" si="203"/>
        <v>No Discount</v>
      </c>
      <c r="J1903">
        <v>0</v>
      </c>
      <c r="K1903">
        <f t="shared" si="208"/>
        <v>16.88</v>
      </c>
      <c r="L1903" t="str">
        <f t="shared" si="209"/>
        <v>December</v>
      </c>
      <c r="M1903">
        <f>YEAR(C1903)</f>
        <v>2023</v>
      </c>
      <c r="N1903">
        <v>172</v>
      </c>
      <c r="O1903" t="str">
        <f>IF(N1903&gt;=200,"Platinum",IF(N1903&gt;=100,"Gold",IF(N1903&gt;=50,"Silver","Regular")))</f>
        <v>Gold</v>
      </c>
      <c r="P1903" s="4" t="str">
        <f t="shared" si="204"/>
        <v>Sunday</v>
      </c>
      <c r="Q1903" s="4" t="str">
        <f t="shared" si="205"/>
        <v>Small Order</v>
      </c>
      <c r="R1903" s="4" t="str">
        <f t="shared" si="206"/>
        <v>Weekend</v>
      </c>
      <c r="S1903" s="4" t="str">
        <f t="shared" si="207"/>
        <v>Regular</v>
      </c>
    </row>
    <row r="1904" spans="1:19" x14ac:dyDescent="0.3">
      <c r="A1904">
        <v>9808</v>
      </c>
      <c r="B1904" t="s">
        <v>8</v>
      </c>
      <c r="C1904" s="1">
        <v>45310</v>
      </c>
      <c r="D1904" t="s">
        <v>6</v>
      </c>
      <c r="E1904" t="s">
        <v>37</v>
      </c>
      <c r="F1904">
        <v>2</v>
      </c>
      <c r="G1904">
        <v>8.41</v>
      </c>
      <c r="H1904">
        <v>16.82</v>
      </c>
      <c r="I1904" t="str">
        <f t="shared" si="203"/>
        <v>No Discount</v>
      </c>
      <c r="J1904">
        <v>0</v>
      </c>
      <c r="K1904">
        <f t="shared" si="208"/>
        <v>16.82</v>
      </c>
      <c r="L1904" t="str">
        <f t="shared" si="209"/>
        <v>January</v>
      </c>
      <c r="M1904">
        <f>YEAR(C1904)</f>
        <v>2024</v>
      </c>
      <c r="N1904">
        <v>88</v>
      </c>
      <c r="O1904" t="str">
        <f>IF(N1904&gt;=200,"Platinum",IF(N1904&gt;=100,"Gold",IF(N1904&gt;=50,"Silver","Regular")))</f>
        <v>Silver</v>
      </c>
      <c r="P1904" s="4" t="str">
        <f t="shared" si="204"/>
        <v>Friday</v>
      </c>
      <c r="Q1904" s="4" t="str">
        <f t="shared" si="205"/>
        <v>Small Order</v>
      </c>
      <c r="R1904" s="4" t="str">
        <f t="shared" si="206"/>
        <v>Weekday</v>
      </c>
      <c r="S1904" s="4" t="str">
        <f t="shared" si="207"/>
        <v>Regular</v>
      </c>
    </row>
    <row r="1905" spans="1:19" x14ac:dyDescent="0.3">
      <c r="A1905">
        <v>1932</v>
      </c>
      <c r="B1905" t="s">
        <v>15</v>
      </c>
      <c r="C1905" s="1">
        <v>45431</v>
      </c>
      <c r="D1905" t="s">
        <v>23</v>
      </c>
      <c r="E1905" t="s">
        <v>22</v>
      </c>
      <c r="F1905">
        <v>3</v>
      </c>
      <c r="G1905">
        <v>5.52</v>
      </c>
      <c r="H1905">
        <v>16.559999999999999</v>
      </c>
      <c r="I1905" t="str">
        <f t="shared" si="203"/>
        <v>No Discount</v>
      </c>
      <c r="J1905">
        <v>0</v>
      </c>
      <c r="K1905">
        <f t="shared" si="208"/>
        <v>16.559999999999999</v>
      </c>
      <c r="L1905" t="str">
        <f t="shared" si="209"/>
        <v>May</v>
      </c>
      <c r="M1905">
        <f>YEAR(C1905)</f>
        <v>2024</v>
      </c>
      <c r="N1905">
        <v>496</v>
      </c>
      <c r="O1905" t="str">
        <f>IF(N1905&gt;=200,"Platinum",IF(N1905&gt;=100,"Gold",IF(N1905&gt;=50,"Silver","Regular")))</f>
        <v>Platinum</v>
      </c>
      <c r="P1905" s="4" t="str">
        <f t="shared" si="204"/>
        <v>Sunday</v>
      </c>
      <c r="Q1905" s="4" t="str">
        <f t="shared" si="205"/>
        <v>Medium Order</v>
      </c>
      <c r="R1905" s="4" t="str">
        <f t="shared" si="206"/>
        <v>Weekend</v>
      </c>
      <c r="S1905" s="4" t="str">
        <f t="shared" si="207"/>
        <v>Regular</v>
      </c>
    </row>
    <row r="1906" spans="1:19" x14ac:dyDescent="0.3">
      <c r="A1906">
        <v>9443</v>
      </c>
      <c r="B1906" t="s">
        <v>25</v>
      </c>
      <c r="C1906" s="1">
        <v>45591</v>
      </c>
      <c r="D1906" t="s">
        <v>17</v>
      </c>
      <c r="E1906" t="s">
        <v>37</v>
      </c>
      <c r="F1906">
        <v>3</v>
      </c>
      <c r="G1906">
        <v>5.45</v>
      </c>
      <c r="H1906">
        <v>16.350000000000001</v>
      </c>
      <c r="I1906" t="str">
        <f t="shared" si="203"/>
        <v>No Discount</v>
      </c>
      <c r="J1906">
        <v>0</v>
      </c>
      <c r="K1906">
        <f t="shared" si="208"/>
        <v>16.350000000000001</v>
      </c>
      <c r="L1906" t="str">
        <f t="shared" si="209"/>
        <v>October</v>
      </c>
      <c r="M1906">
        <f>YEAR(C1906)</f>
        <v>2024</v>
      </c>
      <c r="N1906">
        <v>41</v>
      </c>
      <c r="O1906" t="str">
        <f>IF(N1906&gt;=200,"Platinum",IF(N1906&gt;=100,"Gold",IF(N1906&gt;=50,"Silver","Regular")))</f>
        <v>Regular</v>
      </c>
      <c r="P1906" s="4" t="str">
        <f t="shared" si="204"/>
        <v>Saturday</v>
      </c>
      <c r="Q1906" s="4" t="str">
        <f t="shared" si="205"/>
        <v>Medium Order</v>
      </c>
      <c r="R1906" s="4" t="str">
        <f t="shared" si="206"/>
        <v>Weekend</v>
      </c>
      <c r="S1906" s="4" t="str">
        <f t="shared" si="207"/>
        <v>Regular</v>
      </c>
    </row>
    <row r="1907" spans="1:19" x14ac:dyDescent="0.3">
      <c r="A1907">
        <v>8744</v>
      </c>
      <c r="B1907" t="s">
        <v>25</v>
      </c>
      <c r="C1907" s="1">
        <v>45333</v>
      </c>
      <c r="D1907" t="s">
        <v>4</v>
      </c>
      <c r="E1907" t="s">
        <v>22</v>
      </c>
      <c r="F1907">
        <v>1</v>
      </c>
      <c r="G1907">
        <v>16.239999999999998</v>
      </c>
      <c r="H1907">
        <v>16.239999999999998</v>
      </c>
      <c r="I1907" t="str">
        <f t="shared" si="203"/>
        <v>No Discount</v>
      </c>
      <c r="J1907">
        <v>0</v>
      </c>
      <c r="K1907">
        <f t="shared" si="208"/>
        <v>16.239999999999998</v>
      </c>
      <c r="L1907" t="str">
        <f t="shared" si="209"/>
        <v>February</v>
      </c>
      <c r="M1907">
        <f>YEAR(C1907)</f>
        <v>2024</v>
      </c>
      <c r="N1907">
        <v>233</v>
      </c>
      <c r="O1907" t="str">
        <f>IF(N1907&gt;=200,"Platinum",IF(N1907&gt;=100,"Gold",IF(N1907&gt;=50,"Silver","Regular")))</f>
        <v>Platinum</v>
      </c>
      <c r="P1907" s="4" t="str">
        <f t="shared" si="204"/>
        <v>Sunday</v>
      </c>
      <c r="Q1907" s="4" t="str">
        <f t="shared" si="205"/>
        <v>Small Order</v>
      </c>
      <c r="R1907" s="4" t="str">
        <f t="shared" si="206"/>
        <v>Weekend</v>
      </c>
      <c r="S1907" s="4" t="str">
        <f t="shared" si="207"/>
        <v>Regular</v>
      </c>
    </row>
    <row r="1908" spans="1:19" x14ac:dyDescent="0.3">
      <c r="A1908">
        <v>2562</v>
      </c>
      <c r="B1908" t="s">
        <v>19</v>
      </c>
      <c r="C1908" s="1">
        <v>45288</v>
      </c>
      <c r="D1908" t="s">
        <v>11</v>
      </c>
      <c r="E1908" t="s">
        <v>36</v>
      </c>
      <c r="F1908">
        <v>2</v>
      </c>
      <c r="G1908">
        <v>8.06</v>
      </c>
      <c r="H1908">
        <v>16.12</v>
      </c>
      <c r="I1908" t="str">
        <f t="shared" si="203"/>
        <v>No Discount</v>
      </c>
      <c r="J1908">
        <v>0</v>
      </c>
      <c r="K1908">
        <f t="shared" si="208"/>
        <v>16.12</v>
      </c>
      <c r="L1908" t="str">
        <f t="shared" si="209"/>
        <v>December</v>
      </c>
      <c r="M1908">
        <f>YEAR(C1908)</f>
        <v>2023</v>
      </c>
      <c r="N1908">
        <v>278</v>
      </c>
      <c r="O1908" t="str">
        <f>IF(N1908&gt;=200,"Platinum",IF(N1908&gt;=100,"Gold",IF(N1908&gt;=50,"Silver","Regular")))</f>
        <v>Platinum</v>
      </c>
      <c r="P1908" s="4" t="str">
        <f t="shared" si="204"/>
        <v>Thursday</v>
      </c>
      <c r="Q1908" s="4" t="str">
        <f t="shared" si="205"/>
        <v>Small Order</v>
      </c>
      <c r="R1908" s="4" t="str">
        <f t="shared" si="206"/>
        <v>Weekday</v>
      </c>
      <c r="S1908" s="4" t="str">
        <f t="shared" si="207"/>
        <v>Regular</v>
      </c>
    </row>
    <row r="1909" spans="1:19" x14ac:dyDescent="0.3">
      <c r="A1909">
        <v>7731</v>
      </c>
      <c r="B1909" t="s">
        <v>25</v>
      </c>
      <c r="C1909" s="1">
        <v>45427</v>
      </c>
      <c r="D1909" t="s">
        <v>1</v>
      </c>
      <c r="E1909" t="s">
        <v>14</v>
      </c>
      <c r="F1909">
        <v>2</v>
      </c>
      <c r="G1909">
        <v>7.79</v>
      </c>
      <c r="H1909">
        <v>15.58</v>
      </c>
      <c r="I1909" t="str">
        <f t="shared" si="203"/>
        <v>No Discount</v>
      </c>
      <c r="J1909">
        <v>0</v>
      </c>
      <c r="K1909">
        <f t="shared" si="208"/>
        <v>15.58</v>
      </c>
      <c r="L1909" t="str">
        <f t="shared" si="209"/>
        <v>May</v>
      </c>
      <c r="M1909">
        <f>YEAR(C1909)</f>
        <v>2024</v>
      </c>
      <c r="N1909">
        <v>159</v>
      </c>
      <c r="O1909" t="str">
        <f>IF(N1909&gt;=200,"Platinum",IF(N1909&gt;=100,"Gold",IF(N1909&gt;=50,"Silver","Regular")))</f>
        <v>Gold</v>
      </c>
      <c r="P1909" s="4" t="str">
        <f t="shared" si="204"/>
        <v>Wednesday</v>
      </c>
      <c r="Q1909" s="4" t="str">
        <f t="shared" si="205"/>
        <v>Small Order</v>
      </c>
      <c r="R1909" s="4" t="str">
        <f t="shared" si="206"/>
        <v>Weekday</v>
      </c>
      <c r="S1909" s="4" t="str">
        <f t="shared" si="207"/>
        <v>Regular</v>
      </c>
    </row>
    <row r="1910" spans="1:19" x14ac:dyDescent="0.3">
      <c r="A1910">
        <v>5066</v>
      </c>
      <c r="B1910" t="s">
        <v>20</v>
      </c>
      <c r="C1910" s="1">
        <v>45421</v>
      </c>
      <c r="D1910" t="s">
        <v>27</v>
      </c>
      <c r="E1910" t="s">
        <v>22</v>
      </c>
      <c r="F1910">
        <v>1</v>
      </c>
      <c r="G1910">
        <v>15.55</v>
      </c>
      <c r="H1910">
        <v>15.55</v>
      </c>
      <c r="I1910" t="str">
        <f t="shared" si="203"/>
        <v>No Discount</v>
      </c>
      <c r="J1910">
        <v>0</v>
      </c>
      <c r="K1910">
        <f t="shared" si="208"/>
        <v>15.55</v>
      </c>
      <c r="L1910" t="str">
        <f t="shared" si="209"/>
        <v>May</v>
      </c>
      <c r="M1910">
        <f>YEAR(C1910)</f>
        <v>2024</v>
      </c>
      <c r="N1910">
        <v>237</v>
      </c>
      <c r="O1910" t="str">
        <f>IF(N1910&gt;=200,"Platinum",IF(N1910&gt;=100,"Gold",IF(N1910&gt;=50,"Silver","Regular")))</f>
        <v>Platinum</v>
      </c>
      <c r="P1910" s="4" t="str">
        <f t="shared" si="204"/>
        <v>Thursday</v>
      </c>
      <c r="Q1910" s="4" t="str">
        <f t="shared" si="205"/>
        <v>Small Order</v>
      </c>
      <c r="R1910" s="4" t="str">
        <f t="shared" si="206"/>
        <v>Weekday</v>
      </c>
      <c r="S1910" s="4" t="str">
        <f t="shared" si="207"/>
        <v>Regular</v>
      </c>
    </row>
    <row r="1911" spans="1:19" x14ac:dyDescent="0.3">
      <c r="A1911">
        <v>2978</v>
      </c>
      <c r="B1911" t="s">
        <v>31</v>
      </c>
      <c r="C1911" s="1">
        <v>45561</v>
      </c>
      <c r="D1911" t="s">
        <v>1</v>
      </c>
      <c r="E1911" t="s">
        <v>35</v>
      </c>
      <c r="F1911">
        <v>1</v>
      </c>
      <c r="G1911">
        <v>15.35</v>
      </c>
      <c r="H1911">
        <v>15.35</v>
      </c>
      <c r="I1911" t="str">
        <f t="shared" si="203"/>
        <v>No Discount</v>
      </c>
      <c r="J1911">
        <v>0</v>
      </c>
      <c r="K1911">
        <f t="shared" si="208"/>
        <v>15.35</v>
      </c>
      <c r="L1911" t="str">
        <f t="shared" si="209"/>
        <v>September</v>
      </c>
      <c r="M1911">
        <f>YEAR(C1911)</f>
        <v>2024</v>
      </c>
      <c r="N1911">
        <v>468</v>
      </c>
      <c r="O1911" t="str">
        <f>IF(N1911&gt;=200,"Platinum",IF(N1911&gt;=100,"Gold",IF(N1911&gt;=50,"Silver","Regular")))</f>
        <v>Platinum</v>
      </c>
      <c r="P1911" s="4" t="str">
        <f t="shared" si="204"/>
        <v>Thursday</v>
      </c>
      <c r="Q1911" s="4" t="str">
        <f t="shared" si="205"/>
        <v>Small Order</v>
      </c>
      <c r="R1911" s="4" t="str">
        <f t="shared" si="206"/>
        <v>Weekday</v>
      </c>
      <c r="S1911" s="4" t="str">
        <f t="shared" si="207"/>
        <v>Regular</v>
      </c>
    </row>
    <row r="1912" spans="1:19" x14ac:dyDescent="0.3">
      <c r="A1912">
        <v>1480</v>
      </c>
      <c r="B1912" t="s">
        <v>20</v>
      </c>
      <c r="C1912" s="1">
        <v>45405</v>
      </c>
      <c r="D1912" t="s">
        <v>1</v>
      </c>
      <c r="E1912" t="s">
        <v>10</v>
      </c>
      <c r="F1912">
        <v>5</v>
      </c>
      <c r="G1912">
        <v>3.03</v>
      </c>
      <c r="H1912">
        <v>15.15</v>
      </c>
      <c r="I1912" t="str">
        <f t="shared" si="203"/>
        <v>No Discount</v>
      </c>
      <c r="J1912">
        <v>0</v>
      </c>
      <c r="K1912">
        <f t="shared" si="208"/>
        <v>15.15</v>
      </c>
      <c r="L1912" t="str">
        <f t="shared" si="209"/>
        <v>April</v>
      </c>
      <c r="M1912">
        <f>YEAR(C1912)</f>
        <v>2024</v>
      </c>
      <c r="N1912">
        <v>298</v>
      </c>
      <c r="O1912" t="str">
        <f>IF(N1912&gt;=200,"Platinum",IF(N1912&gt;=100,"Gold",IF(N1912&gt;=50,"Silver","Regular")))</f>
        <v>Platinum</v>
      </c>
      <c r="P1912" s="4" t="str">
        <f t="shared" si="204"/>
        <v>Tuesday</v>
      </c>
      <c r="Q1912" s="4" t="str">
        <f t="shared" si="205"/>
        <v>Medium Order</v>
      </c>
      <c r="R1912" s="4" t="str">
        <f t="shared" si="206"/>
        <v>Weekday</v>
      </c>
      <c r="S1912" s="4" t="str">
        <f t="shared" si="207"/>
        <v>Regular</v>
      </c>
    </row>
    <row r="1913" spans="1:19" x14ac:dyDescent="0.3">
      <c r="A1913">
        <v>8692</v>
      </c>
      <c r="B1913" t="s">
        <v>3</v>
      </c>
      <c r="C1913" s="1">
        <v>45752</v>
      </c>
      <c r="D1913" t="s">
        <v>27</v>
      </c>
      <c r="E1913" t="s">
        <v>37</v>
      </c>
      <c r="F1913">
        <v>1</v>
      </c>
      <c r="G1913">
        <v>14.97</v>
      </c>
      <c r="H1913">
        <v>14.97</v>
      </c>
      <c r="I1913" t="str">
        <f t="shared" si="203"/>
        <v>No Discount</v>
      </c>
      <c r="J1913">
        <v>0</v>
      </c>
      <c r="K1913">
        <f t="shared" si="208"/>
        <v>14.97</v>
      </c>
      <c r="L1913" t="str">
        <f t="shared" si="209"/>
        <v>April</v>
      </c>
      <c r="M1913">
        <f>YEAR(C1913)</f>
        <v>2025</v>
      </c>
      <c r="N1913">
        <v>66</v>
      </c>
      <c r="O1913" t="str">
        <f>IF(N1913&gt;=200,"Platinum",IF(N1913&gt;=100,"Gold",IF(N1913&gt;=50,"Silver","Regular")))</f>
        <v>Silver</v>
      </c>
      <c r="P1913" s="4" t="str">
        <f t="shared" si="204"/>
        <v>Saturday</v>
      </c>
      <c r="Q1913" s="4" t="str">
        <f t="shared" si="205"/>
        <v>Small Order</v>
      </c>
      <c r="R1913" s="4" t="str">
        <f t="shared" si="206"/>
        <v>Weekend</v>
      </c>
      <c r="S1913" s="4" t="str">
        <f t="shared" si="207"/>
        <v>Regular</v>
      </c>
    </row>
    <row r="1914" spans="1:19" x14ac:dyDescent="0.3">
      <c r="A1914">
        <v>2824</v>
      </c>
      <c r="B1914" t="s">
        <v>0</v>
      </c>
      <c r="C1914" s="1">
        <v>45164</v>
      </c>
      <c r="D1914" t="s">
        <v>1</v>
      </c>
      <c r="E1914" t="s">
        <v>2</v>
      </c>
      <c r="F1914">
        <v>2</v>
      </c>
      <c r="G1914">
        <v>7.46</v>
      </c>
      <c r="H1914">
        <v>14.92</v>
      </c>
      <c r="I1914" t="str">
        <f t="shared" si="203"/>
        <v>No Discount</v>
      </c>
      <c r="J1914">
        <v>0</v>
      </c>
      <c r="K1914">
        <f t="shared" si="208"/>
        <v>14.92</v>
      </c>
      <c r="L1914" t="str">
        <f t="shared" si="209"/>
        <v>August</v>
      </c>
      <c r="M1914">
        <f>YEAR(C1914)</f>
        <v>2023</v>
      </c>
      <c r="N1914">
        <v>377</v>
      </c>
      <c r="O1914" t="str">
        <f>IF(N1914&gt;=200,"Platinum",IF(N1914&gt;=100,"Gold",IF(N1914&gt;=50,"Silver","Regular")))</f>
        <v>Platinum</v>
      </c>
      <c r="P1914" s="4" t="str">
        <f t="shared" si="204"/>
        <v>Saturday</v>
      </c>
      <c r="Q1914" s="4" t="str">
        <f t="shared" si="205"/>
        <v>Small Order</v>
      </c>
      <c r="R1914" s="4" t="str">
        <f t="shared" si="206"/>
        <v>Weekend</v>
      </c>
      <c r="S1914" s="4" t="str">
        <f t="shared" si="207"/>
        <v>Regular</v>
      </c>
    </row>
    <row r="1915" spans="1:19" x14ac:dyDescent="0.3">
      <c r="A1915">
        <v>3869</v>
      </c>
      <c r="B1915" t="s">
        <v>20</v>
      </c>
      <c r="C1915" s="1">
        <v>45631</v>
      </c>
      <c r="D1915" t="s">
        <v>11</v>
      </c>
      <c r="E1915" t="s">
        <v>28</v>
      </c>
      <c r="F1915">
        <v>1</v>
      </c>
      <c r="G1915">
        <v>14.62</v>
      </c>
      <c r="H1915">
        <v>14.62</v>
      </c>
      <c r="I1915" t="str">
        <f t="shared" si="203"/>
        <v>No Discount</v>
      </c>
      <c r="J1915">
        <v>0</v>
      </c>
      <c r="K1915">
        <f t="shared" si="208"/>
        <v>14.62</v>
      </c>
      <c r="L1915" t="str">
        <f t="shared" si="209"/>
        <v>December</v>
      </c>
      <c r="M1915">
        <f>YEAR(C1915)</f>
        <v>2024</v>
      </c>
      <c r="N1915">
        <v>424</v>
      </c>
      <c r="O1915" t="str">
        <f>IF(N1915&gt;=200,"Platinum",IF(N1915&gt;=100,"Gold",IF(N1915&gt;=50,"Silver","Regular")))</f>
        <v>Platinum</v>
      </c>
      <c r="P1915" s="4" t="str">
        <f t="shared" si="204"/>
        <v>Thursday</v>
      </c>
      <c r="Q1915" s="4" t="str">
        <f t="shared" si="205"/>
        <v>Small Order</v>
      </c>
      <c r="R1915" s="4" t="str">
        <f t="shared" si="206"/>
        <v>Weekday</v>
      </c>
      <c r="S1915" s="4" t="str">
        <f t="shared" si="207"/>
        <v>Regular</v>
      </c>
    </row>
    <row r="1916" spans="1:19" x14ac:dyDescent="0.3">
      <c r="A1916">
        <v>6038</v>
      </c>
      <c r="B1916" t="s">
        <v>0</v>
      </c>
      <c r="C1916" s="1">
        <v>45330</v>
      </c>
      <c r="D1916" t="s">
        <v>27</v>
      </c>
      <c r="E1916" t="s">
        <v>18</v>
      </c>
      <c r="F1916">
        <v>2</v>
      </c>
      <c r="G1916">
        <v>7.27</v>
      </c>
      <c r="H1916">
        <v>14.54</v>
      </c>
      <c r="I1916" t="str">
        <f t="shared" si="203"/>
        <v>No Discount</v>
      </c>
      <c r="J1916">
        <v>0</v>
      </c>
      <c r="K1916">
        <f t="shared" si="208"/>
        <v>14.54</v>
      </c>
      <c r="L1916" t="str">
        <f t="shared" si="209"/>
        <v>February</v>
      </c>
      <c r="M1916">
        <f>YEAR(C1916)</f>
        <v>2024</v>
      </c>
      <c r="N1916">
        <v>247</v>
      </c>
      <c r="O1916" t="str">
        <f>IF(N1916&gt;=200,"Platinum",IF(N1916&gt;=100,"Gold",IF(N1916&gt;=50,"Silver","Regular")))</f>
        <v>Platinum</v>
      </c>
      <c r="P1916" s="4" t="str">
        <f t="shared" si="204"/>
        <v>Thursday</v>
      </c>
      <c r="Q1916" s="4" t="str">
        <f t="shared" si="205"/>
        <v>Small Order</v>
      </c>
      <c r="R1916" s="4" t="str">
        <f t="shared" si="206"/>
        <v>Weekday</v>
      </c>
      <c r="S1916" s="4" t="str">
        <f t="shared" si="207"/>
        <v>Regular</v>
      </c>
    </row>
    <row r="1917" spans="1:19" x14ac:dyDescent="0.3">
      <c r="A1917">
        <v>5700</v>
      </c>
      <c r="B1917" t="s">
        <v>25</v>
      </c>
      <c r="C1917" s="1">
        <v>45308</v>
      </c>
      <c r="D1917" t="s">
        <v>6</v>
      </c>
      <c r="E1917" t="s">
        <v>29</v>
      </c>
      <c r="F1917">
        <v>1</v>
      </c>
      <c r="G1917">
        <v>14.49</v>
      </c>
      <c r="H1917">
        <v>14.49</v>
      </c>
      <c r="I1917" t="str">
        <f t="shared" si="203"/>
        <v>No Discount</v>
      </c>
      <c r="J1917">
        <v>0</v>
      </c>
      <c r="K1917">
        <f t="shared" si="208"/>
        <v>14.49</v>
      </c>
      <c r="L1917" t="str">
        <f t="shared" si="209"/>
        <v>January</v>
      </c>
      <c r="M1917">
        <f>YEAR(C1917)</f>
        <v>2024</v>
      </c>
      <c r="N1917">
        <v>81</v>
      </c>
      <c r="O1917" t="str">
        <f>IF(N1917&gt;=200,"Platinum",IF(N1917&gt;=100,"Gold",IF(N1917&gt;=50,"Silver","Regular")))</f>
        <v>Silver</v>
      </c>
      <c r="P1917" s="4" t="str">
        <f t="shared" si="204"/>
        <v>Wednesday</v>
      </c>
      <c r="Q1917" s="4" t="str">
        <f t="shared" si="205"/>
        <v>Small Order</v>
      </c>
      <c r="R1917" s="4" t="str">
        <f t="shared" si="206"/>
        <v>Weekday</v>
      </c>
      <c r="S1917" s="4" t="str">
        <f t="shared" si="207"/>
        <v>Regular</v>
      </c>
    </row>
    <row r="1918" spans="1:19" x14ac:dyDescent="0.3">
      <c r="A1918">
        <v>5951</v>
      </c>
      <c r="B1918" t="s">
        <v>19</v>
      </c>
      <c r="C1918" s="1">
        <v>45649</v>
      </c>
      <c r="D1918" t="s">
        <v>1</v>
      </c>
      <c r="E1918" t="s">
        <v>26</v>
      </c>
      <c r="F1918">
        <v>2</v>
      </c>
      <c r="G1918">
        <v>7.22</v>
      </c>
      <c r="H1918">
        <v>14.44</v>
      </c>
      <c r="I1918" t="str">
        <f t="shared" si="203"/>
        <v>No Discount</v>
      </c>
      <c r="J1918">
        <v>0</v>
      </c>
      <c r="K1918">
        <f t="shared" si="208"/>
        <v>14.44</v>
      </c>
      <c r="L1918" t="str">
        <f t="shared" si="209"/>
        <v>December</v>
      </c>
      <c r="M1918">
        <f>YEAR(C1918)</f>
        <v>2024</v>
      </c>
      <c r="N1918">
        <v>161</v>
      </c>
      <c r="O1918" t="str">
        <f>IF(N1918&gt;=200,"Platinum",IF(N1918&gt;=100,"Gold",IF(N1918&gt;=50,"Silver","Regular")))</f>
        <v>Gold</v>
      </c>
      <c r="P1918" s="4" t="str">
        <f t="shared" si="204"/>
        <v>Monday</v>
      </c>
      <c r="Q1918" s="4" t="str">
        <f t="shared" si="205"/>
        <v>Small Order</v>
      </c>
      <c r="R1918" s="4" t="str">
        <f t="shared" si="206"/>
        <v>Weekday</v>
      </c>
      <c r="S1918" s="4" t="str">
        <f t="shared" si="207"/>
        <v>Regular</v>
      </c>
    </row>
    <row r="1919" spans="1:19" x14ac:dyDescent="0.3">
      <c r="A1919">
        <v>8381</v>
      </c>
      <c r="B1919" t="s">
        <v>31</v>
      </c>
      <c r="C1919" s="1">
        <v>45850</v>
      </c>
      <c r="D1919" t="s">
        <v>1</v>
      </c>
      <c r="E1919" t="s">
        <v>14</v>
      </c>
      <c r="F1919">
        <v>1</v>
      </c>
      <c r="G1919">
        <v>14.23</v>
      </c>
      <c r="H1919">
        <v>14.23</v>
      </c>
      <c r="I1919" t="str">
        <f t="shared" si="203"/>
        <v>No Discount</v>
      </c>
      <c r="J1919">
        <v>0</v>
      </c>
      <c r="K1919">
        <f t="shared" si="208"/>
        <v>14.23</v>
      </c>
      <c r="L1919" t="str">
        <f t="shared" si="209"/>
        <v>July</v>
      </c>
      <c r="M1919">
        <f>YEAR(C1919)</f>
        <v>2025</v>
      </c>
      <c r="N1919">
        <v>470</v>
      </c>
      <c r="O1919" t="str">
        <f>IF(N1919&gt;=200,"Platinum",IF(N1919&gt;=100,"Gold",IF(N1919&gt;=50,"Silver","Regular")))</f>
        <v>Platinum</v>
      </c>
      <c r="P1919" s="4" t="str">
        <f t="shared" si="204"/>
        <v>Saturday</v>
      </c>
      <c r="Q1919" s="4" t="str">
        <f t="shared" si="205"/>
        <v>Small Order</v>
      </c>
      <c r="R1919" s="4" t="str">
        <f t="shared" si="206"/>
        <v>Weekend</v>
      </c>
      <c r="S1919" s="4" t="str">
        <f t="shared" si="207"/>
        <v>Regular</v>
      </c>
    </row>
    <row r="1920" spans="1:19" x14ac:dyDescent="0.3">
      <c r="A1920">
        <v>5669</v>
      </c>
      <c r="B1920" t="s">
        <v>15</v>
      </c>
      <c r="C1920" s="1">
        <v>45267</v>
      </c>
      <c r="D1920" t="s">
        <v>27</v>
      </c>
      <c r="E1920" t="s">
        <v>30</v>
      </c>
      <c r="F1920">
        <v>1</v>
      </c>
      <c r="G1920">
        <v>14.06</v>
      </c>
      <c r="H1920">
        <v>14.06</v>
      </c>
      <c r="I1920" t="str">
        <f t="shared" si="203"/>
        <v>No Discount</v>
      </c>
      <c r="J1920">
        <v>0</v>
      </c>
      <c r="K1920">
        <f t="shared" si="208"/>
        <v>14.06</v>
      </c>
      <c r="L1920" t="str">
        <f t="shared" si="209"/>
        <v>December</v>
      </c>
      <c r="M1920">
        <f>YEAR(C1920)</f>
        <v>2023</v>
      </c>
      <c r="N1920">
        <v>415</v>
      </c>
      <c r="O1920" t="str">
        <f>IF(N1920&gt;=200,"Platinum",IF(N1920&gt;=100,"Gold",IF(N1920&gt;=50,"Silver","Regular")))</f>
        <v>Platinum</v>
      </c>
      <c r="P1920" s="4" t="str">
        <f t="shared" si="204"/>
        <v>Thursday</v>
      </c>
      <c r="Q1920" s="4" t="str">
        <f t="shared" si="205"/>
        <v>Small Order</v>
      </c>
      <c r="R1920" s="4" t="str">
        <f t="shared" si="206"/>
        <v>Weekday</v>
      </c>
      <c r="S1920" s="4" t="str">
        <f t="shared" si="207"/>
        <v>Regular</v>
      </c>
    </row>
    <row r="1921" spans="1:19" x14ac:dyDescent="0.3">
      <c r="A1921">
        <v>4848</v>
      </c>
      <c r="B1921" t="s">
        <v>13</v>
      </c>
      <c r="C1921" s="1">
        <v>45667</v>
      </c>
      <c r="D1921" t="s">
        <v>34</v>
      </c>
      <c r="E1921" t="s">
        <v>21</v>
      </c>
      <c r="F1921">
        <v>4</v>
      </c>
      <c r="G1921">
        <v>3.32</v>
      </c>
      <c r="H1921">
        <v>13.28</v>
      </c>
      <c r="I1921" t="str">
        <f t="shared" si="203"/>
        <v>No Discount</v>
      </c>
      <c r="J1921">
        <v>0</v>
      </c>
      <c r="K1921">
        <f t="shared" si="208"/>
        <v>13.28</v>
      </c>
      <c r="L1921" t="str">
        <f t="shared" si="209"/>
        <v>January</v>
      </c>
      <c r="M1921">
        <f>YEAR(C1921)</f>
        <v>2025</v>
      </c>
      <c r="N1921">
        <v>493</v>
      </c>
      <c r="O1921" t="str">
        <f>IF(N1921&gt;=200,"Platinum",IF(N1921&gt;=100,"Gold",IF(N1921&gt;=50,"Silver","Regular")))</f>
        <v>Platinum</v>
      </c>
      <c r="P1921" s="4" t="str">
        <f t="shared" si="204"/>
        <v>Friday</v>
      </c>
      <c r="Q1921" s="4" t="str">
        <f t="shared" si="205"/>
        <v>Medium Order</v>
      </c>
      <c r="R1921" s="4" t="str">
        <f t="shared" si="206"/>
        <v>Weekday</v>
      </c>
      <c r="S1921" s="4" t="str">
        <f t="shared" si="207"/>
        <v>Regular</v>
      </c>
    </row>
    <row r="1922" spans="1:19" x14ac:dyDescent="0.3">
      <c r="A1922">
        <v>3582</v>
      </c>
      <c r="B1922" t="s">
        <v>15</v>
      </c>
      <c r="C1922" s="1">
        <v>45772</v>
      </c>
      <c r="D1922" t="s">
        <v>9</v>
      </c>
      <c r="E1922" t="s">
        <v>7</v>
      </c>
      <c r="F1922">
        <v>1</v>
      </c>
      <c r="G1922">
        <v>13.25</v>
      </c>
      <c r="H1922">
        <v>13.25</v>
      </c>
      <c r="I1922" t="str">
        <f t="shared" ref="I1922:I1985" si="210">IF(J1922=0,"No Discount",IF(J1922&lt;=5,"Low",IF(J1922&lt;=10,"Medium",IF(J1922&lt;=20,"High","Very High"))))</f>
        <v>No Discount</v>
      </c>
      <c r="J1922">
        <v>0</v>
      </c>
      <c r="K1922">
        <f t="shared" si="208"/>
        <v>13.25</v>
      </c>
      <c r="L1922" t="str">
        <f t="shared" si="209"/>
        <v>April</v>
      </c>
      <c r="M1922">
        <f>YEAR(C1922)</f>
        <v>2025</v>
      </c>
      <c r="N1922">
        <v>300</v>
      </c>
      <c r="O1922" t="str">
        <f>IF(N1922&gt;=200,"Platinum",IF(N1922&gt;=100,"Gold",IF(N1922&gt;=50,"Silver","Regular")))</f>
        <v>Platinum</v>
      </c>
      <c r="P1922" s="4" t="str">
        <f t="shared" ref="P1922:P1981" si="211">TEXT(C1922,"dddd")</f>
        <v>Friday</v>
      </c>
      <c r="Q1922" s="4" t="str">
        <f t="shared" ref="Q1922:Q1981" si="212">IF(F1922&lt;=2,"Small Order",IF(F1922&lt;=5,"Medium Order",IF(F1922&lt;=10,"Large Order","Bulk Order")))</f>
        <v>Small Order</v>
      </c>
      <c r="R1922" s="4" t="str">
        <f t="shared" ref="R1922:R1981" si="213">IF(WEEKDAY(C1922,2)&gt;5,"Weekend","Weekday")</f>
        <v>Weekday</v>
      </c>
      <c r="S1922" s="4" t="str">
        <f t="shared" ref="S1922:S1983" si="214">IF(K1922&gt;=100,"High Value","Regular")</f>
        <v>Regular</v>
      </c>
    </row>
    <row r="1923" spans="1:19" x14ac:dyDescent="0.3">
      <c r="A1923">
        <v>9856</v>
      </c>
      <c r="B1923" t="s">
        <v>15</v>
      </c>
      <c r="C1923" s="1">
        <v>45402</v>
      </c>
      <c r="D1923" t="s">
        <v>1</v>
      </c>
      <c r="E1923" t="s">
        <v>18</v>
      </c>
      <c r="F1923">
        <v>1</v>
      </c>
      <c r="G1923">
        <v>13.13</v>
      </c>
      <c r="H1923">
        <v>13.13</v>
      </c>
      <c r="I1923" t="str">
        <f t="shared" si="210"/>
        <v>No Discount</v>
      </c>
      <c r="J1923">
        <v>0</v>
      </c>
      <c r="K1923">
        <f t="shared" ref="K1923:K1981" si="215">MAX(0,H1923-J1923)</f>
        <v>13.13</v>
      </c>
      <c r="L1923" t="str">
        <f t="shared" ref="L1923:L1982" si="216">TEXT(C1923,"mmmm")</f>
        <v>April</v>
      </c>
      <c r="M1923">
        <f>YEAR(C1923)</f>
        <v>2024</v>
      </c>
      <c r="N1923">
        <v>391</v>
      </c>
      <c r="O1923" t="str">
        <f>IF(N1923&gt;=200,"Platinum",IF(N1923&gt;=100,"Gold",IF(N1923&gt;=50,"Silver","Regular")))</f>
        <v>Platinum</v>
      </c>
      <c r="P1923" s="4" t="str">
        <f t="shared" si="211"/>
        <v>Saturday</v>
      </c>
      <c r="Q1923" s="4" t="str">
        <f t="shared" si="212"/>
        <v>Small Order</v>
      </c>
      <c r="R1923" s="4" t="str">
        <f t="shared" si="213"/>
        <v>Weekend</v>
      </c>
      <c r="S1923" s="4" t="str">
        <f t="shared" si="214"/>
        <v>Regular</v>
      </c>
    </row>
    <row r="1924" spans="1:19" x14ac:dyDescent="0.3">
      <c r="A1924">
        <v>4921</v>
      </c>
      <c r="B1924" t="s">
        <v>15</v>
      </c>
      <c r="C1924" s="1">
        <v>45573</v>
      </c>
      <c r="D1924" t="s">
        <v>17</v>
      </c>
      <c r="E1924" t="s">
        <v>12</v>
      </c>
      <c r="F1924">
        <v>3</v>
      </c>
      <c r="G1924">
        <v>4.1900000000000004</v>
      </c>
      <c r="H1924">
        <v>12.57</v>
      </c>
      <c r="I1924" t="str">
        <f t="shared" si="210"/>
        <v>No Discount</v>
      </c>
      <c r="J1924">
        <v>0</v>
      </c>
      <c r="K1924">
        <f t="shared" si="215"/>
        <v>12.57</v>
      </c>
      <c r="L1924" t="str">
        <f t="shared" si="216"/>
        <v>October</v>
      </c>
      <c r="M1924">
        <f>YEAR(C1924)</f>
        <v>2024</v>
      </c>
      <c r="N1924">
        <v>4</v>
      </c>
      <c r="O1924" t="str">
        <f>IF(N1924&gt;=200,"Platinum",IF(N1924&gt;=100,"Gold",IF(N1924&gt;=50,"Silver","Regular")))</f>
        <v>Regular</v>
      </c>
      <c r="P1924" s="4" t="str">
        <f t="shared" si="211"/>
        <v>Tuesday</v>
      </c>
      <c r="Q1924" s="4" t="str">
        <f t="shared" si="212"/>
        <v>Medium Order</v>
      </c>
      <c r="R1924" s="4" t="str">
        <f t="shared" si="213"/>
        <v>Weekday</v>
      </c>
      <c r="S1924" s="4" t="str">
        <f t="shared" si="214"/>
        <v>Regular</v>
      </c>
    </row>
    <row r="1925" spans="1:19" x14ac:dyDescent="0.3">
      <c r="A1925">
        <v>4090</v>
      </c>
      <c r="B1925" t="s">
        <v>15</v>
      </c>
      <c r="C1925" s="1">
        <v>45686</v>
      </c>
      <c r="D1925" t="s">
        <v>27</v>
      </c>
      <c r="E1925" t="s">
        <v>35</v>
      </c>
      <c r="F1925">
        <v>1</v>
      </c>
      <c r="G1925">
        <v>12.5</v>
      </c>
      <c r="H1925">
        <v>12.5</v>
      </c>
      <c r="I1925" t="str">
        <f t="shared" si="210"/>
        <v>No Discount</v>
      </c>
      <c r="J1925">
        <v>0</v>
      </c>
      <c r="K1925">
        <f t="shared" si="215"/>
        <v>12.5</v>
      </c>
      <c r="L1925" t="str">
        <f t="shared" si="216"/>
        <v>January</v>
      </c>
      <c r="M1925">
        <f>YEAR(C1925)</f>
        <v>2025</v>
      </c>
      <c r="N1925">
        <v>257</v>
      </c>
      <c r="O1925" t="str">
        <f>IF(N1925&gt;=200,"Platinum",IF(N1925&gt;=100,"Gold",IF(N1925&gt;=50,"Silver","Regular")))</f>
        <v>Platinum</v>
      </c>
      <c r="P1925" s="4" t="str">
        <f t="shared" si="211"/>
        <v>Wednesday</v>
      </c>
      <c r="Q1925" s="4" t="str">
        <f t="shared" si="212"/>
        <v>Small Order</v>
      </c>
      <c r="R1925" s="4" t="str">
        <f t="shared" si="213"/>
        <v>Weekday</v>
      </c>
      <c r="S1925" s="4" t="str">
        <f t="shared" si="214"/>
        <v>Regular</v>
      </c>
    </row>
    <row r="1926" spans="1:19" x14ac:dyDescent="0.3">
      <c r="A1926">
        <v>2560</v>
      </c>
      <c r="B1926" t="s">
        <v>13</v>
      </c>
      <c r="C1926" s="1">
        <v>45250</v>
      </c>
      <c r="D1926" t="s">
        <v>23</v>
      </c>
      <c r="E1926" t="s">
        <v>5</v>
      </c>
      <c r="F1926">
        <v>2</v>
      </c>
      <c r="G1926">
        <v>6.05</v>
      </c>
      <c r="H1926">
        <v>12.1</v>
      </c>
      <c r="I1926" t="str">
        <f t="shared" si="210"/>
        <v>No Discount</v>
      </c>
      <c r="J1926">
        <v>0</v>
      </c>
      <c r="K1926">
        <f t="shared" si="215"/>
        <v>12.1</v>
      </c>
      <c r="L1926" t="str">
        <f t="shared" si="216"/>
        <v>November</v>
      </c>
      <c r="M1926">
        <f>YEAR(C1926)</f>
        <v>2023</v>
      </c>
      <c r="N1926">
        <v>265</v>
      </c>
      <c r="O1926" t="str">
        <f>IF(N1926&gt;=200,"Platinum",IF(N1926&gt;=100,"Gold",IF(N1926&gt;=50,"Silver","Regular")))</f>
        <v>Platinum</v>
      </c>
      <c r="P1926" s="4" t="str">
        <f t="shared" si="211"/>
        <v>Monday</v>
      </c>
      <c r="Q1926" s="4" t="str">
        <f t="shared" si="212"/>
        <v>Small Order</v>
      </c>
      <c r="R1926" s="4" t="str">
        <f t="shared" si="213"/>
        <v>Weekday</v>
      </c>
      <c r="S1926" s="4" t="str">
        <f t="shared" si="214"/>
        <v>Regular</v>
      </c>
    </row>
    <row r="1927" spans="1:19" x14ac:dyDescent="0.3">
      <c r="A1927">
        <v>8916</v>
      </c>
      <c r="B1927" t="s">
        <v>3</v>
      </c>
      <c r="C1927" s="1">
        <v>45227</v>
      </c>
      <c r="D1927" t="s">
        <v>34</v>
      </c>
      <c r="E1927" t="s">
        <v>22</v>
      </c>
      <c r="F1927">
        <v>1</v>
      </c>
      <c r="G1927">
        <v>12.04</v>
      </c>
      <c r="H1927">
        <v>12.04</v>
      </c>
      <c r="I1927" t="str">
        <f t="shared" si="210"/>
        <v>No Discount</v>
      </c>
      <c r="J1927">
        <v>0</v>
      </c>
      <c r="K1927">
        <f t="shared" si="215"/>
        <v>12.04</v>
      </c>
      <c r="L1927" t="str">
        <f t="shared" si="216"/>
        <v>October</v>
      </c>
      <c r="M1927">
        <f>YEAR(C1927)</f>
        <v>2023</v>
      </c>
      <c r="N1927">
        <v>146</v>
      </c>
      <c r="O1927" t="str">
        <f>IF(N1927&gt;=200,"Platinum",IF(N1927&gt;=100,"Gold",IF(N1927&gt;=50,"Silver","Regular")))</f>
        <v>Gold</v>
      </c>
      <c r="P1927" s="4" t="str">
        <f t="shared" si="211"/>
        <v>Saturday</v>
      </c>
      <c r="Q1927" s="4" t="str">
        <f t="shared" si="212"/>
        <v>Small Order</v>
      </c>
      <c r="R1927" s="4" t="str">
        <f t="shared" si="213"/>
        <v>Weekend</v>
      </c>
      <c r="S1927" s="4" t="str">
        <f t="shared" si="214"/>
        <v>Regular</v>
      </c>
    </row>
    <row r="1928" spans="1:19" x14ac:dyDescent="0.3">
      <c r="A1928">
        <v>6213</v>
      </c>
      <c r="B1928" t="s">
        <v>15</v>
      </c>
      <c r="C1928" s="1">
        <v>45723</v>
      </c>
      <c r="D1928" t="s">
        <v>1</v>
      </c>
      <c r="E1928" t="s">
        <v>29</v>
      </c>
      <c r="F1928">
        <v>3</v>
      </c>
      <c r="G1928">
        <v>3.98</v>
      </c>
      <c r="H1928">
        <v>11.94</v>
      </c>
      <c r="I1928" t="str">
        <f t="shared" si="210"/>
        <v>No Discount</v>
      </c>
      <c r="J1928">
        <v>0</v>
      </c>
      <c r="K1928">
        <f t="shared" si="215"/>
        <v>11.94</v>
      </c>
      <c r="L1928" t="str">
        <f t="shared" si="216"/>
        <v>March</v>
      </c>
      <c r="M1928">
        <f>YEAR(C1928)</f>
        <v>2025</v>
      </c>
      <c r="N1928">
        <v>495</v>
      </c>
      <c r="O1928" t="str">
        <f>IF(N1928&gt;=200,"Platinum",IF(N1928&gt;=100,"Gold",IF(N1928&gt;=50,"Silver","Regular")))</f>
        <v>Platinum</v>
      </c>
      <c r="P1928" s="4" t="str">
        <f t="shared" si="211"/>
        <v>Friday</v>
      </c>
      <c r="Q1928" s="4" t="str">
        <f t="shared" si="212"/>
        <v>Medium Order</v>
      </c>
      <c r="R1928" s="4" t="str">
        <f t="shared" si="213"/>
        <v>Weekday</v>
      </c>
      <c r="S1928" s="4" t="str">
        <f t="shared" si="214"/>
        <v>Regular</v>
      </c>
    </row>
    <row r="1929" spans="1:19" x14ac:dyDescent="0.3">
      <c r="A1929">
        <v>3594</v>
      </c>
      <c r="B1929" t="s">
        <v>3</v>
      </c>
      <c r="C1929" s="1">
        <v>45386</v>
      </c>
      <c r="D1929" t="s">
        <v>27</v>
      </c>
      <c r="E1929" t="s">
        <v>21</v>
      </c>
      <c r="F1929">
        <v>1</v>
      </c>
      <c r="G1929">
        <v>11.12</v>
      </c>
      <c r="H1929">
        <v>11.12</v>
      </c>
      <c r="I1929" t="str">
        <f t="shared" si="210"/>
        <v>No Discount</v>
      </c>
      <c r="J1929">
        <v>0</v>
      </c>
      <c r="K1929">
        <f t="shared" si="215"/>
        <v>11.12</v>
      </c>
      <c r="L1929" t="str">
        <f t="shared" si="216"/>
        <v>April</v>
      </c>
      <c r="M1929">
        <f>YEAR(C1929)</f>
        <v>2024</v>
      </c>
      <c r="N1929">
        <v>452</v>
      </c>
      <c r="O1929" t="str">
        <f>IF(N1929&gt;=200,"Platinum",IF(N1929&gt;=100,"Gold",IF(N1929&gt;=50,"Silver","Regular")))</f>
        <v>Platinum</v>
      </c>
      <c r="P1929" s="4" t="str">
        <f t="shared" si="211"/>
        <v>Thursday</v>
      </c>
      <c r="Q1929" s="4" t="str">
        <f t="shared" si="212"/>
        <v>Small Order</v>
      </c>
      <c r="R1929" s="4" t="str">
        <f t="shared" si="213"/>
        <v>Weekday</v>
      </c>
      <c r="S1929" s="4" t="str">
        <f t="shared" si="214"/>
        <v>Regular</v>
      </c>
    </row>
    <row r="1930" spans="1:19" x14ac:dyDescent="0.3">
      <c r="A1930">
        <v>6143</v>
      </c>
      <c r="B1930" t="s">
        <v>19</v>
      </c>
      <c r="C1930" s="1">
        <v>45660</v>
      </c>
      <c r="D1930" t="s">
        <v>1</v>
      </c>
      <c r="E1930" t="s">
        <v>26</v>
      </c>
      <c r="F1930">
        <v>1</v>
      </c>
      <c r="G1930">
        <v>11.03</v>
      </c>
      <c r="H1930">
        <v>11.03</v>
      </c>
      <c r="I1930" t="str">
        <f t="shared" si="210"/>
        <v>No Discount</v>
      </c>
      <c r="J1930">
        <v>0</v>
      </c>
      <c r="K1930">
        <f t="shared" si="215"/>
        <v>11.03</v>
      </c>
      <c r="L1930" t="str">
        <f t="shared" si="216"/>
        <v>January</v>
      </c>
      <c r="M1930">
        <f>YEAR(C1930)</f>
        <v>2025</v>
      </c>
      <c r="N1930">
        <v>226</v>
      </c>
      <c r="O1930" t="str">
        <f>IF(N1930&gt;=200,"Platinum",IF(N1930&gt;=100,"Gold",IF(N1930&gt;=50,"Silver","Regular")))</f>
        <v>Platinum</v>
      </c>
      <c r="P1930" s="4" t="str">
        <f t="shared" si="211"/>
        <v>Friday</v>
      </c>
      <c r="Q1930" s="4" t="str">
        <f t="shared" si="212"/>
        <v>Small Order</v>
      </c>
      <c r="R1930" s="4" t="str">
        <f t="shared" si="213"/>
        <v>Weekday</v>
      </c>
      <c r="S1930" s="4" t="str">
        <f t="shared" si="214"/>
        <v>Regular</v>
      </c>
    </row>
    <row r="1931" spans="1:19" x14ac:dyDescent="0.3">
      <c r="A1931">
        <v>8430</v>
      </c>
      <c r="B1931" t="s">
        <v>15</v>
      </c>
      <c r="C1931" s="1">
        <v>45201</v>
      </c>
      <c r="D1931" t="s">
        <v>34</v>
      </c>
      <c r="E1931" t="s">
        <v>22</v>
      </c>
      <c r="F1931">
        <v>5</v>
      </c>
      <c r="G1931">
        <v>2.12</v>
      </c>
      <c r="H1931">
        <v>10.6</v>
      </c>
      <c r="I1931" t="str">
        <f t="shared" si="210"/>
        <v>No Discount</v>
      </c>
      <c r="J1931">
        <v>0</v>
      </c>
      <c r="K1931">
        <f t="shared" si="215"/>
        <v>10.6</v>
      </c>
      <c r="L1931" t="str">
        <f t="shared" si="216"/>
        <v>October</v>
      </c>
      <c r="M1931">
        <f>YEAR(C1931)</f>
        <v>2023</v>
      </c>
      <c r="N1931">
        <v>46</v>
      </c>
      <c r="O1931" t="str">
        <f>IF(N1931&gt;=200,"Platinum",IF(N1931&gt;=100,"Gold",IF(N1931&gt;=50,"Silver","Regular")))</f>
        <v>Regular</v>
      </c>
      <c r="P1931" s="4" t="str">
        <f t="shared" si="211"/>
        <v>Monday</v>
      </c>
      <c r="Q1931" s="4" t="str">
        <f t="shared" si="212"/>
        <v>Medium Order</v>
      </c>
      <c r="R1931" s="4" t="str">
        <f t="shared" si="213"/>
        <v>Weekday</v>
      </c>
      <c r="S1931" s="4" t="str">
        <f t="shared" si="214"/>
        <v>Regular</v>
      </c>
    </row>
    <row r="1932" spans="1:19" x14ac:dyDescent="0.3">
      <c r="A1932">
        <v>8546</v>
      </c>
      <c r="B1932" t="s">
        <v>13</v>
      </c>
      <c r="C1932" s="1">
        <v>45413</v>
      </c>
      <c r="D1932" t="s">
        <v>24</v>
      </c>
      <c r="E1932" t="s">
        <v>29</v>
      </c>
      <c r="F1932">
        <v>3</v>
      </c>
      <c r="G1932">
        <v>3.4</v>
      </c>
      <c r="H1932">
        <v>10.199999999999999</v>
      </c>
      <c r="I1932" t="str">
        <f t="shared" si="210"/>
        <v>No Discount</v>
      </c>
      <c r="J1932">
        <v>0</v>
      </c>
      <c r="K1932">
        <f t="shared" si="215"/>
        <v>10.199999999999999</v>
      </c>
      <c r="L1932" t="str">
        <f t="shared" si="216"/>
        <v>May</v>
      </c>
      <c r="M1932">
        <f>YEAR(C1932)</f>
        <v>2024</v>
      </c>
      <c r="N1932">
        <v>73</v>
      </c>
      <c r="O1932" t="str">
        <f>IF(N1932&gt;=200,"Platinum",IF(N1932&gt;=100,"Gold",IF(N1932&gt;=50,"Silver","Regular")))</f>
        <v>Silver</v>
      </c>
      <c r="P1932" s="4" t="str">
        <f t="shared" si="211"/>
        <v>Wednesday</v>
      </c>
      <c r="Q1932" s="4" t="str">
        <f t="shared" si="212"/>
        <v>Medium Order</v>
      </c>
      <c r="R1932" s="4" t="str">
        <f t="shared" si="213"/>
        <v>Weekday</v>
      </c>
      <c r="S1932" s="4" t="str">
        <f t="shared" si="214"/>
        <v>Regular</v>
      </c>
    </row>
    <row r="1933" spans="1:19" x14ac:dyDescent="0.3">
      <c r="A1933">
        <v>2063</v>
      </c>
      <c r="B1933" t="s">
        <v>20</v>
      </c>
      <c r="C1933" s="1">
        <v>45572</v>
      </c>
      <c r="D1933" t="s">
        <v>9</v>
      </c>
      <c r="E1933" t="s">
        <v>33</v>
      </c>
      <c r="F1933">
        <v>3</v>
      </c>
      <c r="G1933">
        <v>3.36</v>
      </c>
      <c r="H1933">
        <v>10.08</v>
      </c>
      <c r="I1933" t="str">
        <f t="shared" si="210"/>
        <v>No Discount</v>
      </c>
      <c r="J1933">
        <v>0</v>
      </c>
      <c r="K1933">
        <f t="shared" si="215"/>
        <v>10.08</v>
      </c>
      <c r="L1933" t="str">
        <f t="shared" si="216"/>
        <v>October</v>
      </c>
      <c r="M1933">
        <f>YEAR(C1933)</f>
        <v>2024</v>
      </c>
      <c r="N1933">
        <v>292</v>
      </c>
      <c r="O1933" t="str">
        <f>IF(N1933&gt;=200,"Platinum",IF(N1933&gt;=100,"Gold",IF(N1933&gt;=50,"Silver","Regular")))</f>
        <v>Platinum</v>
      </c>
      <c r="P1933" s="4" t="str">
        <f t="shared" si="211"/>
        <v>Monday</v>
      </c>
      <c r="Q1933" s="4" t="str">
        <f t="shared" si="212"/>
        <v>Medium Order</v>
      </c>
      <c r="R1933" s="4" t="str">
        <f t="shared" si="213"/>
        <v>Weekday</v>
      </c>
      <c r="S1933" s="4" t="str">
        <f t="shared" si="214"/>
        <v>Regular</v>
      </c>
    </row>
    <row r="1934" spans="1:19" x14ac:dyDescent="0.3">
      <c r="A1934">
        <v>9022</v>
      </c>
      <c r="B1934" t="s">
        <v>25</v>
      </c>
      <c r="C1934" s="1">
        <v>45817</v>
      </c>
      <c r="D1934" t="s">
        <v>9</v>
      </c>
      <c r="E1934" t="s">
        <v>18</v>
      </c>
      <c r="F1934">
        <v>1</v>
      </c>
      <c r="G1934">
        <v>10.07</v>
      </c>
      <c r="H1934">
        <v>10.07</v>
      </c>
      <c r="I1934" t="str">
        <f t="shared" si="210"/>
        <v>No Discount</v>
      </c>
      <c r="J1934">
        <v>0</v>
      </c>
      <c r="K1934">
        <f t="shared" si="215"/>
        <v>10.07</v>
      </c>
      <c r="L1934" t="str">
        <f t="shared" si="216"/>
        <v>June</v>
      </c>
      <c r="M1934">
        <f>YEAR(C1934)</f>
        <v>2025</v>
      </c>
      <c r="N1934">
        <v>402</v>
      </c>
      <c r="O1934" t="str">
        <f>IF(N1934&gt;=200,"Platinum",IF(N1934&gt;=100,"Gold",IF(N1934&gt;=50,"Silver","Regular")))</f>
        <v>Platinum</v>
      </c>
      <c r="P1934" s="4" t="str">
        <f t="shared" si="211"/>
        <v>Monday</v>
      </c>
      <c r="Q1934" s="4" t="str">
        <f t="shared" si="212"/>
        <v>Small Order</v>
      </c>
      <c r="R1934" s="4" t="str">
        <f t="shared" si="213"/>
        <v>Weekday</v>
      </c>
      <c r="S1934" s="4" t="str">
        <f t="shared" si="214"/>
        <v>Regular</v>
      </c>
    </row>
    <row r="1935" spans="1:19" x14ac:dyDescent="0.3">
      <c r="A1935">
        <v>7658</v>
      </c>
      <c r="B1935" t="s">
        <v>49</v>
      </c>
      <c r="C1935" s="1">
        <v>45524</v>
      </c>
      <c r="D1935" t="s">
        <v>4</v>
      </c>
      <c r="E1935" t="s">
        <v>29</v>
      </c>
      <c r="F1935">
        <v>4</v>
      </c>
      <c r="G1935">
        <v>2.46</v>
      </c>
      <c r="H1935">
        <v>9.84</v>
      </c>
      <c r="I1935" t="str">
        <f t="shared" si="210"/>
        <v>No Discount</v>
      </c>
      <c r="J1935">
        <v>0</v>
      </c>
      <c r="K1935">
        <f t="shared" si="215"/>
        <v>9.84</v>
      </c>
      <c r="L1935" t="str">
        <f t="shared" si="216"/>
        <v>August</v>
      </c>
      <c r="M1935">
        <f>YEAR(C1935)</f>
        <v>2024</v>
      </c>
      <c r="N1935">
        <v>473</v>
      </c>
      <c r="O1935" t="str">
        <f>IF(N1935&gt;=200,"Platinum",IF(N1935&gt;=100,"Gold",IF(N1935&gt;=50,"Silver","Regular")))</f>
        <v>Platinum</v>
      </c>
      <c r="P1935" s="4" t="str">
        <f t="shared" si="211"/>
        <v>Tuesday</v>
      </c>
      <c r="Q1935" s="4" t="str">
        <f t="shared" si="212"/>
        <v>Medium Order</v>
      </c>
      <c r="R1935" s="4" t="str">
        <f t="shared" si="213"/>
        <v>Weekday</v>
      </c>
      <c r="S1935" s="4" t="str">
        <f t="shared" si="214"/>
        <v>Regular</v>
      </c>
    </row>
    <row r="1936" spans="1:19" x14ac:dyDescent="0.3">
      <c r="A1936">
        <v>7887</v>
      </c>
      <c r="B1936" t="s">
        <v>49</v>
      </c>
      <c r="C1936" s="1">
        <v>45435</v>
      </c>
      <c r="D1936" t="s">
        <v>11</v>
      </c>
      <c r="E1936" t="s">
        <v>12</v>
      </c>
      <c r="F1936">
        <v>1</v>
      </c>
      <c r="G1936">
        <v>9.75</v>
      </c>
      <c r="H1936">
        <v>9.75</v>
      </c>
      <c r="I1936" t="str">
        <f t="shared" si="210"/>
        <v>No Discount</v>
      </c>
      <c r="J1936">
        <v>0</v>
      </c>
      <c r="K1936">
        <f t="shared" si="215"/>
        <v>9.75</v>
      </c>
      <c r="L1936" t="str">
        <f t="shared" si="216"/>
        <v>May</v>
      </c>
      <c r="M1936">
        <f>YEAR(C1936)</f>
        <v>2024</v>
      </c>
      <c r="N1936">
        <v>157</v>
      </c>
      <c r="O1936" t="str">
        <f>IF(N1936&gt;=200,"Platinum",IF(N1936&gt;=100,"Gold",IF(N1936&gt;=50,"Silver","Regular")))</f>
        <v>Gold</v>
      </c>
      <c r="P1936" s="4" t="str">
        <f t="shared" si="211"/>
        <v>Thursday</v>
      </c>
      <c r="Q1936" s="4" t="str">
        <f t="shared" si="212"/>
        <v>Small Order</v>
      </c>
      <c r="R1936" s="4" t="str">
        <f t="shared" si="213"/>
        <v>Weekday</v>
      </c>
      <c r="S1936" s="4" t="str">
        <f t="shared" si="214"/>
        <v>Regular</v>
      </c>
    </row>
    <row r="1937" spans="1:19" x14ac:dyDescent="0.3">
      <c r="A1937">
        <v>6724</v>
      </c>
      <c r="B1937" t="s">
        <v>0</v>
      </c>
      <c r="C1937" s="1">
        <v>45417</v>
      </c>
      <c r="D1937" t="s">
        <v>9</v>
      </c>
      <c r="E1937" t="s">
        <v>10</v>
      </c>
      <c r="F1937">
        <v>5</v>
      </c>
      <c r="G1937">
        <v>1.94</v>
      </c>
      <c r="H1937">
        <v>9.6999999999999993</v>
      </c>
      <c r="I1937" t="str">
        <f t="shared" si="210"/>
        <v>No Discount</v>
      </c>
      <c r="J1937">
        <v>0</v>
      </c>
      <c r="K1937">
        <f t="shared" si="215"/>
        <v>9.6999999999999993</v>
      </c>
      <c r="L1937" t="str">
        <f t="shared" si="216"/>
        <v>May</v>
      </c>
      <c r="M1937">
        <f>YEAR(C1937)</f>
        <v>2024</v>
      </c>
      <c r="N1937">
        <v>218</v>
      </c>
      <c r="O1937" t="str">
        <f>IF(N1937&gt;=200,"Platinum",IF(N1937&gt;=100,"Gold",IF(N1937&gt;=50,"Silver","Regular")))</f>
        <v>Platinum</v>
      </c>
      <c r="P1937" s="4" t="str">
        <f t="shared" si="211"/>
        <v>Sunday</v>
      </c>
      <c r="Q1937" s="4" t="str">
        <f t="shared" si="212"/>
        <v>Medium Order</v>
      </c>
      <c r="R1937" s="4" t="str">
        <f t="shared" si="213"/>
        <v>Weekend</v>
      </c>
      <c r="S1937" s="4" t="str">
        <f t="shared" si="214"/>
        <v>Regular</v>
      </c>
    </row>
    <row r="1938" spans="1:19" x14ac:dyDescent="0.3">
      <c r="A1938">
        <v>7825</v>
      </c>
      <c r="B1938" t="s">
        <v>19</v>
      </c>
      <c r="C1938" s="1">
        <v>45290</v>
      </c>
      <c r="D1938" t="s">
        <v>16</v>
      </c>
      <c r="E1938" t="s">
        <v>30</v>
      </c>
      <c r="F1938">
        <v>1</v>
      </c>
      <c r="G1938">
        <v>9.65</v>
      </c>
      <c r="H1938">
        <v>9.65</v>
      </c>
      <c r="I1938" t="str">
        <f t="shared" si="210"/>
        <v>No Discount</v>
      </c>
      <c r="J1938">
        <v>0</v>
      </c>
      <c r="K1938">
        <f t="shared" si="215"/>
        <v>9.65</v>
      </c>
      <c r="L1938" t="str">
        <f t="shared" si="216"/>
        <v>December</v>
      </c>
      <c r="M1938">
        <f>YEAR(C1938)</f>
        <v>2023</v>
      </c>
      <c r="N1938">
        <v>410</v>
      </c>
      <c r="O1938" t="str">
        <f>IF(N1938&gt;=200,"Platinum",IF(N1938&gt;=100,"Gold",IF(N1938&gt;=50,"Silver","Regular")))</f>
        <v>Platinum</v>
      </c>
      <c r="P1938" s="4" t="str">
        <f t="shared" si="211"/>
        <v>Saturday</v>
      </c>
      <c r="Q1938" s="4" t="str">
        <f t="shared" si="212"/>
        <v>Small Order</v>
      </c>
      <c r="R1938" s="4" t="str">
        <f t="shared" si="213"/>
        <v>Weekend</v>
      </c>
      <c r="S1938" s="4" t="str">
        <f t="shared" si="214"/>
        <v>Regular</v>
      </c>
    </row>
    <row r="1939" spans="1:19" x14ac:dyDescent="0.3">
      <c r="A1939">
        <v>3463</v>
      </c>
      <c r="B1939" t="s">
        <v>31</v>
      </c>
      <c r="C1939" s="1">
        <v>45403</v>
      </c>
      <c r="D1939" t="s">
        <v>24</v>
      </c>
      <c r="E1939" t="s">
        <v>30</v>
      </c>
      <c r="F1939">
        <v>2</v>
      </c>
      <c r="G1939">
        <v>4.7699999999999996</v>
      </c>
      <c r="H1939">
        <v>9.5399999999999991</v>
      </c>
      <c r="I1939" t="str">
        <f t="shared" si="210"/>
        <v>No Discount</v>
      </c>
      <c r="J1939">
        <v>0</v>
      </c>
      <c r="K1939">
        <f t="shared" si="215"/>
        <v>9.5399999999999991</v>
      </c>
      <c r="L1939" t="str">
        <f t="shared" si="216"/>
        <v>April</v>
      </c>
      <c r="M1939">
        <f>YEAR(C1939)</f>
        <v>2024</v>
      </c>
      <c r="N1939">
        <v>40</v>
      </c>
      <c r="O1939" t="str">
        <f>IF(N1939&gt;=200,"Platinum",IF(N1939&gt;=100,"Gold",IF(N1939&gt;=50,"Silver","Regular")))</f>
        <v>Regular</v>
      </c>
      <c r="P1939" s="4" t="str">
        <f t="shared" si="211"/>
        <v>Sunday</v>
      </c>
      <c r="Q1939" s="4" t="str">
        <f t="shared" si="212"/>
        <v>Small Order</v>
      </c>
      <c r="R1939" s="4" t="str">
        <f t="shared" si="213"/>
        <v>Weekend</v>
      </c>
      <c r="S1939" s="4" t="str">
        <f t="shared" si="214"/>
        <v>Regular</v>
      </c>
    </row>
    <row r="1940" spans="1:19" x14ac:dyDescent="0.3">
      <c r="A1940">
        <v>5128</v>
      </c>
      <c r="B1940" t="s">
        <v>19</v>
      </c>
      <c r="C1940" s="1">
        <v>45707</v>
      </c>
      <c r="D1940" t="s">
        <v>1</v>
      </c>
      <c r="E1940" t="s">
        <v>37</v>
      </c>
      <c r="F1940">
        <v>2</v>
      </c>
      <c r="G1940">
        <v>4.72</v>
      </c>
      <c r="H1940">
        <v>9.44</v>
      </c>
      <c r="I1940" t="str">
        <f t="shared" si="210"/>
        <v>No Discount</v>
      </c>
      <c r="J1940">
        <v>0</v>
      </c>
      <c r="K1940">
        <f t="shared" si="215"/>
        <v>9.44</v>
      </c>
      <c r="L1940" t="str">
        <f t="shared" si="216"/>
        <v>February</v>
      </c>
      <c r="M1940">
        <f>YEAR(C1940)</f>
        <v>2025</v>
      </c>
      <c r="N1940">
        <v>355</v>
      </c>
      <c r="O1940" t="str">
        <f>IF(N1940&gt;=200,"Platinum",IF(N1940&gt;=100,"Gold",IF(N1940&gt;=50,"Silver","Regular")))</f>
        <v>Platinum</v>
      </c>
      <c r="P1940" s="4" t="str">
        <f t="shared" si="211"/>
        <v>Wednesday</v>
      </c>
      <c r="Q1940" s="4" t="str">
        <f t="shared" si="212"/>
        <v>Small Order</v>
      </c>
      <c r="R1940" s="4" t="str">
        <f t="shared" si="213"/>
        <v>Weekday</v>
      </c>
      <c r="S1940" s="4" t="str">
        <f t="shared" si="214"/>
        <v>Regular</v>
      </c>
    </row>
    <row r="1941" spans="1:19" x14ac:dyDescent="0.3">
      <c r="A1941">
        <v>7121</v>
      </c>
      <c r="B1941" t="s">
        <v>13</v>
      </c>
      <c r="C1941" s="1">
        <v>45467</v>
      </c>
      <c r="D1941" t="s">
        <v>11</v>
      </c>
      <c r="E1941" t="s">
        <v>22</v>
      </c>
      <c r="F1941">
        <v>1</v>
      </c>
      <c r="G1941">
        <v>9.31</v>
      </c>
      <c r="H1941">
        <v>9.31</v>
      </c>
      <c r="I1941" t="str">
        <f t="shared" si="210"/>
        <v>No Discount</v>
      </c>
      <c r="J1941">
        <v>0</v>
      </c>
      <c r="K1941">
        <f t="shared" si="215"/>
        <v>9.31</v>
      </c>
      <c r="L1941" t="str">
        <f t="shared" si="216"/>
        <v>June</v>
      </c>
      <c r="M1941">
        <f>YEAR(C1941)</f>
        <v>2024</v>
      </c>
      <c r="N1941">
        <v>79</v>
      </c>
      <c r="O1941" t="str">
        <f>IF(N1941&gt;=200,"Platinum",IF(N1941&gt;=100,"Gold",IF(N1941&gt;=50,"Silver","Regular")))</f>
        <v>Silver</v>
      </c>
      <c r="P1941" s="4" t="str">
        <f t="shared" si="211"/>
        <v>Monday</v>
      </c>
      <c r="Q1941" s="4" t="str">
        <f t="shared" si="212"/>
        <v>Small Order</v>
      </c>
      <c r="R1941" s="4" t="str">
        <f t="shared" si="213"/>
        <v>Weekday</v>
      </c>
      <c r="S1941" s="4" t="str">
        <f t="shared" si="214"/>
        <v>Regular</v>
      </c>
    </row>
    <row r="1942" spans="1:19" x14ac:dyDescent="0.3">
      <c r="A1942">
        <v>2988</v>
      </c>
      <c r="B1942" t="s">
        <v>31</v>
      </c>
      <c r="C1942" s="1">
        <v>45499</v>
      </c>
      <c r="D1942" t="s">
        <v>11</v>
      </c>
      <c r="E1942" t="s">
        <v>10</v>
      </c>
      <c r="F1942">
        <v>4</v>
      </c>
      <c r="G1942">
        <v>2.3199999999999998</v>
      </c>
      <c r="H1942">
        <v>9.2799999999999994</v>
      </c>
      <c r="I1942" t="str">
        <f t="shared" si="210"/>
        <v>No Discount</v>
      </c>
      <c r="J1942">
        <v>0</v>
      </c>
      <c r="K1942">
        <f t="shared" si="215"/>
        <v>9.2799999999999994</v>
      </c>
      <c r="L1942" t="str">
        <f t="shared" si="216"/>
        <v>July</v>
      </c>
      <c r="M1942">
        <f>YEAR(C1942)</f>
        <v>2024</v>
      </c>
      <c r="N1942">
        <v>442</v>
      </c>
      <c r="O1942" t="str">
        <f>IF(N1942&gt;=200,"Platinum",IF(N1942&gt;=100,"Gold",IF(N1942&gt;=50,"Silver","Regular")))</f>
        <v>Platinum</v>
      </c>
      <c r="P1942" s="4" t="str">
        <f t="shared" si="211"/>
        <v>Friday</v>
      </c>
      <c r="Q1942" s="4" t="str">
        <f t="shared" si="212"/>
        <v>Medium Order</v>
      </c>
      <c r="R1942" s="4" t="str">
        <f t="shared" si="213"/>
        <v>Weekday</v>
      </c>
      <c r="S1942" s="4" t="str">
        <f t="shared" si="214"/>
        <v>Regular</v>
      </c>
    </row>
    <row r="1943" spans="1:19" x14ac:dyDescent="0.3">
      <c r="A1943">
        <v>7703</v>
      </c>
      <c r="B1943" t="s">
        <v>19</v>
      </c>
      <c r="C1943" s="1">
        <v>45667</v>
      </c>
      <c r="D1943" t="s">
        <v>4</v>
      </c>
      <c r="E1943" t="s">
        <v>18</v>
      </c>
      <c r="F1943">
        <v>4</v>
      </c>
      <c r="G1943">
        <v>2.2799999999999998</v>
      </c>
      <c r="H1943">
        <v>9.1199999999999992</v>
      </c>
      <c r="I1943" t="str">
        <f t="shared" si="210"/>
        <v>No Discount</v>
      </c>
      <c r="J1943">
        <v>0</v>
      </c>
      <c r="K1943">
        <f t="shared" si="215"/>
        <v>9.1199999999999992</v>
      </c>
      <c r="L1943" t="str">
        <f t="shared" si="216"/>
        <v>January</v>
      </c>
      <c r="M1943">
        <f>YEAR(C1943)</f>
        <v>2025</v>
      </c>
      <c r="N1943">
        <v>311</v>
      </c>
      <c r="O1943" t="str">
        <f>IF(N1943&gt;=200,"Platinum",IF(N1943&gt;=100,"Gold",IF(N1943&gt;=50,"Silver","Regular")))</f>
        <v>Platinum</v>
      </c>
      <c r="P1943" s="4" t="str">
        <f t="shared" si="211"/>
        <v>Friday</v>
      </c>
      <c r="Q1943" s="4" t="str">
        <f t="shared" si="212"/>
        <v>Medium Order</v>
      </c>
      <c r="R1943" s="4" t="str">
        <f t="shared" si="213"/>
        <v>Weekday</v>
      </c>
      <c r="S1943" s="4" t="str">
        <f t="shared" si="214"/>
        <v>Regular</v>
      </c>
    </row>
    <row r="1944" spans="1:19" x14ac:dyDescent="0.3">
      <c r="A1944">
        <v>1901</v>
      </c>
      <c r="B1944" t="s">
        <v>25</v>
      </c>
      <c r="C1944" s="1">
        <v>45385</v>
      </c>
      <c r="D1944" t="s">
        <v>11</v>
      </c>
      <c r="E1944" t="s">
        <v>32</v>
      </c>
      <c r="F1944">
        <v>3</v>
      </c>
      <c r="G1944">
        <v>2.99</v>
      </c>
      <c r="H1944">
        <v>8.9700000000000006</v>
      </c>
      <c r="I1944" t="str">
        <f t="shared" si="210"/>
        <v>No Discount</v>
      </c>
      <c r="J1944">
        <v>0</v>
      </c>
      <c r="K1944">
        <f t="shared" si="215"/>
        <v>8.9700000000000006</v>
      </c>
      <c r="L1944" t="str">
        <f t="shared" si="216"/>
        <v>April</v>
      </c>
      <c r="M1944">
        <f>YEAR(C1944)</f>
        <v>2024</v>
      </c>
      <c r="N1944">
        <v>69</v>
      </c>
      <c r="O1944" t="str">
        <f>IF(N1944&gt;=200,"Platinum",IF(N1944&gt;=100,"Gold",IF(N1944&gt;=50,"Silver","Regular")))</f>
        <v>Silver</v>
      </c>
      <c r="P1944" s="4" t="str">
        <f t="shared" si="211"/>
        <v>Wednesday</v>
      </c>
      <c r="Q1944" s="4" t="str">
        <f t="shared" si="212"/>
        <v>Medium Order</v>
      </c>
      <c r="R1944" s="4" t="str">
        <f t="shared" si="213"/>
        <v>Weekday</v>
      </c>
      <c r="S1944" s="4" t="str">
        <f t="shared" si="214"/>
        <v>Regular</v>
      </c>
    </row>
    <row r="1945" spans="1:19" x14ac:dyDescent="0.3">
      <c r="A1945">
        <v>3267</v>
      </c>
      <c r="B1945" t="s">
        <v>19</v>
      </c>
      <c r="C1945" s="1">
        <v>45262</v>
      </c>
      <c r="D1945" t="s">
        <v>6</v>
      </c>
      <c r="E1945" t="s">
        <v>32</v>
      </c>
      <c r="F1945">
        <v>1</v>
      </c>
      <c r="G1945">
        <v>8.76</v>
      </c>
      <c r="H1945">
        <v>8.76</v>
      </c>
      <c r="I1945" t="str">
        <f t="shared" si="210"/>
        <v>No Discount</v>
      </c>
      <c r="J1945">
        <v>0</v>
      </c>
      <c r="K1945">
        <f t="shared" si="215"/>
        <v>8.76</v>
      </c>
      <c r="L1945" t="str">
        <f t="shared" si="216"/>
        <v>December</v>
      </c>
      <c r="M1945">
        <f>YEAR(C1945)</f>
        <v>2023</v>
      </c>
      <c r="N1945">
        <v>194</v>
      </c>
      <c r="O1945" t="str">
        <f>IF(N1945&gt;=200,"Platinum",IF(N1945&gt;=100,"Gold",IF(N1945&gt;=50,"Silver","Regular")))</f>
        <v>Gold</v>
      </c>
      <c r="P1945" s="4" t="str">
        <f t="shared" si="211"/>
        <v>Saturday</v>
      </c>
      <c r="Q1945" s="4" t="str">
        <f t="shared" si="212"/>
        <v>Small Order</v>
      </c>
      <c r="R1945" s="4" t="str">
        <f t="shared" si="213"/>
        <v>Weekend</v>
      </c>
      <c r="S1945" s="4" t="str">
        <f t="shared" si="214"/>
        <v>Regular</v>
      </c>
    </row>
    <row r="1946" spans="1:19" x14ac:dyDescent="0.3">
      <c r="A1946">
        <v>2622</v>
      </c>
      <c r="B1946" t="s">
        <v>3</v>
      </c>
      <c r="C1946" s="1">
        <v>45792</v>
      </c>
      <c r="D1946" t="s">
        <v>6</v>
      </c>
      <c r="E1946" t="s">
        <v>14</v>
      </c>
      <c r="F1946">
        <v>1</v>
      </c>
      <c r="G1946">
        <v>8.7100000000000009</v>
      </c>
      <c r="H1946">
        <v>8.7100000000000009</v>
      </c>
      <c r="I1946" t="str">
        <f t="shared" si="210"/>
        <v>No Discount</v>
      </c>
      <c r="J1946">
        <v>0</v>
      </c>
      <c r="K1946">
        <f t="shared" si="215"/>
        <v>8.7100000000000009</v>
      </c>
      <c r="L1946" t="str">
        <f t="shared" si="216"/>
        <v>May</v>
      </c>
      <c r="M1946">
        <f>YEAR(C1946)</f>
        <v>2025</v>
      </c>
      <c r="N1946">
        <v>220</v>
      </c>
      <c r="O1946" t="str">
        <f>IF(N1946&gt;=200,"Platinum",IF(N1946&gt;=100,"Gold",IF(N1946&gt;=50,"Silver","Regular")))</f>
        <v>Platinum</v>
      </c>
      <c r="P1946" s="4" t="str">
        <f t="shared" si="211"/>
        <v>Thursday</v>
      </c>
      <c r="Q1946" s="4" t="str">
        <f t="shared" si="212"/>
        <v>Small Order</v>
      </c>
      <c r="R1946" s="4" t="str">
        <f t="shared" si="213"/>
        <v>Weekday</v>
      </c>
      <c r="S1946" s="4" t="str">
        <f t="shared" si="214"/>
        <v>Regular</v>
      </c>
    </row>
    <row r="1947" spans="1:19" x14ac:dyDescent="0.3">
      <c r="A1947">
        <v>1132</v>
      </c>
      <c r="B1947" t="s">
        <v>13</v>
      </c>
      <c r="C1947" s="1">
        <v>45584</v>
      </c>
      <c r="D1947" t="s">
        <v>27</v>
      </c>
      <c r="E1947" t="s">
        <v>32</v>
      </c>
      <c r="F1947">
        <v>1</v>
      </c>
      <c r="G1947">
        <v>8.6</v>
      </c>
      <c r="H1947">
        <v>8.6</v>
      </c>
      <c r="I1947" t="str">
        <f t="shared" si="210"/>
        <v>No Discount</v>
      </c>
      <c r="J1947">
        <v>0</v>
      </c>
      <c r="K1947">
        <f t="shared" si="215"/>
        <v>8.6</v>
      </c>
      <c r="L1947" t="str">
        <f t="shared" si="216"/>
        <v>October</v>
      </c>
      <c r="M1947">
        <f>YEAR(C1947)</f>
        <v>2024</v>
      </c>
      <c r="N1947">
        <v>79</v>
      </c>
      <c r="O1947" t="str">
        <f>IF(N1947&gt;=200,"Platinum",IF(N1947&gt;=100,"Gold",IF(N1947&gt;=50,"Silver","Regular")))</f>
        <v>Silver</v>
      </c>
      <c r="P1947" s="4" t="str">
        <f t="shared" si="211"/>
        <v>Saturday</v>
      </c>
      <c r="Q1947" s="4" t="str">
        <f t="shared" si="212"/>
        <v>Small Order</v>
      </c>
      <c r="R1947" s="4" t="str">
        <f t="shared" si="213"/>
        <v>Weekend</v>
      </c>
      <c r="S1947" s="4" t="str">
        <f t="shared" si="214"/>
        <v>Regular</v>
      </c>
    </row>
    <row r="1948" spans="1:19" x14ac:dyDescent="0.3">
      <c r="A1948">
        <v>4361</v>
      </c>
      <c r="B1948" t="s">
        <v>3</v>
      </c>
      <c r="C1948" s="1">
        <v>45556</v>
      </c>
      <c r="D1948" t="s">
        <v>9</v>
      </c>
      <c r="E1948" t="s">
        <v>33</v>
      </c>
      <c r="F1948">
        <v>2</v>
      </c>
      <c r="G1948">
        <v>4.26</v>
      </c>
      <c r="H1948">
        <v>8.52</v>
      </c>
      <c r="I1948" t="str">
        <f t="shared" si="210"/>
        <v>No Discount</v>
      </c>
      <c r="J1948">
        <v>0</v>
      </c>
      <c r="K1948">
        <f t="shared" si="215"/>
        <v>8.52</v>
      </c>
      <c r="L1948" t="str">
        <f t="shared" si="216"/>
        <v>September</v>
      </c>
      <c r="M1948">
        <f>YEAR(C1948)</f>
        <v>2024</v>
      </c>
      <c r="N1948">
        <v>198</v>
      </c>
      <c r="O1948" t="str">
        <f>IF(N1948&gt;=200,"Platinum",IF(N1948&gt;=100,"Gold",IF(N1948&gt;=50,"Silver","Regular")))</f>
        <v>Gold</v>
      </c>
      <c r="P1948" s="4" t="str">
        <f t="shared" si="211"/>
        <v>Saturday</v>
      </c>
      <c r="Q1948" s="4" t="str">
        <f t="shared" si="212"/>
        <v>Small Order</v>
      </c>
      <c r="R1948" s="4" t="str">
        <f t="shared" si="213"/>
        <v>Weekend</v>
      </c>
      <c r="S1948" s="4" t="str">
        <f t="shared" si="214"/>
        <v>Regular</v>
      </c>
    </row>
    <row r="1949" spans="1:19" x14ac:dyDescent="0.3">
      <c r="A1949">
        <v>6658</v>
      </c>
      <c r="B1949" t="s">
        <v>49</v>
      </c>
      <c r="C1949" s="1">
        <v>45454</v>
      </c>
      <c r="D1949" t="s">
        <v>9</v>
      </c>
      <c r="E1949" t="s">
        <v>33</v>
      </c>
      <c r="F1949">
        <v>4</v>
      </c>
      <c r="G1949">
        <v>2.09</v>
      </c>
      <c r="H1949">
        <v>8.36</v>
      </c>
      <c r="I1949" t="str">
        <f t="shared" si="210"/>
        <v>No Discount</v>
      </c>
      <c r="J1949">
        <v>0</v>
      </c>
      <c r="K1949">
        <f t="shared" si="215"/>
        <v>8.36</v>
      </c>
      <c r="L1949" t="str">
        <f t="shared" si="216"/>
        <v>June</v>
      </c>
      <c r="M1949">
        <f>YEAR(C1949)</f>
        <v>2024</v>
      </c>
      <c r="N1949">
        <v>128</v>
      </c>
      <c r="O1949" t="str">
        <f>IF(N1949&gt;=200,"Platinum",IF(N1949&gt;=100,"Gold",IF(N1949&gt;=50,"Silver","Regular")))</f>
        <v>Gold</v>
      </c>
      <c r="P1949" s="4" t="str">
        <f t="shared" si="211"/>
        <v>Tuesday</v>
      </c>
      <c r="Q1949" s="4" t="str">
        <f t="shared" si="212"/>
        <v>Medium Order</v>
      </c>
      <c r="R1949" s="4" t="str">
        <f t="shared" si="213"/>
        <v>Weekday</v>
      </c>
      <c r="S1949" s="4" t="str">
        <f t="shared" si="214"/>
        <v>Regular</v>
      </c>
    </row>
    <row r="1950" spans="1:19" x14ac:dyDescent="0.3">
      <c r="A1950">
        <v>8511</v>
      </c>
      <c r="B1950" t="s">
        <v>3</v>
      </c>
      <c r="C1950" s="1">
        <v>45638</v>
      </c>
      <c r="D1950" t="s">
        <v>23</v>
      </c>
      <c r="E1950" t="s">
        <v>12</v>
      </c>
      <c r="F1950">
        <v>2</v>
      </c>
      <c r="G1950">
        <v>3.89</v>
      </c>
      <c r="H1950">
        <v>7.78</v>
      </c>
      <c r="I1950" t="str">
        <f t="shared" si="210"/>
        <v>No Discount</v>
      </c>
      <c r="J1950">
        <v>0</v>
      </c>
      <c r="K1950">
        <f t="shared" si="215"/>
        <v>7.78</v>
      </c>
      <c r="L1950" t="str">
        <f t="shared" si="216"/>
        <v>December</v>
      </c>
      <c r="M1950">
        <f>YEAR(C1950)</f>
        <v>2024</v>
      </c>
      <c r="N1950">
        <v>84</v>
      </c>
      <c r="O1950" t="str">
        <f>IF(N1950&gt;=200,"Platinum",IF(N1950&gt;=100,"Gold",IF(N1950&gt;=50,"Silver","Regular")))</f>
        <v>Silver</v>
      </c>
      <c r="P1950" s="4" t="str">
        <f t="shared" si="211"/>
        <v>Thursday</v>
      </c>
      <c r="Q1950" s="4" t="str">
        <f t="shared" si="212"/>
        <v>Small Order</v>
      </c>
      <c r="R1950" s="4" t="str">
        <f t="shared" si="213"/>
        <v>Weekday</v>
      </c>
      <c r="S1950" s="4" t="str">
        <f t="shared" si="214"/>
        <v>Regular</v>
      </c>
    </row>
    <row r="1951" spans="1:19" x14ac:dyDescent="0.3">
      <c r="A1951">
        <v>3948</v>
      </c>
      <c r="B1951" t="s">
        <v>15</v>
      </c>
      <c r="C1951" s="1">
        <v>45742</v>
      </c>
      <c r="D1951" t="s">
        <v>16</v>
      </c>
      <c r="E1951" t="s">
        <v>37</v>
      </c>
      <c r="F1951">
        <v>1</v>
      </c>
      <c r="G1951">
        <v>7.33</v>
      </c>
      <c r="H1951">
        <v>7.33</v>
      </c>
      <c r="I1951" t="str">
        <f t="shared" si="210"/>
        <v>No Discount</v>
      </c>
      <c r="J1951">
        <v>0</v>
      </c>
      <c r="K1951">
        <f t="shared" si="215"/>
        <v>7.33</v>
      </c>
      <c r="L1951" t="str">
        <f t="shared" si="216"/>
        <v>March</v>
      </c>
      <c r="M1951">
        <f>YEAR(C1951)</f>
        <v>2025</v>
      </c>
      <c r="N1951">
        <v>96</v>
      </c>
      <c r="O1951" t="str">
        <f>IF(N1951&gt;=200,"Platinum",IF(N1951&gt;=100,"Gold",IF(N1951&gt;=50,"Silver","Regular")))</f>
        <v>Silver</v>
      </c>
      <c r="P1951" s="4" t="str">
        <f t="shared" si="211"/>
        <v>Wednesday</v>
      </c>
      <c r="Q1951" s="4" t="str">
        <f t="shared" si="212"/>
        <v>Small Order</v>
      </c>
      <c r="R1951" s="4" t="str">
        <f t="shared" si="213"/>
        <v>Weekday</v>
      </c>
      <c r="S1951" s="4" t="str">
        <f t="shared" si="214"/>
        <v>Regular</v>
      </c>
    </row>
    <row r="1952" spans="1:19" x14ac:dyDescent="0.3">
      <c r="A1952">
        <v>9047</v>
      </c>
      <c r="B1952" t="s">
        <v>20</v>
      </c>
      <c r="C1952" s="1">
        <v>45300</v>
      </c>
      <c r="D1952" t="s">
        <v>24</v>
      </c>
      <c r="E1952" t="s">
        <v>12</v>
      </c>
      <c r="F1952">
        <v>2</v>
      </c>
      <c r="G1952">
        <v>3.6</v>
      </c>
      <c r="H1952">
        <v>7.2</v>
      </c>
      <c r="I1952" t="str">
        <f t="shared" si="210"/>
        <v>No Discount</v>
      </c>
      <c r="J1952">
        <v>0</v>
      </c>
      <c r="K1952">
        <f t="shared" si="215"/>
        <v>7.2</v>
      </c>
      <c r="L1952" t="str">
        <f t="shared" si="216"/>
        <v>January</v>
      </c>
      <c r="M1952">
        <f>YEAR(C1952)</f>
        <v>2024</v>
      </c>
      <c r="N1952">
        <v>314</v>
      </c>
      <c r="O1952" t="str">
        <f>IF(N1952&gt;=200,"Platinum",IF(N1952&gt;=100,"Gold",IF(N1952&gt;=50,"Silver","Regular")))</f>
        <v>Platinum</v>
      </c>
      <c r="P1952" s="4" t="str">
        <f t="shared" si="211"/>
        <v>Tuesday</v>
      </c>
      <c r="Q1952" s="4" t="str">
        <f t="shared" si="212"/>
        <v>Small Order</v>
      </c>
      <c r="R1952" s="4" t="str">
        <f t="shared" si="213"/>
        <v>Weekday</v>
      </c>
      <c r="S1952" s="4" t="str">
        <f t="shared" si="214"/>
        <v>Regular</v>
      </c>
    </row>
    <row r="1953" spans="1:19" x14ac:dyDescent="0.3">
      <c r="A1953">
        <v>6447</v>
      </c>
      <c r="B1953" t="s">
        <v>0</v>
      </c>
      <c r="C1953" s="1">
        <v>45248</v>
      </c>
      <c r="D1953" t="s">
        <v>1</v>
      </c>
      <c r="E1953" t="s">
        <v>33</v>
      </c>
      <c r="F1953">
        <v>1</v>
      </c>
      <c r="G1953">
        <v>7.06</v>
      </c>
      <c r="H1953">
        <v>7.06</v>
      </c>
      <c r="I1953" t="str">
        <f t="shared" si="210"/>
        <v>No Discount</v>
      </c>
      <c r="J1953">
        <v>0</v>
      </c>
      <c r="K1953">
        <f t="shared" si="215"/>
        <v>7.06</v>
      </c>
      <c r="L1953" t="str">
        <f t="shared" si="216"/>
        <v>November</v>
      </c>
      <c r="M1953">
        <f>YEAR(C1953)</f>
        <v>2023</v>
      </c>
      <c r="N1953">
        <v>332</v>
      </c>
      <c r="O1953" t="str">
        <f>IF(N1953&gt;=200,"Platinum",IF(N1953&gt;=100,"Gold",IF(N1953&gt;=50,"Silver","Regular")))</f>
        <v>Platinum</v>
      </c>
      <c r="P1953" s="4" t="str">
        <f t="shared" si="211"/>
        <v>Saturday</v>
      </c>
      <c r="Q1953" s="4" t="str">
        <f t="shared" si="212"/>
        <v>Small Order</v>
      </c>
      <c r="R1953" s="4" t="str">
        <f t="shared" si="213"/>
        <v>Weekend</v>
      </c>
      <c r="S1953" s="4" t="str">
        <f t="shared" si="214"/>
        <v>Regular</v>
      </c>
    </row>
    <row r="1954" spans="1:19" x14ac:dyDescent="0.3">
      <c r="A1954">
        <v>2133</v>
      </c>
      <c r="B1954" t="s">
        <v>13</v>
      </c>
      <c r="C1954" s="1">
        <v>45781</v>
      </c>
      <c r="D1954" t="s">
        <v>9</v>
      </c>
      <c r="E1954" t="s">
        <v>29</v>
      </c>
      <c r="F1954">
        <v>1</v>
      </c>
      <c r="G1954">
        <v>6.59</v>
      </c>
      <c r="H1954">
        <v>6.59</v>
      </c>
      <c r="I1954" t="str">
        <f t="shared" si="210"/>
        <v>No Discount</v>
      </c>
      <c r="J1954">
        <v>0</v>
      </c>
      <c r="K1954">
        <f t="shared" si="215"/>
        <v>6.59</v>
      </c>
      <c r="L1954" t="str">
        <f t="shared" si="216"/>
        <v>May</v>
      </c>
      <c r="M1954">
        <f>YEAR(C1954)</f>
        <v>2025</v>
      </c>
      <c r="N1954">
        <v>389</v>
      </c>
      <c r="O1954" t="str">
        <f>IF(N1954&gt;=200,"Platinum",IF(N1954&gt;=100,"Gold",IF(N1954&gt;=50,"Silver","Regular")))</f>
        <v>Platinum</v>
      </c>
      <c r="P1954" s="4" t="str">
        <f t="shared" si="211"/>
        <v>Sunday</v>
      </c>
      <c r="Q1954" s="4" t="str">
        <f t="shared" si="212"/>
        <v>Small Order</v>
      </c>
      <c r="R1954" s="4" t="str">
        <f t="shared" si="213"/>
        <v>Weekend</v>
      </c>
      <c r="S1954" s="4" t="str">
        <f t="shared" si="214"/>
        <v>Regular</v>
      </c>
    </row>
    <row r="1955" spans="1:19" x14ac:dyDescent="0.3">
      <c r="A1955">
        <v>6411</v>
      </c>
      <c r="B1955" t="s">
        <v>31</v>
      </c>
      <c r="C1955" s="1">
        <v>45702</v>
      </c>
      <c r="D1955" t="s">
        <v>4</v>
      </c>
      <c r="E1955" t="s">
        <v>33</v>
      </c>
      <c r="F1955">
        <v>3</v>
      </c>
      <c r="G1955">
        <v>2.16</v>
      </c>
      <c r="H1955">
        <v>6.48</v>
      </c>
      <c r="I1955" t="str">
        <f t="shared" si="210"/>
        <v>No Discount</v>
      </c>
      <c r="J1955">
        <v>0</v>
      </c>
      <c r="K1955">
        <f t="shared" si="215"/>
        <v>6.48</v>
      </c>
      <c r="L1955" t="str">
        <f t="shared" si="216"/>
        <v>February</v>
      </c>
      <c r="M1955">
        <f>YEAR(C1955)</f>
        <v>2025</v>
      </c>
      <c r="N1955">
        <v>202</v>
      </c>
      <c r="O1955" t="str">
        <f>IF(N1955&gt;=200,"Platinum",IF(N1955&gt;=100,"Gold",IF(N1955&gt;=50,"Silver","Regular")))</f>
        <v>Platinum</v>
      </c>
      <c r="P1955" s="4" t="str">
        <f t="shared" si="211"/>
        <v>Friday</v>
      </c>
      <c r="Q1955" s="4" t="str">
        <f t="shared" si="212"/>
        <v>Medium Order</v>
      </c>
      <c r="R1955" s="4" t="str">
        <f t="shared" si="213"/>
        <v>Weekday</v>
      </c>
      <c r="S1955" s="4" t="str">
        <f t="shared" si="214"/>
        <v>Regular</v>
      </c>
    </row>
    <row r="1956" spans="1:19" x14ac:dyDescent="0.3">
      <c r="A1956">
        <v>3880</v>
      </c>
      <c r="B1956" t="s">
        <v>13</v>
      </c>
      <c r="C1956" s="1">
        <v>45870</v>
      </c>
      <c r="D1956" t="s">
        <v>6</v>
      </c>
      <c r="E1956" t="s">
        <v>10</v>
      </c>
      <c r="F1956">
        <v>1</v>
      </c>
      <c r="G1956">
        <v>6.26</v>
      </c>
      <c r="H1956">
        <v>6.26</v>
      </c>
      <c r="I1956" t="str">
        <f t="shared" si="210"/>
        <v>No Discount</v>
      </c>
      <c r="J1956">
        <v>0</v>
      </c>
      <c r="K1956">
        <f t="shared" si="215"/>
        <v>6.26</v>
      </c>
      <c r="L1956" t="str">
        <f t="shared" si="216"/>
        <v>August</v>
      </c>
      <c r="M1956">
        <f>YEAR(C1956)</f>
        <v>2025</v>
      </c>
      <c r="N1956">
        <v>0</v>
      </c>
      <c r="O1956" t="str">
        <f>IF(N1956&gt;=200,"Platinum",IF(N1956&gt;=100,"Gold",IF(N1956&gt;=50,"Silver","Regular")))</f>
        <v>Regular</v>
      </c>
      <c r="P1956" s="4" t="str">
        <f t="shared" si="211"/>
        <v>Friday</v>
      </c>
      <c r="Q1956" s="4" t="str">
        <f t="shared" si="212"/>
        <v>Small Order</v>
      </c>
      <c r="R1956" s="4" t="str">
        <f t="shared" si="213"/>
        <v>Weekday</v>
      </c>
      <c r="S1956" s="4" t="str">
        <f t="shared" si="214"/>
        <v>Regular</v>
      </c>
    </row>
    <row r="1957" spans="1:19" x14ac:dyDescent="0.3">
      <c r="A1957">
        <v>5890</v>
      </c>
      <c r="B1957" t="s">
        <v>49</v>
      </c>
      <c r="C1957" s="1">
        <v>45319</v>
      </c>
      <c r="D1957" t="s">
        <v>23</v>
      </c>
      <c r="E1957" t="s">
        <v>7</v>
      </c>
      <c r="F1957">
        <v>2</v>
      </c>
      <c r="G1957">
        <v>3.04</v>
      </c>
      <c r="H1957">
        <v>6.08</v>
      </c>
      <c r="I1957" t="str">
        <f t="shared" si="210"/>
        <v>No Discount</v>
      </c>
      <c r="J1957">
        <v>0</v>
      </c>
      <c r="K1957">
        <f t="shared" si="215"/>
        <v>6.08</v>
      </c>
      <c r="L1957" t="str">
        <f t="shared" si="216"/>
        <v>January</v>
      </c>
      <c r="M1957">
        <f>YEAR(C1957)</f>
        <v>2024</v>
      </c>
      <c r="N1957">
        <v>375</v>
      </c>
      <c r="O1957" t="str">
        <f>IF(N1957&gt;=200,"Platinum",IF(N1957&gt;=100,"Gold",IF(N1957&gt;=50,"Silver","Regular")))</f>
        <v>Platinum</v>
      </c>
      <c r="P1957" s="4" t="str">
        <f t="shared" si="211"/>
        <v>Sunday</v>
      </c>
      <c r="Q1957" s="4" t="str">
        <f t="shared" si="212"/>
        <v>Small Order</v>
      </c>
      <c r="R1957" s="4" t="str">
        <f t="shared" si="213"/>
        <v>Weekend</v>
      </c>
      <c r="S1957" s="4" t="str">
        <f t="shared" si="214"/>
        <v>Regular</v>
      </c>
    </row>
    <row r="1958" spans="1:19" x14ac:dyDescent="0.3">
      <c r="A1958">
        <v>3293</v>
      </c>
      <c r="B1958" t="s">
        <v>3</v>
      </c>
      <c r="C1958" s="1">
        <v>45704</v>
      </c>
      <c r="D1958" t="s">
        <v>9</v>
      </c>
      <c r="E1958" t="s">
        <v>35</v>
      </c>
      <c r="F1958">
        <v>1</v>
      </c>
      <c r="G1958">
        <v>6.05</v>
      </c>
      <c r="H1958">
        <v>6.05</v>
      </c>
      <c r="I1958" t="str">
        <f t="shared" si="210"/>
        <v>No Discount</v>
      </c>
      <c r="J1958">
        <v>0</v>
      </c>
      <c r="K1958">
        <f t="shared" si="215"/>
        <v>6.05</v>
      </c>
      <c r="L1958" t="str">
        <f t="shared" si="216"/>
        <v>February</v>
      </c>
      <c r="M1958">
        <f>YEAR(C1958)</f>
        <v>2025</v>
      </c>
      <c r="N1958">
        <v>77</v>
      </c>
      <c r="O1958" t="str">
        <f>IF(N1958&gt;=200,"Platinum",IF(N1958&gt;=100,"Gold",IF(N1958&gt;=50,"Silver","Regular")))</f>
        <v>Silver</v>
      </c>
      <c r="P1958" s="4" t="str">
        <f t="shared" si="211"/>
        <v>Sunday</v>
      </c>
      <c r="Q1958" s="4" t="str">
        <f t="shared" si="212"/>
        <v>Small Order</v>
      </c>
      <c r="R1958" s="4" t="str">
        <f t="shared" si="213"/>
        <v>Weekend</v>
      </c>
      <c r="S1958" s="4" t="str">
        <f t="shared" si="214"/>
        <v>Regular</v>
      </c>
    </row>
    <row r="1959" spans="1:19" x14ac:dyDescent="0.3">
      <c r="A1959">
        <v>7930</v>
      </c>
      <c r="B1959" t="s">
        <v>31</v>
      </c>
      <c r="C1959" s="1">
        <v>45686</v>
      </c>
      <c r="D1959" t="s">
        <v>17</v>
      </c>
      <c r="E1959" t="s">
        <v>10</v>
      </c>
      <c r="F1959">
        <v>1</v>
      </c>
      <c r="G1959">
        <v>6.04</v>
      </c>
      <c r="H1959">
        <v>6.04</v>
      </c>
      <c r="I1959" t="str">
        <f t="shared" si="210"/>
        <v>No Discount</v>
      </c>
      <c r="J1959">
        <v>0</v>
      </c>
      <c r="K1959">
        <f t="shared" si="215"/>
        <v>6.04</v>
      </c>
      <c r="L1959" t="str">
        <f t="shared" si="216"/>
        <v>January</v>
      </c>
      <c r="M1959">
        <f>YEAR(C1959)</f>
        <v>2025</v>
      </c>
      <c r="N1959">
        <v>26</v>
      </c>
      <c r="O1959" t="str">
        <f>IF(N1959&gt;=200,"Platinum",IF(N1959&gt;=100,"Gold",IF(N1959&gt;=50,"Silver","Regular")))</f>
        <v>Regular</v>
      </c>
      <c r="P1959" s="4" t="str">
        <f t="shared" si="211"/>
        <v>Wednesday</v>
      </c>
      <c r="Q1959" s="4" t="str">
        <f t="shared" si="212"/>
        <v>Small Order</v>
      </c>
      <c r="R1959" s="4" t="str">
        <f t="shared" si="213"/>
        <v>Weekday</v>
      </c>
      <c r="S1959" s="4" t="str">
        <f t="shared" si="214"/>
        <v>Regular</v>
      </c>
    </row>
    <row r="1960" spans="1:19" x14ac:dyDescent="0.3">
      <c r="A1960">
        <v>5794</v>
      </c>
      <c r="B1960" t="s">
        <v>0</v>
      </c>
      <c r="C1960" s="1">
        <v>45369</v>
      </c>
      <c r="D1960" t="s">
        <v>16</v>
      </c>
      <c r="E1960" t="s">
        <v>21</v>
      </c>
      <c r="F1960">
        <v>4</v>
      </c>
      <c r="G1960">
        <v>1.45</v>
      </c>
      <c r="H1960">
        <v>5.8</v>
      </c>
      <c r="I1960" t="str">
        <f t="shared" si="210"/>
        <v>No Discount</v>
      </c>
      <c r="J1960">
        <v>0</v>
      </c>
      <c r="K1960">
        <f t="shared" si="215"/>
        <v>5.8</v>
      </c>
      <c r="L1960" t="str">
        <f t="shared" si="216"/>
        <v>March</v>
      </c>
      <c r="M1960">
        <f>YEAR(C1960)</f>
        <v>2024</v>
      </c>
      <c r="N1960">
        <v>493</v>
      </c>
      <c r="O1960" t="str">
        <f>IF(N1960&gt;=200,"Platinum",IF(N1960&gt;=100,"Gold",IF(N1960&gt;=50,"Silver","Regular")))</f>
        <v>Platinum</v>
      </c>
      <c r="P1960" s="4" t="str">
        <f t="shared" si="211"/>
        <v>Monday</v>
      </c>
      <c r="Q1960" s="4" t="str">
        <f t="shared" si="212"/>
        <v>Medium Order</v>
      </c>
      <c r="R1960" s="4" t="str">
        <f t="shared" si="213"/>
        <v>Weekday</v>
      </c>
      <c r="S1960" s="4" t="str">
        <f t="shared" si="214"/>
        <v>Regular</v>
      </c>
    </row>
    <row r="1961" spans="1:19" x14ac:dyDescent="0.3">
      <c r="A1961">
        <v>3165</v>
      </c>
      <c r="B1961" t="s">
        <v>20</v>
      </c>
      <c r="C1961" s="1">
        <v>45516</v>
      </c>
      <c r="D1961" t="s">
        <v>11</v>
      </c>
      <c r="E1961" t="s">
        <v>36</v>
      </c>
      <c r="F1961">
        <v>2</v>
      </c>
      <c r="G1961">
        <v>2.84</v>
      </c>
      <c r="H1961">
        <v>5.68</v>
      </c>
      <c r="I1961" t="str">
        <f t="shared" si="210"/>
        <v>No Discount</v>
      </c>
      <c r="J1961">
        <v>0</v>
      </c>
      <c r="K1961">
        <f t="shared" si="215"/>
        <v>5.68</v>
      </c>
      <c r="L1961" t="str">
        <f t="shared" si="216"/>
        <v>August</v>
      </c>
      <c r="M1961">
        <f>YEAR(C1961)</f>
        <v>2024</v>
      </c>
      <c r="N1961">
        <v>181</v>
      </c>
      <c r="O1961" t="str">
        <f>IF(N1961&gt;=200,"Platinum",IF(N1961&gt;=100,"Gold",IF(N1961&gt;=50,"Silver","Regular")))</f>
        <v>Gold</v>
      </c>
      <c r="P1961" s="4" t="str">
        <f t="shared" si="211"/>
        <v>Monday</v>
      </c>
      <c r="Q1961" s="4" t="str">
        <f t="shared" si="212"/>
        <v>Small Order</v>
      </c>
      <c r="R1961" s="4" t="str">
        <f t="shared" si="213"/>
        <v>Weekday</v>
      </c>
      <c r="S1961" s="4" t="str">
        <f t="shared" si="214"/>
        <v>Regular</v>
      </c>
    </row>
    <row r="1962" spans="1:19" x14ac:dyDescent="0.3">
      <c r="A1962">
        <v>4570</v>
      </c>
      <c r="B1962" t="s">
        <v>25</v>
      </c>
      <c r="C1962" s="1">
        <v>45594</v>
      </c>
      <c r="D1962" t="s">
        <v>9</v>
      </c>
      <c r="E1962" t="s">
        <v>36</v>
      </c>
      <c r="F1962">
        <v>2</v>
      </c>
      <c r="G1962">
        <v>2.56</v>
      </c>
      <c r="H1962">
        <v>5.12</v>
      </c>
      <c r="I1962" t="str">
        <f t="shared" si="210"/>
        <v>No Discount</v>
      </c>
      <c r="J1962">
        <v>0</v>
      </c>
      <c r="K1962">
        <f t="shared" si="215"/>
        <v>5.12</v>
      </c>
      <c r="L1962" t="str">
        <f t="shared" si="216"/>
        <v>October</v>
      </c>
      <c r="M1962">
        <f>YEAR(C1962)</f>
        <v>2024</v>
      </c>
      <c r="N1962">
        <v>444</v>
      </c>
      <c r="O1962" t="str">
        <f>IF(N1962&gt;=200,"Platinum",IF(N1962&gt;=100,"Gold",IF(N1962&gt;=50,"Silver","Regular")))</f>
        <v>Platinum</v>
      </c>
      <c r="P1962" s="4" t="str">
        <f t="shared" si="211"/>
        <v>Tuesday</v>
      </c>
      <c r="Q1962" s="4" t="str">
        <f t="shared" si="212"/>
        <v>Small Order</v>
      </c>
      <c r="R1962" s="4" t="str">
        <f t="shared" si="213"/>
        <v>Weekday</v>
      </c>
      <c r="S1962" s="4" t="str">
        <f t="shared" si="214"/>
        <v>Regular</v>
      </c>
    </row>
    <row r="1963" spans="1:19" x14ac:dyDescent="0.3">
      <c r="A1963">
        <v>9083</v>
      </c>
      <c r="B1963" t="s">
        <v>8</v>
      </c>
      <c r="C1963" s="1">
        <v>45745</v>
      </c>
      <c r="D1963" t="s">
        <v>34</v>
      </c>
      <c r="E1963" t="s">
        <v>32</v>
      </c>
      <c r="F1963">
        <v>1</v>
      </c>
      <c r="G1963">
        <v>5.05</v>
      </c>
      <c r="H1963">
        <v>5.05</v>
      </c>
      <c r="I1963" t="str">
        <f t="shared" si="210"/>
        <v>No Discount</v>
      </c>
      <c r="J1963">
        <v>0</v>
      </c>
      <c r="K1963">
        <f t="shared" si="215"/>
        <v>5.05</v>
      </c>
      <c r="L1963" t="str">
        <f t="shared" si="216"/>
        <v>March</v>
      </c>
      <c r="M1963">
        <f>YEAR(C1963)</f>
        <v>2025</v>
      </c>
      <c r="N1963">
        <v>52</v>
      </c>
      <c r="O1963" t="str">
        <f>IF(N1963&gt;=200,"Platinum",IF(N1963&gt;=100,"Gold",IF(N1963&gt;=50,"Silver","Regular")))</f>
        <v>Silver</v>
      </c>
      <c r="P1963" s="4" t="str">
        <f t="shared" si="211"/>
        <v>Saturday</v>
      </c>
      <c r="Q1963" s="4" t="str">
        <f t="shared" si="212"/>
        <v>Small Order</v>
      </c>
      <c r="R1963" s="4" t="str">
        <f t="shared" si="213"/>
        <v>Weekend</v>
      </c>
      <c r="S1963" s="4" t="str">
        <f t="shared" si="214"/>
        <v>Regular</v>
      </c>
    </row>
    <row r="1964" spans="1:19" x14ac:dyDescent="0.3">
      <c r="A1964">
        <v>2876</v>
      </c>
      <c r="B1964" t="s">
        <v>19</v>
      </c>
      <c r="C1964" s="1">
        <v>45749</v>
      </c>
      <c r="D1964" t="s">
        <v>4</v>
      </c>
      <c r="E1964" t="s">
        <v>12</v>
      </c>
      <c r="F1964">
        <v>2</v>
      </c>
      <c r="G1964">
        <v>2.4900000000000002</v>
      </c>
      <c r="H1964">
        <v>4.9800000000000004</v>
      </c>
      <c r="I1964" t="str">
        <f t="shared" si="210"/>
        <v>No Discount</v>
      </c>
      <c r="J1964">
        <v>0</v>
      </c>
      <c r="K1964">
        <f t="shared" si="215"/>
        <v>4.9800000000000004</v>
      </c>
      <c r="L1964" t="str">
        <f t="shared" si="216"/>
        <v>April</v>
      </c>
      <c r="M1964">
        <f>YEAR(C1964)</f>
        <v>2025</v>
      </c>
      <c r="N1964">
        <v>320</v>
      </c>
      <c r="O1964" t="str">
        <f>IF(N1964&gt;=200,"Platinum",IF(N1964&gt;=100,"Gold",IF(N1964&gt;=50,"Silver","Regular")))</f>
        <v>Platinum</v>
      </c>
      <c r="P1964" s="4" t="str">
        <f t="shared" si="211"/>
        <v>Wednesday</v>
      </c>
      <c r="Q1964" s="4" t="str">
        <f t="shared" si="212"/>
        <v>Small Order</v>
      </c>
      <c r="R1964" s="4" t="str">
        <f t="shared" si="213"/>
        <v>Weekday</v>
      </c>
      <c r="S1964" s="4" t="str">
        <f t="shared" si="214"/>
        <v>Regular</v>
      </c>
    </row>
    <row r="1965" spans="1:19" x14ac:dyDescent="0.3">
      <c r="A1965">
        <v>5920</v>
      </c>
      <c r="B1965" t="s">
        <v>0</v>
      </c>
      <c r="C1965" s="1">
        <v>45538</v>
      </c>
      <c r="D1965" t="s">
        <v>17</v>
      </c>
      <c r="E1965" t="s">
        <v>14</v>
      </c>
      <c r="F1965">
        <v>2</v>
      </c>
      <c r="G1965">
        <v>2.46</v>
      </c>
      <c r="H1965">
        <v>4.92</v>
      </c>
      <c r="I1965" t="str">
        <f t="shared" si="210"/>
        <v>No Discount</v>
      </c>
      <c r="J1965">
        <v>0</v>
      </c>
      <c r="K1965">
        <f t="shared" si="215"/>
        <v>4.92</v>
      </c>
      <c r="L1965" t="str">
        <f t="shared" si="216"/>
        <v>September</v>
      </c>
      <c r="M1965">
        <f>YEAR(C1965)</f>
        <v>2024</v>
      </c>
      <c r="N1965">
        <v>463</v>
      </c>
      <c r="O1965" t="str">
        <f>IF(N1965&gt;=200,"Platinum",IF(N1965&gt;=100,"Gold",IF(N1965&gt;=50,"Silver","Regular")))</f>
        <v>Platinum</v>
      </c>
      <c r="P1965" s="4" t="str">
        <f t="shared" si="211"/>
        <v>Tuesday</v>
      </c>
      <c r="Q1965" s="4" t="str">
        <f t="shared" si="212"/>
        <v>Small Order</v>
      </c>
      <c r="R1965" s="4" t="str">
        <f t="shared" si="213"/>
        <v>Weekday</v>
      </c>
      <c r="S1965" s="4" t="str">
        <f t="shared" si="214"/>
        <v>Regular</v>
      </c>
    </row>
    <row r="1966" spans="1:19" x14ac:dyDescent="0.3">
      <c r="A1966">
        <v>9543</v>
      </c>
      <c r="B1966" t="s">
        <v>3</v>
      </c>
      <c r="C1966" s="1">
        <v>45379</v>
      </c>
      <c r="D1966" t="s">
        <v>24</v>
      </c>
      <c r="E1966" t="s">
        <v>7</v>
      </c>
      <c r="F1966">
        <v>2</v>
      </c>
      <c r="G1966">
        <v>2.41</v>
      </c>
      <c r="H1966">
        <v>4.82</v>
      </c>
      <c r="I1966" t="str">
        <f t="shared" si="210"/>
        <v>No Discount</v>
      </c>
      <c r="J1966">
        <v>0</v>
      </c>
      <c r="K1966">
        <f t="shared" si="215"/>
        <v>4.82</v>
      </c>
      <c r="L1966" t="str">
        <f t="shared" si="216"/>
        <v>March</v>
      </c>
      <c r="M1966">
        <f>YEAR(C1966)</f>
        <v>2024</v>
      </c>
      <c r="N1966">
        <v>75</v>
      </c>
      <c r="O1966" t="str">
        <f>IF(N1966&gt;=200,"Platinum",IF(N1966&gt;=100,"Gold",IF(N1966&gt;=50,"Silver","Regular")))</f>
        <v>Silver</v>
      </c>
      <c r="P1966" s="4" t="str">
        <f t="shared" si="211"/>
        <v>Thursday</v>
      </c>
      <c r="Q1966" s="4" t="str">
        <f t="shared" si="212"/>
        <v>Small Order</v>
      </c>
      <c r="R1966" s="4" t="str">
        <f t="shared" si="213"/>
        <v>Weekday</v>
      </c>
      <c r="S1966" s="4" t="str">
        <f t="shared" si="214"/>
        <v>Regular</v>
      </c>
    </row>
    <row r="1967" spans="1:19" x14ac:dyDescent="0.3">
      <c r="A1967">
        <v>7229</v>
      </c>
      <c r="B1967" t="s">
        <v>31</v>
      </c>
      <c r="C1967" s="1">
        <v>45259</v>
      </c>
      <c r="D1967" t="s">
        <v>27</v>
      </c>
      <c r="E1967" t="s">
        <v>21</v>
      </c>
      <c r="F1967">
        <v>1</v>
      </c>
      <c r="G1967">
        <v>4.79</v>
      </c>
      <c r="H1967">
        <v>4.79</v>
      </c>
      <c r="I1967" t="str">
        <f t="shared" si="210"/>
        <v>No Discount</v>
      </c>
      <c r="J1967">
        <v>0</v>
      </c>
      <c r="K1967">
        <f t="shared" si="215"/>
        <v>4.79</v>
      </c>
      <c r="L1967" t="str">
        <f t="shared" si="216"/>
        <v>November</v>
      </c>
      <c r="M1967">
        <f>YEAR(C1967)</f>
        <v>2023</v>
      </c>
      <c r="N1967">
        <v>385</v>
      </c>
      <c r="O1967" t="str">
        <f>IF(N1967&gt;=200,"Platinum",IF(N1967&gt;=100,"Gold",IF(N1967&gt;=50,"Silver","Regular")))</f>
        <v>Platinum</v>
      </c>
      <c r="P1967" s="4" t="str">
        <f t="shared" si="211"/>
        <v>Wednesday</v>
      </c>
      <c r="Q1967" s="4" t="str">
        <f t="shared" si="212"/>
        <v>Small Order</v>
      </c>
      <c r="R1967" s="4" t="str">
        <f t="shared" si="213"/>
        <v>Weekday</v>
      </c>
      <c r="S1967" s="4" t="str">
        <f t="shared" si="214"/>
        <v>Regular</v>
      </c>
    </row>
    <row r="1968" spans="1:19" x14ac:dyDescent="0.3">
      <c r="A1968">
        <v>5949</v>
      </c>
      <c r="B1968" t="s">
        <v>3</v>
      </c>
      <c r="C1968" s="1">
        <v>45299</v>
      </c>
      <c r="D1968" t="s">
        <v>27</v>
      </c>
      <c r="E1968" t="s">
        <v>2</v>
      </c>
      <c r="F1968">
        <v>3</v>
      </c>
      <c r="G1968">
        <v>1.57</v>
      </c>
      <c r="H1968">
        <v>4.71</v>
      </c>
      <c r="I1968" t="str">
        <f t="shared" si="210"/>
        <v>No Discount</v>
      </c>
      <c r="J1968">
        <v>0</v>
      </c>
      <c r="K1968">
        <f t="shared" si="215"/>
        <v>4.71</v>
      </c>
      <c r="L1968" t="str">
        <f t="shared" si="216"/>
        <v>January</v>
      </c>
      <c r="M1968">
        <f>YEAR(C1968)</f>
        <v>2024</v>
      </c>
      <c r="N1968">
        <v>62</v>
      </c>
      <c r="O1968" t="str">
        <f>IF(N1968&gt;=200,"Platinum",IF(N1968&gt;=100,"Gold",IF(N1968&gt;=50,"Silver","Regular")))</f>
        <v>Silver</v>
      </c>
      <c r="P1968" s="4" t="str">
        <f t="shared" si="211"/>
        <v>Monday</v>
      </c>
      <c r="Q1968" s="4" t="str">
        <f t="shared" si="212"/>
        <v>Medium Order</v>
      </c>
      <c r="R1968" s="4" t="str">
        <f t="shared" si="213"/>
        <v>Weekday</v>
      </c>
      <c r="S1968" s="4" t="str">
        <f t="shared" si="214"/>
        <v>Regular</v>
      </c>
    </row>
    <row r="1969" spans="1:19" x14ac:dyDescent="0.3">
      <c r="A1969">
        <v>2232</v>
      </c>
      <c r="B1969" t="s">
        <v>0</v>
      </c>
      <c r="C1969" s="1">
        <v>45830</v>
      </c>
      <c r="D1969" t="s">
        <v>17</v>
      </c>
      <c r="E1969" t="s">
        <v>10</v>
      </c>
      <c r="F1969">
        <v>2</v>
      </c>
      <c r="G1969">
        <v>2.2799999999999998</v>
      </c>
      <c r="H1969">
        <v>4.5599999999999996</v>
      </c>
      <c r="I1969" t="str">
        <f t="shared" si="210"/>
        <v>No Discount</v>
      </c>
      <c r="J1969">
        <v>0</v>
      </c>
      <c r="K1969">
        <f t="shared" si="215"/>
        <v>4.5599999999999996</v>
      </c>
      <c r="L1969" t="str">
        <f t="shared" si="216"/>
        <v>June</v>
      </c>
      <c r="M1969">
        <f>YEAR(C1969)</f>
        <v>2025</v>
      </c>
      <c r="N1969">
        <v>279</v>
      </c>
      <c r="O1969" t="str">
        <f>IF(N1969&gt;=200,"Platinum",IF(N1969&gt;=100,"Gold",IF(N1969&gt;=50,"Silver","Regular")))</f>
        <v>Platinum</v>
      </c>
      <c r="P1969" s="4" t="str">
        <f t="shared" si="211"/>
        <v>Sunday</v>
      </c>
      <c r="Q1969" s="4" t="str">
        <f t="shared" si="212"/>
        <v>Small Order</v>
      </c>
      <c r="R1969" s="4" t="str">
        <f t="shared" si="213"/>
        <v>Weekend</v>
      </c>
      <c r="S1969" s="4" t="str">
        <f t="shared" si="214"/>
        <v>Regular</v>
      </c>
    </row>
    <row r="1970" spans="1:19" x14ac:dyDescent="0.3">
      <c r="A1970">
        <v>5961</v>
      </c>
      <c r="B1970" t="s">
        <v>0</v>
      </c>
      <c r="C1970" s="1">
        <v>45332</v>
      </c>
      <c r="D1970" t="s">
        <v>17</v>
      </c>
      <c r="E1970" t="s">
        <v>22</v>
      </c>
      <c r="F1970">
        <v>1</v>
      </c>
      <c r="G1970">
        <v>4.3600000000000003</v>
      </c>
      <c r="H1970">
        <v>4.3600000000000003</v>
      </c>
      <c r="I1970" t="str">
        <f t="shared" si="210"/>
        <v>No Discount</v>
      </c>
      <c r="J1970">
        <v>0</v>
      </c>
      <c r="K1970">
        <f t="shared" si="215"/>
        <v>4.3600000000000003</v>
      </c>
      <c r="L1970" t="str">
        <f t="shared" si="216"/>
        <v>February</v>
      </c>
      <c r="M1970">
        <f>YEAR(C1970)</f>
        <v>2024</v>
      </c>
      <c r="N1970">
        <v>46</v>
      </c>
      <c r="O1970" t="str">
        <f>IF(N1970&gt;=200,"Platinum",IF(N1970&gt;=100,"Gold",IF(N1970&gt;=50,"Silver","Regular")))</f>
        <v>Regular</v>
      </c>
      <c r="P1970" s="4" t="str">
        <f t="shared" si="211"/>
        <v>Saturday</v>
      </c>
      <c r="Q1970" s="4" t="str">
        <f t="shared" si="212"/>
        <v>Small Order</v>
      </c>
      <c r="R1970" s="4" t="str">
        <f t="shared" si="213"/>
        <v>Weekend</v>
      </c>
      <c r="S1970" s="4" t="str">
        <f t="shared" si="214"/>
        <v>Regular</v>
      </c>
    </row>
    <row r="1971" spans="1:19" x14ac:dyDescent="0.3">
      <c r="A1971">
        <v>5386</v>
      </c>
      <c r="B1971" t="s">
        <v>19</v>
      </c>
      <c r="C1971" s="1">
        <v>45196</v>
      </c>
      <c r="D1971" t="s">
        <v>23</v>
      </c>
      <c r="E1971" t="s">
        <v>2</v>
      </c>
      <c r="F1971">
        <v>1</v>
      </c>
      <c r="G1971">
        <v>4.13</v>
      </c>
      <c r="H1971">
        <v>4.13</v>
      </c>
      <c r="I1971" t="str">
        <f t="shared" si="210"/>
        <v>No Discount</v>
      </c>
      <c r="J1971">
        <v>0</v>
      </c>
      <c r="K1971">
        <f t="shared" si="215"/>
        <v>4.13</v>
      </c>
      <c r="L1971" t="str">
        <f t="shared" si="216"/>
        <v>September</v>
      </c>
      <c r="M1971">
        <f>YEAR(C1971)</f>
        <v>2023</v>
      </c>
      <c r="N1971">
        <v>222</v>
      </c>
      <c r="O1971" t="str">
        <f>IF(N1971&gt;=200,"Platinum",IF(N1971&gt;=100,"Gold",IF(N1971&gt;=50,"Silver","Regular")))</f>
        <v>Platinum</v>
      </c>
      <c r="P1971" s="4" t="str">
        <f t="shared" si="211"/>
        <v>Wednesday</v>
      </c>
      <c r="Q1971" s="4" t="str">
        <f t="shared" si="212"/>
        <v>Small Order</v>
      </c>
      <c r="R1971" s="4" t="str">
        <f t="shared" si="213"/>
        <v>Weekday</v>
      </c>
      <c r="S1971" s="4" t="str">
        <f t="shared" si="214"/>
        <v>Regular</v>
      </c>
    </row>
    <row r="1972" spans="1:19" x14ac:dyDescent="0.3">
      <c r="A1972">
        <v>8245</v>
      </c>
      <c r="B1972" t="s">
        <v>20</v>
      </c>
      <c r="C1972" s="1">
        <v>45856</v>
      </c>
      <c r="D1972" t="s">
        <v>4</v>
      </c>
      <c r="E1972" t="s">
        <v>2</v>
      </c>
      <c r="F1972">
        <v>3</v>
      </c>
      <c r="G1972">
        <v>1.35</v>
      </c>
      <c r="H1972">
        <v>4.05</v>
      </c>
      <c r="I1972" t="str">
        <f t="shared" si="210"/>
        <v>No Discount</v>
      </c>
      <c r="J1972">
        <v>0</v>
      </c>
      <c r="K1972">
        <f t="shared" si="215"/>
        <v>4.05</v>
      </c>
      <c r="L1972" t="str">
        <f t="shared" si="216"/>
        <v>July</v>
      </c>
      <c r="M1972">
        <f>YEAR(C1972)</f>
        <v>2025</v>
      </c>
      <c r="N1972">
        <v>444</v>
      </c>
      <c r="O1972" t="str">
        <f>IF(N1972&gt;=200,"Platinum",IF(N1972&gt;=100,"Gold",IF(N1972&gt;=50,"Silver","Regular")))</f>
        <v>Platinum</v>
      </c>
      <c r="P1972" s="4" t="str">
        <f t="shared" si="211"/>
        <v>Friday</v>
      </c>
      <c r="Q1972" s="4" t="str">
        <f t="shared" si="212"/>
        <v>Medium Order</v>
      </c>
      <c r="R1972" s="4" t="str">
        <f t="shared" si="213"/>
        <v>Weekday</v>
      </c>
      <c r="S1972" s="4" t="str">
        <f t="shared" si="214"/>
        <v>Regular</v>
      </c>
    </row>
    <row r="1973" spans="1:19" x14ac:dyDescent="0.3">
      <c r="A1973">
        <v>7511</v>
      </c>
      <c r="B1973" t="s">
        <v>19</v>
      </c>
      <c r="C1973" s="1">
        <v>45801</v>
      </c>
      <c r="D1973" t="s">
        <v>27</v>
      </c>
      <c r="E1973" t="s">
        <v>12</v>
      </c>
      <c r="F1973">
        <v>4</v>
      </c>
      <c r="G1973">
        <v>1.01</v>
      </c>
      <c r="H1973">
        <v>4.04</v>
      </c>
      <c r="I1973" t="str">
        <f t="shared" si="210"/>
        <v>No Discount</v>
      </c>
      <c r="J1973">
        <v>0</v>
      </c>
      <c r="K1973">
        <f t="shared" si="215"/>
        <v>4.04</v>
      </c>
      <c r="L1973" t="str">
        <f t="shared" si="216"/>
        <v>May</v>
      </c>
      <c r="M1973">
        <f>YEAR(C1973)</f>
        <v>2025</v>
      </c>
      <c r="N1973">
        <v>326</v>
      </c>
      <c r="O1973" t="str">
        <f>IF(N1973&gt;=200,"Platinum",IF(N1973&gt;=100,"Gold",IF(N1973&gt;=50,"Silver","Regular")))</f>
        <v>Platinum</v>
      </c>
      <c r="P1973" s="4" t="str">
        <f t="shared" si="211"/>
        <v>Saturday</v>
      </c>
      <c r="Q1973" s="4" t="str">
        <f t="shared" si="212"/>
        <v>Medium Order</v>
      </c>
      <c r="R1973" s="4" t="str">
        <f t="shared" si="213"/>
        <v>Weekend</v>
      </c>
      <c r="S1973" s="4" t="str">
        <f t="shared" si="214"/>
        <v>Regular</v>
      </c>
    </row>
    <row r="1974" spans="1:19" x14ac:dyDescent="0.3">
      <c r="A1974">
        <v>3324</v>
      </c>
      <c r="B1974" t="s">
        <v>25</v>
      </c>
      <c r="C1974" s="1">
        <v>45720</v>
      </c>
      <c r="D1974" t="s">
        <v>24</v>
      </c>
      <c r="E1974" t="s">
        <v>26</v>
      </c>
      <c r="F1974">
        <v>2</v>
      </c>
      <c r="G1974">
        <v>2.0099999999999998</v>
      </c>
      <c r="H1974">
        <v>4.0199999999999996</v>
      </c>
      <c r="I1974" t="str">
        <f t="shared" si="210"/>
        <v>No Discount</v>
      </c>
      <c r="J1974">
        <v>0</v>
      </c>
      <c r="K1974">
        <f t="shared" si="215"/>
        <v>4.0199999999999996</v>
      </c>
      <c r="L1974" t="str">
        <f t="shared" si="216"/>
        <v>March</v>
      </c>
      <c r="M1974">
        <f>YEAR(C1974)</f>
        <v>2025</v>
      </c>
      <c r="N1974">
        <v>472</v>
      </c>
      <c r="O1974" t="str">
        <f>IF(N1974&gt;=200,"Platinum",IF(N1974&gt;=100,"Gold",IF(N1974&gt;=50,"Silver","Regular")))</f>
        <v>Platinum</v>
      </c>
      <c r="P1974" s="4" t="str">
        <f t="shared" si="211"/>
        <v>Tuesday</v>
      </c>
      <c r="Q1974" s="4" t="str">
        <f t="shared" si="212"/>
        <v>Small Order</v>
      </c>
      <c r="R1974" s="4" t="str">
        <f t="shared" si="213"/>
        <v>Weekday</v>
      </c>
      <c r="S1974" s="4" t="str">
        <f t="shared" si="214"/>
        <v>Regular</v>
      </c>
    </row>
    <row r="1975" spans="1:19" x14ac:dyDescent="0.3">
      <c r="A1975">
        <v>7118</v>
      </c>
      <c r="B1975" t="s">
        <v>25</v>
      </c>
      <c r="C1975" s="1">
        <v>45485</v>
      </c>
      <c r="D1975" t="s">
        <v>17</v>
      </c>
      <c r="E1975" t="s">
        <v>2</v>
      </c>
      <c r="F1975">
        <v>1</v>
      </c>
      <c r="G1975">
        <v>3.64</v>
      </c>
      <c r="H1975">
        <v>3.64</v>
      </c>
      <c r="I1975" t="str">
        <f t="shared" si="210"/>
        <v>No Discount</v>
      </c>
      <c r="J1975">
        <v>0</v>
      </c>
      <c r="K1975">
        <f t="shared" si="215"/>
        <v>3.64</v>
      </c>
      <c r="L1975" t="str">
        <f t="shared" si="216"/>
        <v>July</v>
      </c>
      <c r="M1975">
        <f>YEAR(C1975)</f>
        <v>2024</v>
      </c>
      <c r="N1975">
        <v>492</v>
      </c>
      <c r="O1975" t="str">
        <f>IF(N1975&gt;=200,"Platinum",IF(N1975&gt;=100,"Gold",IF(N1975&gt;=50,"Silver","Regular")))</f>
        <v>Platinum</v>
      </c>
      <c r="P1975" s="4" t="str">
        <f t="shared" si="211"/>
        <v>Friday</v>
      </c>
      <c r="Q1975" s="4" t="str">
        <f t="shared" si="212"/>
        <v>Small Order</v>
      </c>
      <c r="R1975" s="4" t="str">
        <f t="shared" si="213"/>
        <v>Weekday</v>
      </c>
      <c r="S1975" s="4" t="str">
        <f t="shared" si="214"/>
        <v>Regular</v>
      </c>
    </row>
    <row r="1976" spans="1:19" x14ac:dyDescent="0.3">
      <c r="A1976">
        <v>7018</v>
      </c>
      <c r="B1976" t="s">
        <v>19</v>
      </c>
      <c r="C1976" s="1">
        <v>45567</v>
      </c>
      <c r="D1976" t="s">
        <v>1</v>
      </c>
      <c r="E1976" t="s">
        <v>22</v>
      </c>
      <c r="F1976">
        <v>1</v>
      </c>
      <c r="G1976">
        <v>2.92</v>
      </c>
      <c r="H1976">
        <v>2.92</v>
      </c>
      <c r="I1976" t="str">
        <f t="shared" si="210"/>
        <v>No Discount</v>
      </c>
      <c r="J1976">
        <v>0</v>
      </c>
      <c r="K1976">
        <f t="shared" si="215"/>
        <v>2.92</v>
      </c>
      <c r="L1976" t="str">
        <f t="shared" si="216"/>
        <v>October</v>
      </c>
      <c r="M1976">
        <f>YEAR(C1976)</f>
        <v>2024</v>
      </c>
      <c r="N1976">
        <v>338</v>
      </c>
      <c r="O1976" t="str">
        <f>IF(N1976&gt;=200,"Platinum",IF(N1976&gt;=100,"Gold",IF(N1976&gt;=50,"Silver","Regular")))</f>
        <v>Platinum</v>
      </c>
      <c r="P1976" s="4" t="str">
        <f t="shared" si="211"/>
        <v>Wednesday</v>
      </c>
      <c r="Q1976" s="4" t="str">
        <f t="shared" si="212"/>
        <v>Small Order</v>
      </c>
      <c r="R1976" s="4" t="str">
        <f t="shared" si="213"/>
        <v>Weekday</v>
      </c>
      <c r="S1976" s="4" t="str">
        <f t="shared" si="214"/>
        <v>Regular</v>
      </c>
    </row>
    <row r="1977" spans="1:19" x14ac:dyDescent="0.3">
      <c r="A1977">
        <v>3577</v>
      </c>
      <c r="B1977" t="s">
        <v>19</v>
      </c>
      <c r="C1977" s="1">
        <v>45343</v>
      </c>
      <c r="D1977" t="s">
        <v>24</v>
      </c>
      <c r="E1977" t="s">
        <v>18</v>
      </c>
      <c r="F1977">
        <v>1</v>
      </c>
      <c r="G1977">
        <v>2.78</v>
      </c>
      <c r="H1977">
        <v>2.78</v>
      </c>
      <c r="I1977" t="str">
        <f t="shared" si="210"/>
        <v>No Discount</v>
      </c>
      <c r="J1977">
        <v>0</v>
      </c>
      <c r="K1977">
        <f t="shared" si="215"/>
        <v>2.78</v>
      </c>
      <c r="L1977" t="str">
        <f t="shared" si="216"/>
        <v>February</v>
      </c>
      <c r="M1977">
        <f>YEAR(C1977)</f>
        <v>2024</v>
      </c>
      <c r="N1977">
        <v>252</v>
      </c>
      <c r="O1977" t="str">
        <f>IF(N1977&gt;=200,"Platinum",IF(N1977&gt;=100,"Gold",IF(N1977&gt;=50,"Silver","Regular")))</f>
        <v>Platinum</v>
      </c>
      <c r="P1977" s="4" t="str">
        <f t="shared" si="211"/>
        <v>Wednesday</v>
      </c>
      <c r="Q1977" s="4" t="str">
        <f t="shared" si="212"/>
        <v>Small Order</v>
      </c>
      <c r="R1977" s="4" t="str">
        <f t="shared" si="213"/>
        <v>Weekday</v>
      </c>
      <c r="S1977" s="4" t="str">
        <f t="shared" si="214"/>
        <v>Regular</v>
      </c>
    </row>
    <row r="1978" spans="1:19" x14ac:dyDescent="0.3">
      <c r="A1978">
        <v>5835</v>
      </c>
      <c r="B1978" t="s">
        <v>49</v>
      </c>
      <c r="C1978" s="1">
        <v>45724</v>
      </c>
      <c r="D1978" t="s">
        <v>16</v>
      </c>
      <c r="E1978" t="s">
        <v>10</v>
      </c>
      <c r="F1978">
        <v>1</v>
      </c>
      <c r="G1978">
        <v>2.72</v>
      </c>
      <c r="H1978">
        <v>2.72</v>
      </c>
      <c r="I1978" t="str">
        <f t="shared" si="210"/>
        <v>No Discount</v>
      </c>
      <c r="J1978">
        <v>0</v>
      </c>
      <c r="K1978">
        <f t="shared" si="215"/>
        <v>2.72</v>
      </c>
      <c r="L1978" t="str">
        <f t="shared" si="216"/>
        <v>March</v>
      </c>
      <c r="M1978">
        <f>YEAR(C1978)</f>
        <v>2025</v>
      </c>
      <c r="N1978">
        <v>330</v>
      </c>
      <c r="O1978" t="str">
        <f>IF(N1978&gt;=200,"Platinum",IF(N1978&gt;=100,"Gold",IF(N1978&gt;=50,"Silver","Regular")))</f>
        <v>Platinum</v>
      </c>
      <c r="P1978" s="4" t="str">
        <f t="shared" si="211"/>
        <v>Saturday</v>
      </c>
      <c r="Q1978" s="4" t="str">
        <f t="shared" si="212"/>
        <v>Small Order</v>
      </c>
      <c r="R1978" s="4" t="str">
        <f t="shared" si="213"/>
        <v>Weekend</v>
      </c>
      <c r="S1978" s="4" t="str">
        <f t="shared" si="214"/>
        <v>Regular</v>
      </c>
    </row>
    <row r="1979" spans="1:19" x14ac:dyDescent="0.3">
      <c r="A1979">
        <v>7112</v>
      </c>
      <c r="B1979" t="s">
        <v>25</v>
      </c>
      <c r="C1979" s="1">
        <v>45460</v>
      </c>
      <c r="D1979" t="s">
        <v>27</v>
      </c>
      <c r="E1979" t="s">
        <v>35</v>
      </c>
      <c r="F1979">
        <v>1</v>
      </c>
      <c r="G1979">
        <v>2.56</v>
      </c>
      <c r="H1979">
        <v>2.56</v>
      </c>
      <c r="I1979" t="str">
        <f t="shared" si="210"/>
        <v>No Discount</v>
      </c>
      <c r="J1979">
        <v>0</v>
      </c>
      <c r="K1979">
        <f t="shared" si="215"/>
        <v>2.56</v>
      </c>
      <c r="L1979" t="str">
        <f t="shared" si="216"/>
        <v>June</v>
      </c>
      <c r="M1979">
        <f>YEAR(C1979)</f>
        <v>2024</v>
      </c>
      <c r="N1979">
        <v>461</v>
      </c>
      <c r="O1979" t="str">
        <f>IF(N1979&gt;=200,"Platinum",IF(N1979&gt;=100,"Gold",IF(N1979&gt;=50,"Silver","Regular")))</f>
        <v>Platinum</v>
      </c>
      <c r="P1979" s="4" t="str">
        <f t="shared" si="211"/>
        <v>Monday</v>
      </c>
      <c r="Q1979" s="4" t="str">
        <f t="shared" si="212"/>
        <v>Small Order</v>
      </c>
      <c r="R1979" s="4" t="str">
        <f t="shared" si="213"/>
        <v>Weekday</v>
      </c>
      <c r="S1979" s="4" t="str">
        <f t="shared" si="214"/>
        <v>Regular</v>
      </c>
    </row>
    <row r="1980" spans="1:19" x14ac:dyDescent="0.3">
      <c r="A1980">
        <v>3067</v>
      </c>
      <c r="B1980" t="s">
        <v>19</v>
      </c>
      <c r="C1980" s="1">
        <v>45358</v>
      </c>
      <c r="D1980" t="s">
        <v>6</v>
      </c>
      <c r="E1980" t="s">
        <v>28</v>
      </c>
      <c r="F1980">
        <v>1</v>
      </c>
      <c r="G1980">
        <v>1.69</v>
      </c>
      <c r="H1980">
        <v>1.69</v>
      </c>
      <c r="I1980" t="str">
        <f t="shared" si="210"/>
        <v>No Discount</v>
      </c>
      <c r="J1980">
        <v>0</v>
      </c>
      <c r="K1980">
        <f t="shared" si="215"/>
        <v>1.69</v>
      </c>
      <c r="L1980" t="str">
        <f t="shared" si="216"/>
        <v>March</v>
      </c>
      <c r="M1980">
        <f>YEAR(C1980)</f>
        <v>2024</v>
      </c>
      <c r="N1980">
        <v>320</v>
      </c>
      <c r="O1980" t="str">
        <f>IF(N1980&gt;=200,"Platinum",IF(N1980&gt;=100,"Gold",IF(N1980&gt;=50,"Silver","Regular")))</f>
        <v>Platinum</v>
      </c>
      <c r="P1980" s="4" t="str">
        <f t="shared" si="211"/>
        <v>Thursday</v>
      </c>
      <c r="Q1980" s="4" t="str">
        <f t="shared" si="212"/>
        <v>Small Order</v>
      </c>
      <c r="R1980" s="4" t="str">
        <f t="shared" si="213"/>
        <v>Weekday</v>
      </c>
      <c r="S1980" s="4" t="str">
        <f t="shared" si="214"/>
        <v>Regular</v>
      </c>
    </row>
    <row r="1981" spans="1:19" x14ac:dyDescent="0.3">
      <c r="A1981">
        <v>8259</v>
      </c>
      <c r="B1981" t="s">
        <v>3</v>
      </c>
      <c r="C1981" s="1">
        <v>45659</v>
      </c>
      <c r="D1981" t="s">
        <v>1</v>
      </c>
      <c r="E1981" t="s">
        <v>28</v>
      </c>
      <c r="F1981">
        <v>1</v>
      </c>
      <c r="G1981">
        <v>1.34</v>
      </c>
      <c r="H1981">
        <v>1.34</v>
      </c>
      <c r="I1981" t="str">
        <f t="shared" si="210"/>
        <v>No Discount</v>
      </c>
      <c r="J1981">
        <v>0</v>
      </c>
      <c r="K1981">
        <f t="shared" si="215"/>
        <v>1.34</v>
      </c>
      <c r="L1981" t="str">
        <f t="shared" si="216"/>
        <v>January</v>
      </c>
      <c r="M1981">
        <f>YEAR(C1981)</f>
        <v>2025</v>
      </c>
      <c r="N1981">
        <v>50</v>
      </c>
      <c r="O1981" t="str">
        <f>IF(N1981&gt;=200,"Platinum",IF(N1981&gt;=100,"Gold",IF(N1981&gt;=50,"Silver","Regular")))</f>
        <v>Silver</v>
      </c>
      <c r="P1981" s="4" t="str">
        <f t="shared" si="211"/>
        <v>Thursday</v>
      </c>
      <c r="Q1981" s="4" t="str">
        <f t="shared" si="212"/>
        <v>Small Order</v>
      </c>
      <c r="R1981" s="4" t="str">
        <f t="shared" si="213"/>
        <v>Weekday</v>
      </c>
      <c r="S1981" s="4" t="str">
        <f t="shared" si="214"/>
        <v>Regular</v>
      </c>
    </row>
    <row r="1982" spans="1:19" hidden="1" x14ac:dyDescent="0.3">
      <c r="C1982" s="1"/>
      <c r="I1982" s="4"/>
      <c r="M1982" s="4"/>
      <c r="O1982" s="4"/>
      <c r="P1982" s="4"/>
      <c r="Q1982" s="4"/>
      <c r="R1982" s="4"/>
      <c r="S1982" s="4" t="str">
        <f t="shared" si="214"/>
        <v>Regular</v>
      </c>
    </row>
    <row r="1983" spans="1:19" hidden="1" x14ac:dyDescent="0.3">
      <c r="C1983" s="1"/>
      <c r="I1983" s="4"/>
      <c r="M1983" s="4"/>
      <c r="O1983" s="4"/>
      <c r="P1983" s="4"/>
      <c r="Q1983" s="4"/>
      <c r="R1983" s="4"/>
      <c r="S1983" s="4" t="str">
        <f t="shared" si="214"/>
        <v>Regular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0820-9B4F-421D-B9D2-5B8B4D5E9348}">
  <dimension ref="A3:B9"/>
  <sheetViews>
    <sheetView workbookViewId="0">
      <selection activeCell="E23" sqref="E23"/>
    </sheetView>
  </sheetViews>
  <sheetFormatPr defaultRowHeight="14.4" x14ac:dyDescent="0.3"/>
  <cols>
    <col min="1" max="1" width="12.44140625" bestFit="1" customWidth="1"/>
    <col min="2" max="2" width="18.5546875" bestFit="1" customWidth="1"/>
  </cols>
  <sheetData>
    <row r="3" spans="1:2" x14ac:dyDescent="0.3">
      <c r="A3" s="5" t="s">
        <v>58</v>
      </c>
      <c r="B3" t="s">
        <v>73</v>
      </c>
    </row>
    <row r="4" spans="1:2" x14ac:dyDescent="0.3">
      <c r="A4" s="6" t="s">
        <v>75</v>
      </c>
      <c r="B4" s="4">
        <v>13487.770000000002</v>
      </c>
    </row>
    <row r="5" spans="1:2" x14ac:dyDescent="0.3">
      <c r="A5" s="6" t="s">
        <v>76</v>
      </c>
      <c r="B5" s="4">
        <v>51293.039999999972</v>
      </c>
    </row>
    <row r="6" spans="1:2" x14ac:dyDescent="0.3">
      <c r="A6" s="6" t="s">
        <v>77</v>
      </c>
      <c r="B6" s="4">
        <v>8582.5300000000043</v>
      </c>
    </row>
    <row r="7" spans="1:2" x14ac:dyDescent="0.3">
      <c r="A7" s="6" t="s">
        <v>78</v>
      </c>
      <c r="B7" s="4">
        <v>8689.6099999999969</v>
      </c>
    </row>
    <row r="8" spans="1:2" x14ac:dyDescent="0.3">
      <c r="A8" s="6" t="s">
        <v>71</v>
      </c>
      <c r="B8" s="4"/>
    </row>
    <row r="9" spans="1:2" x14ac:dyDescent="0.3">
      <c r="A9" s="6" t="s">
        <v>72</v>
      </c>
      <c r="B9" s="4">
        <v>82052.949999999983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A3E5-7333-471E-86E7-13A92FDA5F40}">
  <dimension ref="A3:C7"/>
  <sheetViews>
    <sheetView workbookViewId="0">
      <selection activeCell="D21" sqref="D21"/>
    </sheetView>
  </sheetViews>
  <sheetFormatPr defaultRowHeight="14.4" x14ac:dyDescent="0.3"/>
  <cols>
    <col min="1" max="1" width="12.44140625" bestFit="1" customWidth="1"/>
    <col min="2" max="2" width="18.5546875" bestFit="1" customWidth="1"/>
    <col min="3" max="3" width="14.21875" bestFit="1" customWidth="1"/>
  </cols>
  <sheetData>
    <row r="3" spans="1:3" x14ac:dyDescent="0.3">
      <c r="A3" s="5" t="s">
        <v>58</v>
      </c>
      <c r="B3" t="s">
        <v>73</v>
      </c>
      <c r="C3" t="s">
        <v>81</v>
      </c>
    </row>
    <row r="4" spans="1:3" x14ac:dyDescent="0.3">
      <c r="A4" s="6" t="s">
        <v>79</v>
      </c>
      <c r="B4" s="4">
        <v>65447.230000000069</v>
      </c>
      <c r="C4" s="4">
        <v>4679</v>
      </c>
    </row>
    <row r="5" spans="1:3" x14ac:dyDescent="0.3">
      <c r="A5" s="6" t="s">
        <v>80</v>
      </c>
      <c r="B5" s="4">
        <v>16605.72</v>
      </c>
      <c r="C5" s="4">
        <v>1198</v>
      </c>
    </row>
    <row r="6" spans="1:3" x14ac:dyDescent="0.3">
      <c r="A6" s="6" t="s">
        <v>71</v>
      </c>
      <c r="B6" s="4"/>
      <c r="C6" s="4"/>
    </row>
    <row r="7" spans="1:3" x14ac:dyDescent="0.3">
      <c r="A7" s="6" t="s">
        <v>72</v>
      </c>
      <c r="B7" s="4">
        <v>82052.95000000007</v>
      </c>
      <c r="C7" s="4">
        <v>5877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4999-48D7-470D-B9F1-3D8ADC71B793}">
  <dimension ref="A3:C7"/>
  <sheetViews>
    <sheetView workbookViewId="0">
      <selection activeCell="L13" sqref="L13"/>
    </sheetView>
  </sheetViews>
  <sheetFormatPr defaultRowHeight="14.4" x14ac:dyDescent="0.3"/>
  <cols>
    <col min="1" max="1" width="12.44140625" bestFit="1" customWidth="1"/>
    <col min="2" max="2" width="18.5546875" bestFit="1" customWidth="1"/>
    <col min="3" max="3" width="14.21875" bestFit="1" customWidth="1"/>
  </cols>
  <sheetData>
    <row r="3" spans="1:3" x14ac:dyDescent="0.3">
      <c r="A3" s="5" t="s">
        <v>58</v>
      </c>
      <c r="B3" t="s">
        <v>73</v>
      </c>
      <c r="C3" t="s">
        <v>81</v>
      </c>
    </row>
    <row r="4" spans="1:3" x14ac:dyDescent="0.3">
      <c r="A4" s="6" t="s">
        <v>53</v>
      </c>
      <c r="B4" s="4">
        <v>58100.320000000087</v>
      </c>
      <c r="C4" s="4">
        <v>4192</v>
      </c>
    </row>
    <row r="5" spans="1:3" x14ac:dyDescent="0.3">
      <c r="A5" s="6" t="s">
        <v>82</v>
      </c>
      <c r="B5" s="4">
        <v>23952.62999999999</v>
      </c>
      <c r="C5" s="4">
        <v>1685</v>
      </c>
    </row>
    <row r="6" spans="1:3" x14ac:dyDescent="0.3">
      <c r="A6" s="6" t="s">
        <v>71</v>
      </c>
      <c r="B6" s="4"/>
      <c r="C6" s="4"/>
    </row>
    <row r="7" spans="1:3" x14ac:dyDescent="0.3">
      <c r="A7" s="6" t="s">
        <v>72</v>
      </c>
      <c r="B7" s="4">
        <v>82052.95000000007</v>
      </c>
      <c r="C7" s="4">
        <v>5877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EE0F-5334-40BF-BFF5-F469C0FA9ED0}">
  <dimension ref="A2:B17"/>
  <sheetViews>
    <sheetView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8.5546875" bestFit="1" customWidth="1"/>
  </cols>
  <sheetData>
    <row r="2" spans="1:2" x14ac:dyDescent="0.3">
      <c r="A2" t="s">
        <v>74</v>
      </c>
    </row>
    <row r="3" spans="1:2" x14ac:dyDescent="0.3">
      <c r="A3" s="5" t="s">
        <v>58</v>
      </c>
      <c r="B3" t="s">
        <v>73</v>
      </c>
    </row>
    <row r="4" spans="1:2" x14ac:dyDescent="0.3">
      <c r="A4" s="6" t="s">
        <v>59</v>
      </c>
      <c r="B4" s="4">
        <v>6409.5399999999991</v>
      </c>
    </row>
    <row r="5" spans="1:2" x14ac:dyDescent="0.3">
      <c r="A5" s="6" t="s">
        <v>60</v>
      </c>
      <c r="B5" s="4">
        <v>6463.8899999999976</v>
      </c>
    </row>
    <row r="6" spans="1:2" x14ac:dyDescent="0.3">
      <c r="A6" s="6" t="s">
        <v>61</v>
      </c>
      <c r="B6" s="4">
        <v>8204.7800000000043</v>
      </c>
    </row>
    <row r="7" spans="1:2" x14ac:dyDescent="0.3">
      <c r="A7" s="6" t="s">
        <v>62</v>
      </c>
      <c r="B7" s="4">
        <v>6780.5099999999993</v>
      </c>
    </row>
    <row r="8" spans="1:2" x14ac:dyDescent="0.3">
      <c r="A8" s="6" t="s">
        <v>63</v>
      </c>
      <c r="B8" s="4">
        <v>7130.77</v>
      </c>
    </row>
    <row r="9" spans="1:2" x14ac:dyDescent="0.3">
      <c r="A9" s="6" t="s">
        <v>64</v>
      </c>
      <c r="B9" s="4">
        <v>5963.1799999999994</v>
      </c>
    </row>
    <row r="10" spans="1:2" x14ac:dyDescent="0.3">
      <c r="A10" s="6" t="s">
        <v>65</v>
      </c>
      <c r="B10" s="4">
        <v>6722.9599999999982</v>
      </c>
    </row>
    <row r="11" spans="1:2" x14ac:dyDescent="0.3">
      <c r="A11" s="6" t="s">
        <v>66</v>
      </c>
      <c r="B11" s="4">
        <v>6625.2400000000025</v>
      </c>
    </row>
    <row r="12" spans="1:2" x14ac:dyDescent="0.3">
      <c r="A12" s="6" t="s">
        <v>67</v>
      </c>
      <c r="B12" s="4">
        <v>6329.0500000000038</v>
      </c>
    </row>
    <row r="13" spans="1:2" x14ac:dyDescent="0.3">
      <c r="A13" s="6" t="s">
        <v>68</v>
      </c>
      <c r="B13" s="4">
        <v>7866.6799999999994</v>
      </c>
    </row>
    <row r="14" spans="1:2" x14ac:dyDescent="0.3">
      <c r="A14" s="6" t="s">
        <v>69</v>
      </c>
      <c r="B14" s="4">
        <v>7409.4800000000032</v>
      </c>
    </row>
    <row r="15" spans="1:2" x14ac:dyDescent="0.3">
      <c r="A15" s="6" t="s">
        <v>70</v>
      </c>
      <c r="B15" s="4">
        <v>6146.8699999999981</v>
      </c>
    </row>
    <row r="16" spans="1:2" x14ac:dyDescent="0.3">
      <c r="A16" s="6" t="s">
        <v>71</v>
      </c>
      <c r="B16" s="4"/>
    </row>
    <row r="17" spans="1:2" x14ac:dyDescent="0.3">
      <c r="A17" s="6" t="s">
        <v>72</v>
      </c>
      <c r="B17" s="4">
        <v>82052.950000000012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Pre-processing using Excel</vt:lpstr>
      <vt:lpstr>Sales by Customer Type</vt:lpstr>
      <vt:lpstr>Order Type Analysis</vt:lpstr>
      <vt:lpstr>Weekend vs Weekday</vt:lpstr>
      <vt:lpstr>Sales by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Regina Gijo</cp:lastModifiedBy>
  <dcterms:created xsi:type="dcterms:W3CDTF">2026-08-21T06:38:48Z</dcterms:created>
  <dcterms:modified xsi:type="dcterms:W3CDTF">2026-08-21T06:39:13Z</dcterms:modified>
</cp:coreProperties>
</file>